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8.xml" ContentType="application/vnd.openxmlformats-officedocument.spreadsheetml.revisionLog+xml"/>
  <Override PartName="/xl/revisions/revisionLog13.xml" ContentType="application/vnd.openxmlformats-officedocument.spreadsheetml.revisionLog+xml"/>
  <Override PartName="/xl/revisions/revisionLog3.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10.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L:\PANORAMA\2026\"/>
    </mc:Choice>
  </mc:AlternateContent>
  <bookViews>
    <workbookView xWindow="0" yWindow="0" windowWidth="24000" windowHeight="9600" tabRatio="574"/>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PAC!$E$5:$AX$488</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Marcelo Pereira dos Santos - Modo de exibição pessoal" guid="{A10EBD83-7D03-4E3F-9980-D4843478A706}" mergeInterval="0" personalView="1" maximized="1" xWindow="-8" yWindow="-8" windowWidth="1616" windowHeight="876" tabRatio="574" activeSheetId="1"/>
    <customWorkbookView name="Joélio Balbino Santana - Modo de exibição pessoal" guid="{C0A33525-2FAA-4399-909F-1A52282E6E9A}" mergeInterval="0" personalView="1" maximized="1" xWindow="-8" yWindow="-8" windowWidth="1616" windowHeight="876" tabRatio="428" activeSheetId="1"/>
    <customWorkbookView name="Antonio Carlos Guimarães Deiró - Modo de exibição pessoal" guid="{650C7FD6-1755-4668-8EF1-3B7C3B405ED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3"/>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Taís Silva Dos Santos - Modo de exibição pessoal" guid="{129416D2-3637-48C1-A749-90B02AD0693E}" mergeInterval="0" personalView="1" maximized="1" xWindow="-8" yWindow="-8" windowWidth="1616" windowHeight="868" tabRatio="474" activeSheetId="1"/>
    <customWorkbookView name="Suzana Nascimento de Oliveira - Modo de exibição pessoal" guid="{0FB74A6A-4A44-4BA5-9EB0-B86297CD9790}" mergeInterval="0" personalView="1" maximized="1" xWindow="-8" yWindow="-8" windowWidth="1616" windowHeight="876" activeSheetId="1"/>
    <customWorkbookView name="Tatiane Cruz Souza - Modo de exibição pessoal" guid="{270E95A7-3B6C-4D9D-97B0-E7320BA4DFF7}" mergeInterval="0" personalView="1" maximized="1" xWindow="-8" yWindow="-8" windowWidth="1456" windowHeight="876" tabRatio="623" activeSheetId="1"/>
    <customWorkbookView name="Diego Rocha Figueiredo - Modo de exibição pessoal" guid="{E3BD65C7-28AF-4588-B550-0F7E84154BAA}"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<sst xmlns="http://schemas.openxmlformats.org/spreadsheetml/2006/main" count="10150" uniqueCount="2811">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</sst>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6">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5">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5"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0" fontId="24" fillId="5" borderId="5" xfId="0" applyFont="1" applyFill="1" applyBorder="1"/>
    <xf numFmtId="49" fontId="6" fillId="5" borderId="5" xfId="0" applyNumberFormat="1" applyFont="1" applyFill="1" applyBorder="1" applyAlignment="1">
      <alignment horizontal="left" vertical="center" wrapText="1"/>
    </xf>
    <xf numFmtId="0" fontId="14" fillId="4" borderId="4" xfId="0" applyFont="1" applyFill="1" applyBorder="1"/>
    <xf numFmtId="0" fontId="25"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5"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5"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usernames" Target="revisions/userNames.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s>
    <sheetDataSet>
      <sheetData sheetId="0" refreshError="1"/>
    </sheetDataSet>
  </externalBook>
</externalLink>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13" Type="http://schemas.openxmlformats.org/officeDocument/2006/relationships/revisionLog" Target="revisionLog13.xml"/><Relationship Id="rId3" Type="http://schemas.openxmlformats.org/officeDocument/2006/relationships/revisionLog" Target="revisionLog3.xml"/><Relationship Id="rId7" Type="http://schemas.openxmlformats.org/officeDocument/2006/relationships/revisionLog" Target="revisionLog7.xml"/><Relationship Id="rId12" Type="http://schemas.openxmlformats.org/officeDocument/2006/relationships/revisionLog" Target="revisionLog12.xml"/><Relationship Id="rId17" Type="http://schemas.openxmlformats.org/officeDocument/2006/relationships/revisionLog" Target="revisionLog17.xml"/><Relationship Id="rId2" Type="http://schemas.openxmlformats.org/officeDocument/2006/relationships/revisionLog" Target="revisionLog2.xml"/><Relationship Id="rId16" Type="http://schemas.openxmlformats.org/officeDocument/2006/relationships/revisionLog" Target="revisionLog16.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5" Type="http://schemas.openxmlformats.org/officeDocument/2006/relationships/revisionLog" Target="revisionLog5.xml"/><Relationship Id="rId15" Type="http://schemas.openxmlformats.org/officeDocument/2006/relationships/revisionLog" Target="revisionLog15.xml"/><Relationship Id="rId10" Type="http://schemas.openxmlformats.org/officeDocument/2006/relationships/revisionLog" Target="revisionLog10.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23D8FE14-0886-4BA5-9DEC-F80B8E416B91}" diskRevisions="1" revisionId="94" version="17">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0"/>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5"/>
  <sheetViews>
    <sheetView tabSelected="1" zoomScale="60" zoomScaleNormal="60" zoomScaleSheetLayoutView="51" workbookViewId="0">
      <selection activeCell="AU139" sqref="AU139"/>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33.125" style="62" customWidth="1"/>
    <col min="9" max="9" width="29.125"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3" t="s">
        <v>1507</v>
      </c>
      <c r="G1" s="203"/>
      <c r="H1" s="203"/>
      <c r="I1" s="204"/>
      <c r="J1" s="200" t="s">
        <v>1494</v>
      </c>
      <c r="K1" s="202" t="s">
        <v>575</v>
      </c>
      <c r="L1" s="203"/>
      <c r="M1" s="203"/>
      <c r="N1" s="203"/>
      <c r="O1" s="203"/>
      <c r="P1" s="203"/>
      <c r="Q1" s="203"/>
      <c r="R1" s="203"/>
      <c r="S1" s="203"/>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1481</v>
      </c>
      <c r="G2" s="67" t="s">
        <v>1314</v>
      </c>
      <c r="H2" s="68" t="s">
        <v>1484</v>
      </c>
      <c r="I2" s="67" t="s">
        <v>2235</v>
      </c>
      <c r="J2" s="201"/>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272</v>
      </c>
      <c r="G3" s="60">
        <f>SUBTOTAL(9,PAC!$AY$6:$AY$581)</f>
        <v>85</v>
      </c>
      <c r="H3" s="60">
        <f>SUBTOTAL(9,PAC!$AZ$6:$AZ$581)</f>
        <v>123</v>
      </c>
      <c r="I3" s="60">
        <f>SUBTOTAL(9,PAC!$BA$6:$BA$581)</f>
        <v>13</v>
      </c>
      <c r="J3" s="71">
        <f>SUBTOTAL(3,J6:J581)</f>
        <v>493</v>
      </c>
      <c r="K3" s="72">
        <f>SUBTOTAL(9,PAC!K$6:K$581)</f>
        <v>14621749846.714542</v>
      </c>
      <c r="L3" s="72">
        <f>SUBTOTAL(9,PAC!L$6:L$581)</f>
        <v>5954136925.1334581</v>
      </c>
      <c r="M3" s="72">
        <f>SUBTOTAL(9,PAC!M$6:M$581)</f>
        <v>7987782537.662364</v>
      </c>
      <c r="N3" s="73">
        <f>SUBTOTAL(9,PAC!N$6:N$581)</f>
        <v>837233083.55829501</v>
      </c>
      <c r="O3" s="73">
        <f>SUBTOTAL(9,PAC!O$6:O$581)</f>
        <v>501162355.04000014</v>
      </c>
      <c r="P3" s="73">
        <f>SUBTOTAL(9,PAC!P$6:P$581)</f>
        <v>12160417837.765503</v>
      </c>
      <c r="Q3" s="72">
        <f>SUBTOTAL(9,PAC!$BB$6:$BB$581)</f>
        <v>14598692870.083796</v>
      </c>
      <c r="R3" s="72">
        <f>SUBTOTAL(9,PAC!R$6:R$581)</f>
        <v>5636601734.3399992</v>
      </c>
      <c r="S3" s="72">
        <f>SUBTOTAL(9,PAC!S$6:S$581)</f>
        <v>20235294604.42379</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2235</v>
      </c>
      <c r="BB5" s="100" t="s">
        <v>1640</v>
      </c>
    </row>
    <row r="6" spans="1:70" s="1" customFormat="1" ht="249.95"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2482</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2471</v>
      </c>
      <c r="Z7" s="118"/>
      <c r="AA7" s="119"/>
      <c r="AB7" s="115"/>
      <c r="AC7" s="115"/>
      <c r="AD7" s="120"/>
      <c r="AE7" s="114" t="s">
        <v>1389</v>
      </c>
      <c r="AF7" s="115"/>
      <c r="AG7" s="115"/>
      <c r="AH7" s="115"/>
      <c r="AI7" s="115"/>
      <c r="AJ7" s="118"/>
      <c r="AK7" s="115"/>
      <c r="AL7" s="115"/>
      <c r="AM7" s="115"/>
      <c r="AN7" s="118"/>
      <c r="AO7" s="118"/>
      <c r="AP7" s="118"/>
      <c r="AQ7" s="118"/>
      <c r="AR7" s="121"/>
      <c r="AS7" s="121"/>
      <c r="AT7" s="114" t="s">
        <v>2159</v>
      </c>
      <c r="AU7" s="122" t="s">
        <v>2160</v>
      </c>
      <c r="AV7" s="120"/>
      <c r="AW7" s="119"/>
      <c r="AX7" s="194" t="str">
        <f>IFERROR(IF(PAC!$X7="F01 - CAPTAÇÃO DE RECURSO",1,""),"")</f>
        <v/>
      </c>
      <c r="AY7" s="194" t="str">
        <f>IFERROR(IF(PAC!$X7="F02 - LICITAÇÃO",1,""),"")</f>
        <v/>
      </c>
      <c r="AZ7" s="123">
        <f>IFERROR(IF(PAC!$X$6:$X$581="F03 - EXECUÇÃO DO OBJETO",1,""),"")</f>
        <v>1</v>
      </c>
      <c r="BA7" s="123" t="str">
        <f>IFERROR(IF(PAC!$X$6:$X$581="F04 - CONCLUÍDA",1,""),"")</f>
        <v/>
      </c>
      <c r="BB7" s="191">
        <f>IF(PAC!$R7&gt;0,0,PAC!$Q7)</f>
        <v>258839936.83000001</v>
      </c>
    </row>
    <row r="8" spans="1:70" s="1" customFormat="1" ht="369"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2470</v>
      </c>
      <c r="Z8" s="87">
        <v>46326</v>
      </c>
      <c r="AA8" s="105">
        <v>42</v>
      </c>
      <c r="AB8" s="40" t="s">
        <v>1472</v>
      </c>
      <c r="AC8" s="124" t="s">
        <v>2652</v>
      </c>
      <c r="AD8" s="87">
        <v>46326</v>
      </c>
      <c r="AE8" s="102" t="s">
        <v>1862</v>
      </c>
      <c r="AF8" s="40"/>
      <c r="AG8" s="40" t="s">
        <v>2158</v>
      </c>
      <c r="AH8" s="40"/>
      <c r="AI8" s="40"/>
      <c r="AJ8" s="87"/>
      <c r="AK8" s="40" t="s">
        <v>1151</v>
      </c>
      <c r="AL8" s="40" t="s">
        <v>1076</v>
      </c>
      <c r="AM8" s="40"/>
      <c r="AN8" s="87">
        <v>45584</v>
      </c>
      <c r="AO8" s="87">
        <v>45667</v>
      </c>
      <c r="AP8" s="87">
        <v>45806</v>
      </c>
      <c r="AQ8" s="87">
        <v>45833</v>
      </c>
      <c r="AR8" s="106">
        <v>46163</v>
      </c>
      <c r="AS8" s="107">
        <v>46295</v>
      </c>
      <c r="AT8" s="102" t="s">
        <v>2308</v>
      </c>
      <c r="AU8" s="40" t="s">
        <v>2307</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customHeight="1" thickBot="1">
      <c r="A9" s="112">
        <f t="shared" si="0"/>
        <v>4</v>
      </c>
      <c r="B9" s="113">
        <v>2023</v>
      </c>
      <c r="C9" s="112" t="s">
        <v>1495</v>
      </c>
      <c r="D9" s="112" t="s">
        <v>1011</v>
      </c>
      <c r="E9" s="114" t="s">
        <v>2767</v>
      </c>
      <c r="F9" s="112" t="s">
        <v>49</v>
      </c>
      <c r="G9" s="112" t="s">
        <v>1958</v>
      </c>
      <c r="H9" s="115" t="s">
        <v>1248</v>
      </c>
      <c r="I9" s="112" t="s">
        <v>606</v>
      </c>
      <c r="J9" s="112" t="s">
        <v>63</v>
      </c>
      <c r="K9" s="31"/>
      <c r="L9" s="31"/>
      <c r="M9" s="31"/>
      <c r="N9" s="31">
        <v>4050508.35</v>
      </c>
      <c r="O9" s="31"/>
      <c r="P9" s="31"/>
      <c r="Q9" s="33">
        <f>SUM([1]PAC!$M9:$P9)</f>
        <v>4050508.35</v>
      </c>
      <c r="R9" s="31" t="s">
        <v>2785</v>
      </c>
      <c r="S9" s="33">
        <f>IF([1]PAC!$R9&gt;0,[1]PAC!$R9,[1]PAC!$Q9)</f>
        <v>4050508.35</v>
      </c>
      <c r="T9" s="33" t="s">
        <v>2786</v>
      </c>
      <c r="U9" s="116" t="s">
        <v>573</v>
      </c>
      <c r="V9" s="116"/>
      <c r="W9" s="117">
        <v>3</v>
      </c>
      <c r="X9" s="117" t="s">
        <v>1418</v>
      </c>
      <c r="Y9" s="113" t="s">
        <v>2472</v>
      </c>
      <c r="Z9" s="118">
        <v>46265</v>
      </c>
      <c r="AA9" s="119"/>
      <c r="AB9" s="115" t="s">
        <v>2784</v>
      </c>
      <c r="AC9" s="125" t="s">
        <v>2787</v>
      </c>
      <c r="AD9" s="120">
        <v>46265</v>
      </c>
      <c r="AE9" s="114" t="s">
        <v>2788</v>
      </c>
      <c r="AF9" s="115"/>
      <c r="AG9" s="115"/>
      <c r="AH9" s="115"/>
      <c r="AI9" s="115"/>
      <c r="AJ9" s="118"/>
      <c r="AK9" s="115" t="s">
        <v>2768</v>
      </c>
      <c r="AL9" s="115" t="s">
        <v>1076</v>
      </c>
      <c r="AM9" s="115"/>
      <c r="AN9" s="118">
        <v>46115</v>
      </c>
      <c r="AO9" s="118">
        <v>46134</v>
      </c>
      <c r="AP9" s="118">
        <v>46218</v>
      </c>
      <c r="AQ9" s="118">
        <v>46233</v>
      </c>
      <c r="AR9" s="121">
        <v>46323</v>
      </c>
      <c r="AS9" s="121">
        <v>46323</v>
      </c>
      <c r="AT9" s="114" t="s">
        <v>2769</v>
      </c>
      <c r="AU9" s="115" t="s">
        <v>2770</v>
      </c>
      <c r="AV9" s="120"/>
      <c r="AW9" s="119"/>
      <c r="AX9" s="194" t="str">
        <f>IFERROR(IF(PAC!$X9="F01 - CAPTAÇÃO DE RECURSO",1,""),"")</f>
        <v/>
      </c>
      <c r="AY9" s="194">
        <f>IFERROR(IF(PAC!$X9="F02 - LICITAÇÃO",1,""),"")</f>
        <v>1</v>
      </c>
      <c r="AZ9" s="123" t="str">
        <f>IFERROR(IF(PAC!$X$6:$X$581="F03 - EXECUÇÃO DO OBJETO",1,""),"")</f>
        <v/>
      </c>
      <c r="BA9" s="123" t="str">
        <f>IFERROR(IF(PAC!$X$6:$X$581="F04 - CONCLUÍDA",1,""),"")</f>
        <v/>
      </c>
      <c r="BB9" s="191">
        <f>IF([1]PAC!$R9&gt;0,0,[1]PAC!$Q9)</f>
        <v>4050508.35</v>
      </c>
    </row>
    <row r="10" spans="1:70" s="1" customFormat="1" ht="408.95"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2470</v>
      </c>
      <c r="Z10" s="195">
        <v>46326</v>
      </c>
      <c r="AA10" s="105">
        <v>52</v>
      </c>
      <c r="AB10" s="40" t="s">
        <v>1472</v>
      </c>
      <c r="AC10" s="124" t="s">
        <v>2651</v>
      </c>
      <c r="AD10" s="195">
        <v>46326</v>
      </c>
      <c r="AE10" s="102" t="s">
        <v>1862</v>
      </c>
      <c r="AF10" s="40"/>
      <c r="AG10" s="40"/>
      <c r="AH10" s="40"/>
      <c r="AI10" s="40"/>
      <c r="AJ10" s="87"/>
      <c r="AK10" s="40" t="s">
        <v>1150</v>
      </c>
      <c r="AL10" s="40" t="s">
        <v>1076</v>
      </c>
      <c r="AM10" s="40"/>
      <c r="AN10" s="87">
        <v>45505</v>
      </c>
      <c r="AO10" s="87">
        <v>45597</v>
      </c>
      <c r="AP10" s="87">
        <v>45859</v>
      </c>
      <c r="AQ10" s="87">
        <v>45862</v>
      </c>
      <c r="AR10" s="106">
        <v>46342</v>
      </c>
      <c r="AS10" s="107">
        <v>46264</v>
      </c>
      <c r="AT10" s="102" t="s">
        <v>2506</v>
      </c>
      <c r="AU10" s="40" t="s">
        <v>2309</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2470</v>
      </c>
      <c r="Z11" s="118">
        <v>46438</v>
      </c>
      <c r="AA11" s="119">
        <v>66</v>
      </c>
      <c r="AB11" s="115" t="s">
        <v>1472</v>
      </c>
      <c r="AC11" s="115" t="s">
        <v>1861</v>
      </c>
      <c r="AD11" s="120"/>
      <c r="AE11" s="182"/>
      <c r="AF11" s="115"/>
      <c r="AG11" s="115" t="s">
        <v>2157</v>
      </c>
      <c r="AH11" s="115"/>
      <c r="AI11" s="115"/>
      <c r="AJ11" s="118"/>
      <c r="AK11" s="115"/>
      <c r="AL11" s="115"/>
      <c r="AM11" s="115"/>
      <c r="AN11" s="118">
        <v>45449</v>
      </c>
      <c r="AO11" s="118">
        <v>45477</v>
      </c>
      <c r="AP11" s="118">
        <v>45530</v>
      </c>
      <c r="AQ11" s="118">
        <v>45537</v>
      </c>
      <c r="AR11" s="121">
        <v>46438</v>
      </c>
      <c r="AS11" s="121">
        <v>46438</v>
      </c>
      <c r="AT11" s="114" t="s">
        <v>1642</v>
      </c>
      <c r="AU11" s="122" t="s">
        <v>2534</v>
      </c>
      <c r="AV11" s="120"/>
      <c r="AW11" s="119"/>
      <c r="AX11" s="194" t="str">
        <f>IFERROR(IF(PAC!$X11="F01 - CAPTAÇÃO DE RECURSO",1,""),"")</f>
        <v/>
      </c>
      <c r="AY11" s="194" t="str">
        <f>IFERROR(IF(PAC!$X11="F02 - LICITAÇÃO",1,""),"")</f>
        <v/>
      </c>
      <c r="AZ11" s="123">
        <f>IFERROR(IF(PAC!$X$6:$X$581="F03 - EXECUÇÃO DO OBJETO",1,""),"")</f>
        <v>1</v>
      </c>
      <c r="BA11" s="123" t="str">
        <f>IFERROR(IF(PAC!$X$6:$X$581="F04 - CONCLUÍDA",1,""),"")</f>
        <v/>
      </c>
      <c r="BB11" s="191">
        <f>IF(PAC!$R11&gt;0,0,PAC!$Q11)</f>
        <v>0</v>
      </c>
    </row>
    <row r="12" spans="1:70" s="1" customFormat="1" ht="350.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2470</v>
      </c>
      <c r="Z12" s="87">
        <v>46325</v>
      </c>
      <c r="AA12" s="105">
        <v>96.13</v>
      </c>
      <c r="AB12" s="40" t="s">
        <v>1472</v>
      </c>
      <c r="AC12" s="40" t="s">
        <v>1296</v>
      </c>
      <c r="AD12" s="106">
        <v>46325</v>
      </c>
      <c r="AE12" s="128"/>
      <c r="AF12" s="40"/>
      <c r="AG12" s="40" t="s">
        <v>1872</v>
      </c>
      <c r="AH12" s="40"/>
      <c r="AI12" s="40"/>
      <c r="AJ12" s="87"/>
      <c r="AK12" s="40"/>
      <c r="AL12" s="40"/>
      <c r="AM12" s="40"/>
      <c r="AN12" s="87">
        <v>44310</v>
      </c>
      <c r="AO12" s="87">
        <v>44378</v>
      </c>
      <c r="AP12" s="87">
        <v>44497</v>
      </c>
      <c r="AQ12" s="87">
        <v>44495</v>
      </c>
      <c r="AR12" s="107">
        <v>44860</v>
      </c>
      <c r="AS12" s="107">
        <v>46325</v>
      </c>
      <c r="AT12" s="124" t="s">
        <v>2161</v>
      </c>
      <c r="AU12" s="108" t="s">
        <v>2236</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2349</v>
      </c>
      <c r="U13" s="116" t="s">
        <v>1570</v>
      </c>
      <c r="V13" s="116"/>
      <c r="W13" s="117">
        <v>21</v>
      </c>
      <c r="X13" s="117" t="s">
        <v>1418</v>
      </c>
      <c r="Y13" s="113" t="s">
        <v>2472</v>
      </c>
      <c r="Z13" s="118">
        <v>46356</v>
      </c>
      <c r="AA13" s="119"/>
      <c r="AB13" s="115" t="s">
        <v>1457</v>
      </c>
      <c r="AC13" s="125" t="s">
        <v>2352</v>
      </c>
      <c r="AD13" s="120">
        <v>46356</v>
      </c>
      <c r="AE13" s="127" t="s">
        <v>2353</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2351</v>
      </c>
      <c r="AU13" s="182" t="s">
        <v>2350</v>
      </c>
      <c r="AV13" s="120"/>
      <c r="AW13" s="119"/>
      <c r="AX13" s="194" t="str">
        <f>IFERROR(IF(PAC!$X13="F01 - CAPTAÇÃO DE RECURSO",1,""),"")</f>
        <v/>
      </c>
      <c r="AY13" s="194">
        <f>IFERROR(IF(PAC!$X13="F02 - LICITAÇÃO",1,""),"")</f>
        <v>1</v>
      </c>
      <c r="AZ13" s="123" t="str">
        <f>IFERROR(IF(PAC!$X$6:$X$581="F03 - EXECUÇÃO DO OBJETO",1,""),"")</f>
        <v/>
      </c>
      <c r="BA13" s="123" t="str">
        <f>IFERROR(IF(PAC!$X$6:$X$581="F04 - CONCLUÍDA",1,""),"")</f>
        <v/>
      </c>
      <c r="BB13" s="191">
        <f>IF(PAC!$R13&gt;0,0,PAC!$Q13)</f>
        <v>0</v>
      </c>
    </row>
    <row r="14" spans="1:70" s="1" customFormat="1" ht="399.75"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2470</v>
      </c>
      <c r="Z14" s="87">
        <v>46590</v>
      </c>
      <c r="AA14" s="105">
        <v>12.88</v>
      </c>
      <c r="AB14" s="40" t="s">
        <v>1472</v>
      </c>
      <c r="AC14" s="40" t="s">
        <v>2128</v>
      </c>
      <c r="AD14" s="106">
        <v>46590</v>
      </c>
      <c r="AE14" s="128" t="s">
        <v>1296</v>
      </c>
      <c r="AF14" s="40" t="s">
        <v>470</v>
      </c>
      <c r="AG14" s="40" t="s">
        <v>1476</v>
      </c>
      <c r="AH14" s="40" t="s">
        <v>977</v>
      </c>
      <c r="AI14" s="40"/>
      <c r="AJ14" s="87">
        <v>46618</v>
      </c>
      <c r="AK14" s="40"/>
      <c r="AL14" s="40"/>
      <c r="AM14" s="40"/>
      <c r="AN14" s="87">
        <v>44792</v>
      </c>
      <c r="AO14" s="87">
        <v>44817</v>
      </c>
      <c r="AP14" s="87">
        <v>45376</v>
      </c>
      <c r="AQ14" s="87">
        <v>45553</v>
      </c>
      <c r="AR14" s="107">
        <v>46198</v>
      </c>
      <c r="AS14" s="107">
        <v>46590</v>
      </c>
      <c r="AT14" s="102" t="s">
        <v>2162</v>
      </c>
      <c r="AU14" s="108" t="s">
        <v>2528</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2471</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4" t="str">
        <f>IFERROR(IF(PAC!$X15="F01 - CAPTAÇÃO DE RECURSO",1,""),"")</f>
        <v/>
      </c>
      <c r="AY15" s="194" t="str">
        <f>IFERROR(IF(PAC!$X15="F02 - LICITAÇÃO",1,""),"")</f>
        <v/>
      </c>
      <c r="AZ15" s="123">
        <f>IFERROR(IF(PAC!$X$6:$X$581="F03 - EXECUÇÃO DO OBJETO",1,""),"")</f>
        <v>1</v>
      </c>
      <c r="BA15" s="123" t="str">
        <f>IFERROR(IF(PAC!$X$6:$X$581="F04 - CONCLUÍDA",1,""),"")</f>
        <v/>
      </c>
      <c r="BB15" s="191">
        <f>IF(PAC!$R15&gt;0,0,PAC!$Q15)</f>
        <v>118800000</v>
      </c>
    </row>
    <row r="16" spans="1:70" ht="228"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2482</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2138</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customHeight="1" thickBot="1">
      <c r="A17" s="112">
        <f t="shared" si="0"/>
        <v>12</v>
      </c>
      <c r="B17" s="112">
        <v>2026</v>
      </c>
      <c r="C17" s="112" t="s">
        <v>605</v>
      </c>
      <c r="D17" s="112" t="s">
        <v>1010</v>
      </c>
      <c r="E17" s="130" t="s">
        <v>2124</v>
      </c>
      <c r="F17" s="115" t="s">
        <v>56</v>
      </c>
      <c r="G17" s="115" t="s">
        <v>2125</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2470</v>
      </c>
      <c r="Z17" s="118">
        <v>46473</v>
      </c>
      <c r="AA17" s="119">
        <v>3</v>
      </c>
      <c r="AB17" s="115" t="s">
        <v>1472</v>
      </c>
      <c r="AC17" s="115" t="s">
        <v>1492</v>
      </c>
      <c r="AD17" s="120"/>
      <c r="AE17" s="114" t="s">
        <v>2282</v>
      </c>
      <c r="AF17" s="115"/>
      <c r="AG17" s="115" t="s">
        <v>2254</v>
      </c>
      <c r="AH17" s="115"/>
      <c r="AI17" s="115"/>
      <c r="AJ17" s="118"/>
      <c r="AK17" s="115"/>
      <c r="AL17" s="115" t="s">
        <v>2144</v>
      </c>
      <c r="AM17" s="115"/>
      <c r="AN17" s="118">
        <v>46095</v>
      </c>
      <c r="AO17" s="118">
        <v>46153</v>
      </c>
      <c r="AP17" s="118">
        <v>46167</v>
      </c>
      <c r="AQ17" s="118">
        <v>46169</v>
      </c>
      <c r="AR17" s="121">
        <v>46473</v>
      </c>
      <c r="AS17" s="121">
        <v>46473</v>
      </c>
      <c r="AT17" s="114"/>
      <c r="AU17" s="122"/>
      <c r="AV17" s="120"/>
      <c r="AW17" s="131" t="s">
        <v>481</v>
      </c>
      <c r="AX17" s="194" t="str">
        <f>IFERROR(IF(PAC!$X17="F01 - CAPTAÇÃO DE RECURSO",1,""),"")</f>
        <v/>
      </c>
      <c r="AY17" s="194" t="str">
        <f>IFERROR(IF(PAC!$X17="F02 - LICITAÇÃO",1,""),"")</f>
        <v/>
      </c>
      <c r="AZ17" s="123">
        <f>IFERROR(IF(PAC!$X$6:$X$581="F03 - EXECUÇÃO DO OBJETO",1,""),"")</f>
        <v>1</v>
      </c>
      <c r="BA17" s="123" t="str">
        <f>IFERROR(IF(PAC!$X$6:$X$581="F04 - CONCLUÍDA",1,""),"")</f>
        <v/>
      </c>
      <c r="BB17" s="191">
        <f>IF(PAC!$R17&gt;0,0,PAC!$Q17)</f>
        <v>0</v>
      </c>
      <c r="BC17" s="61"/>
      <c r="BF17" s="61"/>
      <c r="BH17" s="61"/>
      <c r="BI17" s="61"/>
      <c r="BP17" s="61"/>
      <c r="BQ17" s="61"/>
      <c r="BR17" s="61"/>
    </row>
    <row r="18" spans="1:70" ht="189.75" customHeight="1" thickBot="1">
      <c r="A18" s="88">
        <f t="shared" si="0"/>
        <v>13</v>
      </c>
      <c r="B18" s="88">
        <v>2026</v>
      </c>
      <c r="C18" s="88" t="s">
        <v>605</v>
      </c>
      <c r="D18" s="88" t="s">
        <v>1010</v>
      </c>
      <c r="E18" s="89" t="s">
        <v>2124</v>
      </c>
      <c r="F18" s="40" t="s">
        <v>56</v>
      </c>
      <c r="G18" s="40" t="s">
        <v>2125</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2281</v>
      </c>
      <c r="U18" s="103" t="s">
        <v>1562</v>
      </c>
      <c r="V18" s="103"/>
      <c r="W18" s="104">
        <v>10</v>
      </c>
      <c r="X18" s="104" t="s">
        <v>1694</v>
      </c>
      <c r="Y18" s="101" t="s">
        <v>2470</v>
      </c>
      <c r="Z18" s="87">
        <v>46489</v>
      </c>
      <c r="AA18" s="105">
        <v>0.01</v>
      </c>
      <c r="AB18" s="40" t="s">
        <v>1472</v>
      </c>
      <c r="AC18" s="40" t="s">
        <v>1492</v>
      </c>
      <c r="AD18" s="106"/>
      <c r="AE18" s="102" t="s">
        <v>2282</v>
      </c>
      <c r="AF18" s="40"/>
      <c r="AG18" s="40" t="s">
        <v>2255</v>
      </c>
      <c r="AH18" s="40"/>
      <c r="AI18" s="40"/>
      <c r="AJ18" s="87"/>
      <c r="AK18" s="40"/>
      <c r="AL18" s="40" t="s">
        <v>2145</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customHeight="1" thickBot="1">
      <c r="A19" s="112">
        <f t="shared" si="0"/>
        <v>14</v>
      </c>
      <c r="B19" s="112">
        <v>2026</v>
      </c>
      <c r="C19" s="112" t="s">
        <v>605</v>
      </c>
      <c r="D19" s="112" t="s">
        <v>1010</v>
      </c>
      <c r="E19" s="130" t="s">
        <v>2124</v>
      </c>
      <c r="F19" s="115" t="s">
        <v>56</v>
      </c>
      <c r="G19" s="115" t="s">
        <v>2125</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2470</v>
      </c>
      <c r="Z19" s="118">
        <v>46562</v>
      </c>
      <c r="AA19" s="119">
        <v>0</v>
      </c>
      <c r="AB19" s="115" t="s">
        <v>1472</v>
      </c>
      <c r="AC19" s="115" t="s">
        <v>1492</v>
      </c>
      <c r="AD19" s="120"/>
      <c r="AE19" s="114" t="s">
        <v>2282</v>
      </c>
      <c r="AF19" s="115"/>
      <c r="AG19" s="115" t="s">
        <v>2256</v>
      </c>
      <c r="AH19" s="115"/>
      <c r="AI19" s="115"/>
      <c r="AJ19" s="118"/>
      <c r="AK19" s="115"/>
      <c r="AL19" s="115" t="s">
        <v>2146</v>
      </c>
      <c r="AM19" s="115"/>
      <c r="AN19" s="118">
        <v>46095</v>
      </c>
      <c r="AO19" s="118">
        <v>46157</v>
      </c>
      <c r="AP19" s="118">
        <v>46256</v>
      </c>
      <c r="AQ19" s="118">
        <v>46258</v>
      </c>
      <c r="AR19" s="121">
        <v>46562</v>
      </c>
      <c r="AS19" s="121">
        <v>46562</v>
      </c>
      <c r="AT19" s="114"/>
      <c r="AU19" s="122"/>
      <c r="AV19" s="120"/>
      <c r="AW19" s="131" t="s">
        <v>481</v>
      </c>
      <c r="AX19" s="194" t="str">
        <f>IFERROR(IF(PAC!$X19="F01 - CAPTAÇÃO DE RECURSO",1,""),"")</f>
        <v/>
      </c>
      <c r="AY19" s="194" t="str">
        <f>IFERROR(IF(PAC!$X19="F02 - LICITAÇÃO",1,""),"")</f>
        <v/>
      </c>
      <c r="AZ19" s="123">
        <f>IFERROR(IF(PAC!$X$6:$X$581="F03 - EXECUÇÃO DO OBJETO",1,""),"")</f>
        <v>1</v>
      </c>
      <c r="BA19" s="123" t="str">
        <f>IFERROR(IF(PAC!$X$6:$X$581="F04 - CONCLUÍDA",1,""),"")</f>
        <v/>
      </c>
      <c r="BB19" s="191">
        <f>IF(PAC!$R19&gt;0,0,PAC!$Q19)</f>
        <v>0</v>
      </c>
      <c r="BC19" s="61"/>
      <c r="BF19" s="61"/>
      <c r="BH19" s="61"/>
      <c r="BI19" s="61"/>
      <c r="BP19" s="61"/>
      <c r="BQ19" s="61"/>
      <c r="BR19" s="61"/>
    </row>
    <row r="20" spans="1:70" ht="227.25"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2472</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2465</v>
      </c>
      <c r="AV20" s="106"/>
      <c r="AW20" s="105" t="s">
        <v>2466</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2472</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2054</v>
      </c>
      <c r="AV21" s="120"/>
      <c r="AW21" s="119" t="s">
        <v>2466</v>
      </c>
      <c r="AX21" s="194" t="str">
        <f>IFERROR(IF(PAC!$X21="F01 - CAPTAÇÃO DE RECURSO",1,""),"")</f>
        <v/>
      </c>
      <c r="AY21" s="194">
        <f>IFERROR(IF(PAC!$X21="F02 - LICITAÇÃO",1,""),"")</f>
        <v>1</v>
      </c>
      <c r="AZ21" s="123" t="str">
        <f>IFERROR(IF(PAC!$X$6:$X$581="F03 - EXECUÇÃO DO OBJETO",1,""),"")</f>
        <v/>
      </c>
      <c r="BA21" s="123" t="str">
        <f>IFERROR(IF(PAC!$X$6:$X$581="F04 - CONCLUÍDA",1,""),"")</f>
        <v/>
      </c>
      <c r="BB21" s="191">
        <f>IF(PAC!$R21&gt;0,0,PAC!$Q21)</f>
        <v>0</v>
      </c>
      <c r="BC21" s="61"/>
      <c r="BF21" s="61"/>
      <c r="BH21" s="61"/>
      <c r="BI21" s="61"/>
      <c r="BP21" s="61"/>
      <c r="BQ21" s="61"/>
      <c r="BR21" s="61"/>
    </row>
    <row r="22" spans="1:70" ht="227.25"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2472</v>
      </c>
      <c r="Z22" s="87"/>
      <c r="AA22" s="105"/>
      <c r="AB22" s="40" t="s">
        <v>1465</v>
      </c>
      <c r="AC22" s="40"/>
      <c r="AD22" s="106"/>
      <c r="AE22" s="102" t="s">
        <v>1865</v>
      </c>
      <c r="AF22" s="40" t="s">
        <v>921</v>
      </c>
      <c r="AG22" s="40" t="s">
        <v>618</v>
      </c>
      <c r="AH22" s="40" t="s">
        <v>977</v>
      </c>
      <c r="AI22" s="40"/>
      <c r="AJ22" s="87"/>
      <c r="AK22" s="40" t="s">
        <v>1039</v>
      </c>
      <c r="AL22" s="40" t="s">
        <v>2714</v>
      </c>
      <c r="AM22" s="40"/>
      <c r="AN22" s="87">
        <v>46066</v>
      </c>
      <c r="AO22" s="87">
        <v>46148</v>
      </c>
      <c r="AP22" s="87"/>
      <c r="AQ22" s="87"/>
      <c r="AR22" s="107"/>
      <c r="AS22" s="107"/>
      <c r="AT22" s="102" t="s">
        <v>1827</v>
      </c>
      <c r="AU22" s="40" t="s">
        <v>2054</v>
      </c>
      <c r="AV22" s="106"/>
      <c r="AW22" s="105" t="s">
        <v>2466</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2491</v>
      </c>
      <c r="U23" s="116" t="s">
        <v>1572</v>
      </c>
      <c r="V23" s="116"/>
      <c r="W23" s="117">
        <v>8</v>
      </c>
      <c r="X23" s="117" t="s">
        <v>1418</v>
      </c>
      <c r="Y23" s="113" t="s">
        <v>2471</v>
      </c>
      <c r="Z23" s="118"/>
      <c r="AA23" s="119"/>
      <c r="AB23" s="115" t="s">
        <v>1468</v>
      </c>
      <c r="AC23" s="115" t="s">
        <v>2294</v>
      </c>
      <c r="AD23" s="120"/>
      <c r="AE23" s="114" t="s">
        <v>1865</v>
      </c>
      <c r="AF23" s="115" t="s">
        <v>923</v>
      </c>
      <c r="AG23" s="115" t="s">
        <v>621</v>
      </c>
      <c r="AH23" s="115" t="s">
        <v>977</v>
      </c>
      <c r="AI23" s="115"/>
      <c r="AJ23" s="118"/>
      <c r="AK23" s="115" t="s">
        <v>1042</v>
      </c>
      <c r="AL23" s="115" t="s">
        <v>2715</v>
      </c>
      <c r="AM23" s="115"/>
      <c r="AN23" s="118">
        <v>46066</v>
      </c>
      <c r="AO23" s="118">
        <v>46147</v>
      </c>
      <c r="AP23" s="118">
        <v>46239</v>
      </c>
      <c r="AQ23" s="118"/>
      <c r="AR23" s="121"/>
      <c r="AS23" s="121"/>
      <c r="AT23" s="114" t="s">
        <v>1828</v>
      </c>
      <c r="AU23" s="115" t="s">
        <v>2447</v>
      </c>
      <c r="AV23" s="120"/>
      <c r="AW23" s="119" t="s">
        <v>2466</v>
      </c>
      <c r="AX23" s="194" t="str">
        <f>IFERROR(IF(PAC!$X23="F01 - CAPTAÇÃO DE RECURSO",1,""),"")</f>
        <v/>
      </c>
      <c r="AY23" s="194">
        <f>IFERROR(IF(PAC!$X23="F02 - LICITAÇÃO",1,""),"")</f>
        <v>1</v>
      </c>
      <c r="AZ23" s="123" t="str">
        <f>IFERROR(IF(PAC!$X$6:$X$581="F03 - EXECUÇÃO DO OBJETO",1,""),"")</f>
        <v/>
      </c>
      <c r="BA23" s="123" t="str">
        <f>IFERROR(IF(PAC!$X$6:$X$581="F04 - CONCLUÍDA",1,""),"")</f>
        <v/>
      </c>
      <c r="BB23" s="191">
        <f>IF(PAC!$R23&gt;0,0,PAC!$Q23)</f>
        <v>0</v>
      </c>
      <c r="BC23" s="61"/>
      <c r="BF23" s="61"/>
      <c r="BH23" s="61"/>
      <c r="BI23" s="61"/>
      <c r="BP23" s="61"/>
      <c r="BQ23" s="61"/>
      <c r="BR23" s="61"/>
    </row>
    <row r="24" spans="1:70" ht="227.25"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2491</v>
      </c>
      <c r="U24" s="103" t="s">
        <v>1572</v>
      </c>
      <c r="V24" s="103"/>
      <c r="W24" s="104">
        <v>8</v>
      </c>
      <c r="X24" s="104" t="s">
        <v>1418</v>
      </c>
      <c r="Y24" s="101" t="s">
        <v>2471</v>
      </c>
      <c r="Z24" s="87"/>
      <c r="AA24" s="105"/>
      <c r="AB24" s="40" t="s">
        <v>1468</v>
      </c>
      <c r="AC24" s="40" t="s">
        <v>2294</v>
      </c>
      <c r="AD24" s="106"/>
      <c r="AE24" s="102" t="s">
        <v>1867</v>
      </c>
      <c r="AF24" s="40" t="s">
        <v>924</v>
      </c>
      <c r="AG24" s="40" t="s">
        <v>622</v>
      </c>
      <c r="AH24" s="40" t="s">
        <v>977</v>
      </c>
      <c r="AI24" s="40"/>
      <c r="AJ24" s="87"/>
      <c r="AK24" s="40" t="s">
        <v>1043</v>
      </c>
      <c r="AL24" s="40" t="s">
        <v>2716</v>
      </c>
      <c r="AM24" s="40"/>
      <c r="AN24" s="87">
        <v>46066</v>
      </c>
      <c r="AO24" s="87">
        <v>46147</v>
      </c>
      <c r="AP24" s="87">
        <v>46239</v>
      </c>
      <c r="AQ24" s="87"/>
      <c r="AR24" s="107"/>
      <c r="AS24" s="107"/>
      <c r="AT24" s="102" t="s">
        <v>1829</v>
      </c>
      <c r="AU24" s="40" t="s">
        <v>2448</v>
      </c>
      <c r="AV24" s="106"/>
      <c r="AW24" s="105" t="s">
        <v>2466</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2462</v>
      </c>
      <c r="U25" s="116" t="s">
        <v>1572</v>
      </c>
      <c r="V25" s="116"/>
      <c r="W25" s="117">
        <v>8</v>
      </c>
      <c r="X25" s="117" t="s">
        <v>1418</v>
      </c>
      <c r="Y25" s="113" t="s">
        <v>2471</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2325</v>
      </c>
      <c r="AU25" s="115" t="s">
        <v>2060</v>
      </c>
      <c r="AV25" s="120"/>
      <c r="AW25" s="119" t="s">
        <v>2163</v>
      </c>
      <c r="AX25" s="194" t="str">
        <f>IFERROR(IF(PAC!$X25="F01 - CAPTAÇÃO DE RECURSO",1,""),"")</f>
        <v/>
      </c>
      <c r="AY25" s="194">
        <f>IFERROR(IF(PAC!$X25="F02 - LICITAÇÃO",1,""),"")</f>
        <v>1</v>
      </c>
      <c r="AZ25" s="123" t="str">
        <f>IFERROR(IF(PAC!$X$6:$X$581="F03 - EXECUÇÃO DO OBJETO",1,""),"")</f>
        <v/>
      </c>
      <c r="BA25" s="123" t="str">
        <f>IFERROR(IF(PAC!$X$6:$X$581="F04 - CONCLUÍDA",1,""),"")</f>
        <v/>
      </c>
      <c r="BB25" s="191">
        <f>IF(PAC!$R25&gt;0,0,PAC!$Q25)</f>
        <v>0</v>
      </c>
      <c r="BC25" s="61"/>
      <c r="BF25" s="61"/>
      <c r="BH25" s="61"/>
      <c r="BI25" s="61"/>
      <c r="BP25" s="61"/>
      <c r="BQ25" s="61"/>
      <c r="BR25" s="61"/>
    </row>
    <row r="26" spans="1:70" ht="321.75"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2711</v>
      </c>
      <c r="U26" s="103" t="s">
        <v>1572</v>
      </c>
      <c r="V26" s="103"/>
      <c r="W26" s="104">
        <v>8</v>
      </c>
      <c r="X26" s="104" t="s">
        <v>1418</v>
      </c>
      <c r="Y26" s="101" t="s">
        <v>2471</v>
      </c>
      <c r="Z26" s="87"/>
      <c r="AA26" s="105"/>
      <c r="AB26" s="40" t="s">
        <v>1465</v>
      </c>
      <c r="AC26" s="40"/>
      <c r="AD26" s="106"/>
      <c r="AE26" s="102" t="s">
        <v>2707</v>
      </c>
      <c r="AF26" s="40" t="s">
        <v>925</v>
      </c>
      <c r="AG26" s="40" t="s">
        <v>623</v>
      </c>
      <c r="AH26" s="40" t="s">
        <v>977</v>
      </c>
      <c r="AI26" s="40"/>
      <c r="AJ26" s="87"/>
      <c r="AK26" s="40" t="s">
        <v>1044</v>
      </c>
      <c r="AL26" s="40" t="s">
        <v>2717</v>
      </c>
      <c r="AM26" s="40"/>
      <c r="AN26" s="87">
        <v>46066</v>
      </c>
      <c r="AO26" s="87">
        <v>46147</v>
      </c>
      <c r="AP26" s="87"/>
      <c r="AQ26" s="87"/>
      <c r="AR26" s="107"/>
      <c r="AS26" s="107"/>
      <c r="AT26" s="102" t="s">
        <v>1830</v>
      </c>
      <c r="AU26" s="40" t="s">
        <v>2056</v>
      </c>
      <c r="AV26" s="106"/>
      <c r="AW26" s="105" t="s">
        <v>2466</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2711</v>
      </c>
      <c r="U27" s="116" t="s">
        <v>1572</v>
      </c>
      <c r="V27" s="116"/>
      <c r="W27" s="117">
        <v>8</v>
      </c>
      <c r="X27" s="117" t="s">
        <v>1418</v>
      </c>
      <c r="Y27" s="113" t="s">
        <v>2471</v>
      </c>
      <c r="Z27" s="118"/>
      <c r="AA27" s="119"/>
      <c r="AB27" s="115" t="s">
        <v>1465</v>
      </c>
      <c r="AC27" s="115"/>
      <c r="AD27" s="120"/>
      <c r="AE27" s="114" t="s">
        <v>2708</v>
      </c>
      <c r="AF27" s="115" t="s">
        <v>926</v>
      </c>
      <c r="AG27" s="115" t="s">
        <v>624</v>
      </c>
      <c r="AH27" s="115" t="s">
        <v>977</v>
      </c>
      <c r="AI27" s="115"/>
      <c r="AJ27" s="118"/>
      <c r="AK27" s="115" t="s">
        <v>1045</v>
      </c>
      <c r="AL27" s="115" t="s">
        <v>2718</v>
      </c>
      <c r="AM27" s="115"/>
      <c r="AN27" s="118">
        <v>46066</v>
      </c>
      <c r="AO27" s="118">
        <v>46147</v>
      </c>
      <c r="AP27" s="118"/>
      <c r="AQ27" s="118"/>
      <c r="AR27" s="121"/>
      <c r="AS27" s="121"/>
      <c r="AT27" s="114" t="s">
        <v>1831</v>
      </c>
      <c r="AU27" s="115" t="s">
        <v>2057</v>
      </c>
      <c r="AV27" s="120"/>
      <c r="AW27" s="119" t="s">
        <v>2466</v>
      </c>
      <c r="AX27" s="194" t="str">
        <f>IFERROR(IF(PAC!$X27="F01 - CAPTAÇÃO DE RECURSO",1,""),"")</f>
        <v/>
      </c>
      <c r="AY27" s="194">
        <f>IFERROR(IF(PAC!$X27="F02 - LICITAÇÃO",1,""),"")</f>
        <v>1</v>
      </c>
      <c r="AZ27" s="123" t="str">
        <f>IFERROR(IF(PAC!$X$6:$X$581="F03 - EXECUÇÃO DO OBJETO",1,""),"")</f>
        <v/>
      </c>
      <c r="BA27" s="123" t="str">
        <f>IFERROR(IF(PAC!$X$6:$X$581="F04 - CONCLUÍDA",1,""),"")</f>
        <v/>
      </c>
      <c r="BB27" s="191">
        <f>IF(PAC!$R27&gt;0,0,PAC!$Q27)</f>
        <v>0</v>
      </c>
      <c r="BC27" s="61"/>
      <c r="BF27" s="61"/>
      <c r="BH27" s="61"/>
      <c r="BI27" s="61"/>
      <c r="BP27" s="61"/>
      <c r="BQ27" s="61"/>
      <c r="BR27" s="61"/>
    </row>
    <row r="28" spans="1:70" ht="273.75"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2711</v>
      </c>
      <c r="U28" s="103" t="s">
        <v>1572</v>
      </c>
      <c r="V28" s="103"/>
      <c r="W28" s="104">
        <v>8</v>
      </c>
      <c r="X28" s="104" t="s">
        <v>1418</v>
      </c>
      <c r="Y28" s="101" t="s">
        <v>2471</v>
      </c>
      <c r="Z28" s="87"/>
      <c r="AA28" s="105"/>
      <c r="AB28" s="40" t="s">
        <v>1465</v>
      </c>
      <c r="AC28" s="40"/>
      <c r="AD28" s="106"/>
      <c r="AE28" s="102" t="s">
        <v>2709</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2057</v>
      </c>
      <c r="AV28" s="106"/>
      <c r="AW28" s="105" t="s">
        <v>2466</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2711</v>
      </c>
      <c r="U29" s="116" t="s">
        <v>1572</v>
      </c>
      <c r="V29" s="116"/>
      <c r="W29" s="117">
        <v>8</v>
      </c>
      <c r="X29" s="117" t="s">
        <v>1418</v>
      </c>
      <c r="Y29" s="113" t="s">
        <v>2471</v>
      </c>
      <c r="Z29" s="118"/>
      <c r="AA29" s="119"/>
      <c r="AB29" s="115" t="s">
        <v>1465</v>
      </c>
      <c r="AC29" s="115"/>
      <c r="AD29" s="120"/>
      <c r="AE29" s="114" t="s">
        <v>2710</v>
      </c>
      <c r="AF29" s="115" t="s">
        <v>928</v>
      </c>
      <c r="AG29" s="115" t="s">
        <v>626</v>
      </c>
      <c r="AH29" s="115" t="s">
        <v>977</v>
      </c>
      <c r="AI29" s="115"/>
      <c r="AJ29" s="118"/>
      <c r="AK29" s="115" t="s">
        <v>1047</v>
      </c>
      <c r="AL29" s="115" t="s">
        <v>2719</v>
      </c>
      <c r="AM29" s="115"/>
      <c r="AN29" s="118">
        <v>46066</v>
      </c>
      <c r="AO29" s="118">
        <v>46147</v>
      </c>
      <c r="AP29" s="118"/>
      <c r="AQ29" s="118"/>
      <c r="AR29" s="121"/>
      <c r="AS29" s="121"/>
      <c r="AT29" s="114" t="s">
        <v>1833</v>
      </c>
      <c r="AU29" s="115" t="s">
        <v>2058</v>
      </c>
      <c r="AV29" s="120"/>
      <c r="AW29" s="119" t="s">
        <v>2466</v>
      </c>
      <c r="AX29" s="194" t="str">
        <f>IFERROR(IF(PAC!$X29="F01 - CAPTAÇÃO DE RECURSO",1,""),"")</f>
        <v/>
      </c>
      <c r="AY29" s="194">
        <f>IFERROR(IF(PAC!$X29="F02 - LICITAÇÃO",1,""),"")</f>
        <v>1</v>
      </c>
      <c r="AZ29" s="123" t="str">
        <f>IFERROR(IF(PAC!$X$6:$X$581="F03 - EXECUÇÃO DO OBJETO",1,""),"")</f>
        <v/>
      </c>
      <c r="BA29" s="123" t="str">
        <f>IFERROR(IF(PAC!$X$6:$X$581="F04 - CONCLUÍDA",1,""),"")</f>
        <v/>
      </c>
      <c r="BB29" s="191">
        <f>IF(PAC!$R29&gt;0,0,PAC!$Q29)</f>
        <v>0</v>
      </c>
      <c r="BC29" s="61"/>
      <c r="BF29" s="61"/>
      <c r="BH29" s="61"/>
      <c r="BI29" s="61"/>
      <c r="BP29" s="61"/>
      <c r="BQ29" s="61"/>
      <c r="BR29" s="61"/>
    </row>
    <row r="30" spans="1:70" ht="252.75"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2462</v>
      </c>
      <c r="U30" s="103" t="s">
        <v>1572</v>
      </c>
      <c r="V30" s="103"/>
      <c r="W30" s="104">
        <v>8</v>
      </c>
      <c r="X30" s="104" t="s">
        <v>1418</v>
      </c>
      <c r="Y30" s="101" t="s">
        <v>2471</v>
      </c>
      <c r="Z30" s="87"/>
      <c r="AA30" s="105"/>
      <c r="AB30" s="40" t="s">
        <v>1465</v>
      </c>
      <c r="AC30" s="40"/>
      <c r="AD30" s="106"/>
      <c r="AE30" s="102" t="s">
        <v>1865</v>
      </c>
      <c r="AF30" s="40" t="s">
        <v>929</v>
      </c>
      <c r="AG30" s="40" t="s">
        <v>627</v>
      </c>
      <c r="AH30" s="40" t="s">
        <v>977</v>
      </c>
      <c r="AI30" s="40"/>
      <c r="AJ30" s="87"/>
      <c r="AK30" s="40" t="s">
        <v>1049</v>
      </c>
      <c r="AL30" s="40" t="s">
        <v>2756</v>
      </c>
      <c r="AM30" s="40"/>
      <c r="AN30" s="87">
        <v>46066</v>
      </c>
      <c r="AO30" s="87">
        <v>46146</v>
      </c>
      <c r="AP30" s="87">
        <v>46224</v>
      </c>
      <c r="AQ30" s="87"/>
      <c r="AR30" s="107"/>
      <c r="AS30" s="107"/>
      <c r="AT30" s="102" t="s">
        <v>2326</v>
      </c>
      <c r="AU30" s="40" t="s">
        <v>2061</v>
      </c>
      <c r="AV30" s="106"/>
      <c r="AW30" s="105" t="s">
        <v>2466</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2491</v>
      </c>
      <c r="U31" s="116" t="s">
        <v>1572</v>
      </c>
      <c r="V31" s="116"/>
      <c r="W31" s="117">
        <v>8</v>
      </c>
      <c r="X31" s="117" t="s">
        <v>1418</v>
      </c>
      <c r="Y31" s="113" t="s">
        <v>2470</v>
      </c>
      <c r="Z31" s="118"/>
      <c r="AA31" s="119"/>
      <c r="AB31" s="115" t="s">
        <v>1468</v>
      </c>
      <c r="AC31" s="115" t="s">
        <v>2294</v>
      </c>
      <c r="AD31" s="120"/>
      <c r="AE31" s="114" t="s">
        <v>1868</v>
      </c>
      <c r="AF31" s="115" t="s">
        <v>930</v>
      </c>
      <c r="AG31" s="115" t="s">
        <v>628</v>
      </c>
      <c r="AH31" s="115" t="s">
        <v>977</v>
      </c>
      <c r="AI31" s="115"/>
      <c r="AJ31" s="118"/>
      <c r="AK31" s="115" t="s">
        <v>1050</v>
      </c>
      <c r="AL31" s="115" t="s">
        <v>2720</v>
      </c>
      <c r="AM31" s="115"/>
      <c r="AN31" s="118">
        <v>46066</v>
      </c>
      <c r="AO31" s="118">
        <v>46147</v>
      </c>
      <c r="AP31" s="118">
        <v>46239</v>
      </c>
      <c r="AQ31" s="118"/>
      <c r="AR31" s="121"/>
      <c r="AS31" s="121"/>
      <c r="AT31" s="114" t="s">
        <v>1834</v>
      </c>
      <c r="AU31" s="115" t="s">
        <v>2449</v>
      </c>
      <c r="AV31" s="120"/>
      <c r="AW31" s="119" t="s">
        <v>2466</v>
      </c>
      <c r="AX31" s="194" t="str">
        <f>IFERROR(IF(PAC!$X31="F01 - CAPTAÇÃO DE RECURSO",1,""),"")</f>
        <v/>
      </c>
      <c r="AY31" s="194">
        <f>IFERROR(IF(PAC!$X31="F02 - LICITAÇÃO",1,""),"")</f>
        <v>1</v>
      </c>
      <c r="AZ31" s="123" t="str">
        <f>IFERROR(IF(PAC!$X$6:$X$581="F03 - EXECUÇÃO DO OBJETO",1,""),"")</f>
        <v/>
      </c>
      <c r="BA31" s="123" t="str">
        <f>IFERROR(IF(PAC!$X$6:$X$581="F04 - CONCLUÍDA",1,""),"")</f>
        <v/>
      </c>
      <c r="BB31" s="191">
        <f>IF(PAC!$R31&gt;0,0,PAC!$Q31)</f>
        <v>0</v>
      </c>
      <c r="BC31" s="61"/>
      <c r="BF31" s="61"/>
      <c r="BH31" s="61"/>
      <c r="BI31" s="61"/>
      <c r="BP31" s="61"/>
      <c r="BQ31" s="61"/>
      <c r="BR31" s="61"/>
    </row>
    <row r="32" spans="1:70" ht="289.5"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2711</v>
      </c>
      <c r="U32" s="103" t="s">
        <v>1572</v>
      </c>
      <c r="V32" s="103"/>
      <c r="W32" s="104">
        <v>8</v>
      </c>
      <c r="X32" s="104" t="s">
        <v>1418</v>
      </c>
      <c r="Y32" s="101" t="s">
        <v>2471</v>
      </c>
      <c r="Z32" s="87"/>
      <c r="AA32" s="105"/>
      <c r="AB32" s="40" t="s">
        <v>1465</v>
      </c>
      <c r="AC32" s="40"/>
      <c r="AD32" s="106"/>
      <c r="AE32" s="102" t="s">
        <v>2709</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2059</v>
      </c>
      <c r="AV32" s="106"/>
      <c r="AW32" s="105" t="s">
        <v>2466</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2472</v>
      </c>
      <c r="Z33" s="118"/>
      <c r="AA33" s="119"/>
      <c r="AB33" s="115" t="s">
        <v>1464</v>
      </c>
      <c r="AC33" s="115"/>
      <c r="AD33" s="120"/>
      <c r="AE33" s="114" t="s">
        <v>1865</v>
      </c>
      <c r="AF33" s="115" t="s">
        <v>932</v>
      </c>
      <c r="AG33" s="115" t="s">
        <v>630</v>
      </c>
      <c r="AH33" s="115" t="s">
        <v>977</v>
      </c>
      <c r="AI33" s="115"/>
      <c r="AJ33" s="118"/>
      <c r="AK33" s="115" t="s">
        <v>1052</v>
      </c>
      <c r="AL33" s="115" t="s">
        <v>2721</v>
      </c>
      <c r="AM33" s="115"/>
      <c r="AN33" s="118">
        <v>46066</v>
      </c>
      <c r="AO33" s="118">
        <v>46148</v>
      </c>
      <c r="AP33" s="118"/>
      <c r="AQ33" s="118"/>
      <c r="AR33" s="121"/>
      <c r="AS33" s="121"/>
      <c r="AT33" s="114" t="s">
        <v>1836</v>
      </c>
      <c r="AU33" s="115" t="s">
        <v>2054</v>
      </c>
      <c r="AV33" s="120"/>
      <c r="AW33" s="119" t="s">
        <v>2466</v>
      </c>
      <c r="AX33" s="194" t="str">
        <f>IFERROR(IF(PAC!$X33="F01 - CAPTAÇÃO DE RECURSO",1,""),"")</f>
        <v/>
      </c>
      <c r="AY33" s="194">
        <f>IFERROR(IF(PAC!$X33="F02 - LICITAÇÃO",1,""),"")</f>
        <v>1</v>
      </c>
      <c r="AZ33" s="123" t="str">
        <f>IFERROR(IF(PAC!$X$6:$X$581="F03 - EXECUÇÃO DO OBJETO",1,""),"")</f>
        <v/>
      </c>
      <c r="BA33" s="123" t="str">
        <f>IFERROR(IF(PAC!$X$6:$X$581="F04 - CONCLUÍDA",1,""),"")</f>
        <v/>
      </c>
      <c r="BB33" s="191">
        <f>IF(PAC!$R33&gt;0,0,PAC!$Q33)</f>
        <v>0</v>
      </c>
      <c r="BC33" s="61"/>
      <c r="BF33" s="61"/>
      <c r="BH33" s="61"/>
      <c r="BI33" s="61"/>
      <c r="BP33" s="61"/>
      <c r="BQ33" s="61"/>
      <c r="BR33" s="61"/>
    </row>
    <row r="34" spans="1:70" ht="218.25"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2472</v>
      </c>
      <c r="Z34" s="87"/>
      <c r="AA34" s="105"/>
      <c r="AB34" s="40" t="s">
        <v>1465</v>
      </c>
      <c r="AC34" s="40"/>
      <c r="AD34" s="106"/>
      <c r="AE34" s="102" t="s">
        <v>1865</v>
      </c>
      <c r="AF34" s="40" t="s">
        <v>933</v>
      </c>
      <c r="AG34" s="40" t="s">
        <v>631</v>
      </c>
      <c r="AH34" s="40" t="s">
        <v>977</v>
      </c>
      <c r="AI34" s="40"/>
      <c r="AJ34" s="87"/>
      <c r="AK34" s="40" t="s">
        <v>1053</v>
      </c>
      <c r="AL34" s="40" t="s">
        <v>2757</v>
      </c>
      <c r="AM34" s="40"/>
      <c r="AN34" s="87">
        <v>46066</v>
      </c>
      <c r="AO34" s="87">
        <v>46148</v>
      </c>
      <c r="AP34" s="87"/>
      <c r="AQ34" s="87"/>
      <c r="AR34" s="107"/>
      <c r="AS34" s="107"/>
      <c r="AT34" s="102" t="s">
        <v>1837</v>
      </c>
      <c r="AU34" s="40" t="s">
        <v>2055</v>
      </c>
      <c r="AV34" s="106"/>
      <c r="AW34" s="105" t="s">
        <v>2466</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2491</v>
      </c>
      <c r="U35" s="116" t="s">
        <v>1572</v>
      </c>
      <c r="V35" s="116"/>
      <c r="W35" s="117">
        <v>8</v>
      </c>
      <c r="X35" s="117" t="s">
        <v>1418</v>
      </c>
      <c r="Y35" s="113" t="s">
        <v>2470</v>
      </c>
      <c r="Z35" s="118"/>
      <c r="AA35" s="119"/>
      <c r="AB35" s="115" t="s">
        <v>1468</v>
      </c>
      <c r="AC35" s="115" t="s">
        <v>2294</v>
      </c>
      <c r="AD35" s="120"/>
      <c r="AE35" s="114" t="s">
        <v>1865</v>
      </c>
      <c r="AF35" s="115" t="s">
        <v>934</v>
      </c>
      <c r="AG35" s="115" t="s">
        <v>632</v>
      </c>
      <c r="AH35" s="115" t="s">
        <v>977</v>
      </c>
      <c r="AI35" s="115"/>
      <c r="AJ35" s="118"/>
      <c r="AK35" s="115" t="s">
        <v>1054</v>
      </c>
      <c r="AL35" s="115" t="s">
        <v>2722</v>
      </c>
      <c r="AM35" s="115"/>
      <c r="AN35" s="118">
        <v>46066</v>
      </c>
      <c r="AO35" s="118">
        <v>46147</v>
      </c>
      <c r="AP35" s="118">
        <v>46239</v>
      </c>
      <c r="AQ35" s="118"/>
      <c r="AR35" s="121"/>
      <c r="AS35" s="121"/>
      <c r="AT35" s="114" t="s">
        <v>1838</v>
      </c>
      <c r="AU35" s="115" t="s">
        <v>2450</v>
      </c>
      <c r="AV35" s="120"/>
      <c r="AW35" s="119" t="s">
        <v>2466</v>
      </c>
      <c r="AX35" s="194" t="str">
        <f>IFERROR(IF(PAC!$X35="F01 - CAPTAÇÃO DE RECURSO",1,""),"")</f>
        <v/>
      </c>
      <c r="AY35" s="194">
        <f>IFERROR(IF(PAC!$X35="F02 - LICITAÇÃO",1,""),"")</f>
        <v>1</v>
      </c>
      <c r="AZ35" s="123" t="str">
        <f>IFERROR(IF(PAC!$X$6:$X$581="F03 - EXECUÇÃO DO OBJETO",1,""),"")</f>
        <v/>
      </c>
      <c r="BA35" s="123" t="str">
        <f>IFERROR(IF(PAC!$X$6:$X$581="F04 - CONCLUÍDA",1,""),"")</f>
        <v/>
      </c>
      <c r="BB35" s="191">
        <f>IF(PAC!$R35&gt;0,0,PAC!$Q35)</f>
        <v>0</v>
      </c>
      <c r="BC35" s="61"/>
      <c r="BF35" s="61"/>
      <c r="BH35" s="61"/>
      <c r="BI35" s="61"/>
      <c r="BP35" s="61"/>
      <c r="BQ35" s="61"/>
      <c r="BR35" s="61"/>
    </row>
    <row r="36" spans="1:70" ht="288"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2300</v>
      </c>
      <c r="U36" s="103" t="s">
        <v>1572</v>
      </c>
      <c r="V36" s="103"/>
      <c r="W36" s="104">
        <v>8</v>
      </c>
      <c r="X36" s="104" t="s">
        <v>1418</v>
      </c>
      <c r="Y36" s="101" t="s">
        <v>2470</v>
      </c>
      <c r="Z36" s="87"/>
      <c r="AA36" s="105"/>
      <c r="AB36" s="40" t="s">
        <v>1467</v>
      </c>
      <c r="AC36" s="40" t="s">
        <v>2294</v>
      </c>
      <c r="AD36" s="106"/>
      <c r="AE36" s="102" t="s">
        <v>1870</v>
      </c>
      <c r="AF36" s="40" t="s">
        <v>935</v>
      </c>
      <c r="AG36" s="40" t="s">
        <v>633</v>
      </c>
      <c r="AH36" s="40" t="s">
        <v>977</v>
      </c>
      <c r="AI36" s="40"/>
      <c r="AJ36" s="87"/>
      <c r="AK36" s="40" t="s">
        <v>1055</v>
      </c>
      <c r="AL36" s="40" t="s">
        <v>2723</v>
      </c>
      <c r="AM36" s="40"/>
      <c r="AN36" s="87">
        <v>46066</v>
      </c>
      <c r="AO36" s="87">
        <v>46148</v>
      </c>
      <c r="AP36" s="87">
        <v>46185</v>
      </c>
      <c r="AQ36" s="87">
        <v>46198</v>
      </c>
      <c r="AR36" s="107">
        <v>46563</v>
      </c>
      <c r="AS36" s="107"/>
      <c r="AT36" s="102" t="s">
        <v>2298</v>
      </c>
      <c r="AU36" s="40" t="s">
        <v>2297</v>
      </c>
      <c r="AV36" s="106"/>
      <c r="AW36" s="105" t="s">
        <v>2466</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2302</v>
      </c>
      <c r="U37" s="116" t="s">
        <v>1572</v>
      </c>
      <c r="V37" s="116"/>
      <c r="W37" s="117">
        <v>8</v>
      </c>
      <c r="X37" s="117" t="s">
        <v>1418</v>
      </c>
      <c r="Y37" s="113" t="s">
        <v>2470</v>
      </c>
      <c r="Z37" s="118"/>
      <c r="AA37" s="119"/>
      <c r="AB37" s="115" t="s">
        <v>1467</v>
      </c>
      <c r="AC37" s="115" t="s">
        <v>2294</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2304</v>
      </c>
      <c r="AU37" s="115" t="s">
        <v>2295</v>
      </c>
      <c r="AV37" s="120"/>
      <c r="AW37" s="119" t="s">
        <v>2466</v>
      </c>
      <c r="AX37" s="194" t="str">
        <f>IFERROR(IF(PAC!$X37="F01 - CAPTAÇÃO DE RECURSO",1,""),"")</f>
        <v/>
      </c>
      <c r="AY37" s="194">
        <f>IFERROR(IF(PAC!$X37="F02 - LICITAÇÃO",1,""),"")</f>
        <v>1</v>
      </c>
      <c r="AZ37" s="123" t="str">
        <f>IFERROR(IF(PAC!$X$6:$X$581="F03 - EXECUÇÃO DO OBJETO",1,""),"")</f>
        <v/>
      </c>
      <c r="BA37" s="123" t="str">
        <f>IFERROR(IF(PAC!$X$6:$X$581="F04 - CONCLUÍDA",1,""),"")</f>
        <v/>
      </c>
      <c r="BB37" s="191">
        <f>IF(PAC!$R37&gt;0,0,PAC!$Q37)</f>
        <v>0</v>
      </c>
      <c r="BC37" s="61"/>
      <c r="BF37" s="61"/>
      <c r="BH37" s="61"/>
      <c r="BI37" s="61"/>
      <c r="BP37" s="61"/>
      <c r="BQ37" s="61"/>
      <c r="BR37" s="61"/>
    </row>
    <row r="38" spans="1:70" ht="210.75"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2302</v>
      </c>
      <c r="U38" s="103" t="s">
        <v>1572</v>
      </c>
      <c r="V38" s="103"/>
      <c r="W38" s="104">
        <v>8</v>
      </c>
      <c r="X38" s="104" t="s">
        <v>1418</v>
      </c>
      <c r="Y38" s="101" t="s">
        <v>2470</v>
      </c>
      <c r="Z38" s="87"/>
      <c r="AA38" s="105"/>
      <c r="AB38" s="40" t="s">
        <v>1467</v>
      </c>
      <c r="AC38" s="105" t="s">
        <v>2294</v>
      </c>
      <c r="AD38" s="106"/>
      <c r="AE38" s="102" t="s">
        <v>1871</v>
      </c>
      <c r="AF38" s="40" t="s">
        <v>937</v>
      </c>
      <c r="AG38" s="40" t="s">
        <v>635</v>
      </c>
      <c r="AH38" s="40" t="s">
        <v>977</v>
      </c>
      <c r="AI38" s="40"/>
      <c r="AJ38" s="87"/>
      <c r="AK38" s="40" t="s">
        <v>1057</v>
      </c>
      <c r="AL38" s="40" t="s">
        <v>2724</v>
      </c>
      <c r="AM38" s="40"/>
      <c r="AN38" s="87">
        <v>46066</v>
      </c>
      <c r="AO38" s="87">
        <v>46146</v>
      </c>
      <c r="AP38" s="87">
        <v>46188</v>
      </c>
      <c r="AQ38" s="87">
        <v>46191</v>
      </c>
      <c r="AR38" s="107">
        <v>46563</v>
      </c>
      <c r="AS38" s="107"/>
      <c r="AT38" s="102" t="s">
        <v>2305</v>
      </c>
      <c r="AU38" s="105" t="s">
        <v>2296</v>
      </c>
      <c r="AV38" s="106"/>
      <c r="AW38" s="105" t="s">
        <v>2466</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2473</v>
      </c>
      <c r="Z39" s="118"/>
      <c r="AA39" s="119"/>
      <c r="AB39" s="115" t="s">
        <v>1457</v>
      </c>
      <c r="AC39" s="119" t="s">
        <v>2089</v>
      </c>
      <c r="AD39" s="120"/>
      <c r="AE39" s="114" t="s">
        <v>1665</v>
      </c>
      <c r="AF39" s="115" t="s">
        <v>1666</v>
      </c>
      <c r="AG39" s="115" t="s">
        <v>2245</v>
      </c>
      <c r="AH39" s="115" t="s">
        <v>1974</v>
      </c>
      <c r="AI39" s="115" t="s">
        <v>2090</v>
      </c>
      <c r="AJ39" s="118">
        <v>46380</v>
      </c>
      <c r="AK39" s="115"/>
      <c r="AL39" s="115"/>
      <c r="AM39" s="115"/>
      <c r="AN39" s="118"/>
      <c r="AO39" s="118"/>
      <c r="AP39" s="118"/>
      <c r="AQ39" s="118"/>
      <c r="AR39" s="121"/>
      <c r="AS39" s="121"/>
      <c r="AT39" s="114"/>
      <c r="AU39" s="133"/>
      <c r="AV39" s="120"/>
      <c r="AW39" s="119"/>
      <c r="AX39" s="194">
        <f>IFERROR(IF(PAC!$X39="F01 - CAPTAÇÃO DE RECURSO",1,""),"")</f>
        <v>1</v>
      </c>
      <c r="AY39" s="194" t="str">
        <f>IFERROR(IF(PAC!$X39="F02 - LICITAÇÃO",1,""),"")</f>
        <v/>
      </c>
      <c r="AZ39" s="123" t="str">
        <f>IFERROR(IF(PAC!$X$6:$X$581="F03 - EXECUÇÃO DO OBJETO",1,""),"")</f>
        <v/>
      </c>
      <c r="BA39" s="123" t="str">
        <f>IFERROR(IF(PAC!$X$6:$X$581="F04 - CONCLUÍDA",1,""),"")</f>
        <v/>
      </c>
      <c r="BB39" s="191">
        <f>IF(PAC!$R39&gt;0,0,PAC!$Q39)</f>
        <v>2559128.6</v>
      </c>
    </row>
    <row r="40" spans="1:70" s="1" customFormat="1" ht="294.75"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2473</v>
      </c>
      <c r="Z40" s="87"/>
      <c r="AA40" s="105"/>
      <c r="AB40" s="40" t="s">
        <v>1457</v>
      </c>
      <c r="AC40" s="105" t="s">
        <v>2089</v>
      </c>
      <c r="AD40" s="106"/>
      <c r="AE40" s="102" t="s">
        <v>1663</v>
      </c>
      <c r="AF40" s="40" t="s">
        <v>1664</v>
      </c>
      <c r="AG40" s="40" t="s">
        <v>2246</v>
      </c>
      <c r="AH40" s="40" t="s">
        <v>1974</v>
      </c>
      <c r="AI40" s="40" t="s">
        <v>2090</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2300</v>
      </c>
      <c r="U41" s="116" t="s">
        <v>1572</v>
      </c>
      <c r="V41" s="116"/>
      <c r="W41" s="117">
        <v>8</v>
      </c>
      <c r="X41" s="117" t="s">
        <v>1418</v>
      </c>
      <c r="Y41" s="113" t="s">
        <v>2470</v>
      </c>
      <c r="Z41" s="118"/>
      <c r="AA41" s="119"/>
      <c r="AB41" s="115" t="s">
        <v>1467</v>
      </c>
      <c r="AC41" s="115" t="s">
        <v>2294</v>
      </c>
      <c r="AD41" s="120"/>
      <c r="AE41" s="114" t="s">
        <v>1871</v>
      </c>
      <c r="AF41" s="115" t="s">
        <v>938</v>
      </c>
      <c r="AG41" s="115" t="s">
        <v>636</v>
      </c>
      <c r="AH41" s="115" t="s">
        <v>977</v>
      </c>
      <c r="AI41" s="115"/>
      <c r="AJ41" s="118"/>
      <c r="AK41" s="115" t="s">
        <v>1058</v>
      </c>
      <c r="AL41" s="115" t="s">
        <v>2725</v>
      </c>
      <c r="AM41" s="115"/>
      <c r="AN41" s="118">
        <v>46066</v>
      </c>
      <c r="AO41" s="118">
        <v>46148</v>
      </c>
      <c r="AP41" s="118">
        <v>46185</v>
      </c>
      <c r="AQ41" s="118">
        <v>46198</v>
      </c>
      <c r="AR41" s="121">
        <v>46563</v>
      </c>
      <c r="AS41" s="121"/>
      <c r="AT41" s="114" t="s">
        <v>2299</v>
      </c>
      <c r="AU41" s="115" t="s">
        <v>2297</v>
      </c>
      <c r="AV41" s="120"/>
      <c r="AW41" s="119" t="s">
        <v>2466</v>
      </c>
      <c r="AX41" s="194" t="str">
        <f>IFERROR(IF(PAC!$X41="F01 - CAPTAÇÃO DE RECURSO",1,""),"")</f>
        <v/>
      </c>
      <c r="AY41" s="194">
        <f>IFERROR(IF(PAC!$X41="F02 - LICITAÇÃO",1,""),"")</f>
        <v>1</v>
      </c>
      <c r="AZ41" s="123" t="str">
        <f>IFERROR(IF(PAC!$X$6:$X$581="F03 - EXECUÇÃO DO OBJETO",1,""),"")</f>
        <v/>
      </c>
      <c r="BA41" s="123" t="str">
        <f>IFERROR(IF(PAC!$X$6:$X$581="F04 - CONCLUÍDA",1,""),"")</f>
        <v/>
      </c>
      <c r="BB41" s="191">
        <f>IF(PAC!$R41&gt;0,0,PAC!$Q41)</f>
        <v>0</v>
      </c>
    </row>
    <row r="42" spans="1:70" s="1" customFormat="1" ht="210.75"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2470</v>
      </c>
      <c r="Z42" s="87">
        <v>46455</v>
      </c>
      <c r="AA42" s="105">
        <v>3.5</v>
      </c>
      <c r="AB42" s="40" t="s">
        <v>1472</v>
      </c>
      <c r="AC42" s="40" t="s">
        <v>2433</v>
      </c>
      <c r="AD42" s="106"/>
      <c r="AE42" s="102"/>
      <c r="AF42" s="40" t="s">
        <v>939</v>
      </c>
      <c r="AG42" s="40" t="s">
        <v>637</v>
      </c>
      <c r="AH42" s="40" t="s">
        <v>977</v>
      </c>
      <c r="AI42" s="40"/>
      <c r="AJ42" s="87"/>
      <c r="AK42" s="40" t="s">
        <v>1059</v>
      </c>
      <c r="AL42" s="40" t="s">
        <v>2726</v>
      </c>
      <c r="AM42" s="40"/>
      <c r="AN42" s="87">
        <v>45903</v>
      </c>
      <c r="AO42" s="87">
        <v>45971</v>
      </c>
      <c r="AP42" s="87">
        <v>45995</v>
      </c>
      <c r="AQ42" s="87">
        <v>46029</v>
      </c>
      <c r="AR42" s="106">
        <v>46455</v>
      </c>
      <c r="AS42" s="106">
        <v>46455</v>
      </c>
      <c r="AT42" s="102" t="s">
        <v>2053</v>
      </c>
      <c r="AU42" s="40" t="s">
        <v>2134</v>
      </c>
      <c r="AV42" s="106"/>
      <c r="AW42" s="105" t="s">
        <v>2466</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2470</v>
      </c>
      <c r="Z43" s="118">
        <v>46429</v>
      </c>
      <c r="AA43" s="119">
        <v>45</v>
      </c>
      <c r="AB43" s="115" t="s">
        <v>1472</v>
      </c>
      <c r="AC43" s="125" t="s">
        <v>2761</v>
      </c>
      <c r="AD43" s="120">
        <v>46429</v>
      </c>
      <c r="AE43" s="114" t="s">
        <v>1751</v>
      </c>
      <c r="AF43" s="115" t="s">
        <v>556</v>
      </c>
      <c r="AG43" s="115" t="s">
        <v>664</v>
      </c>
      <c r="AH43" s="115" t="s">
        <v>977</v>
      </c>
      <c r="AI43" s="115"/>
      <c r="AJ43" s="118"/>
      <c r="AK43" s="196" t="s">
        <v>1027</v>
      </c>
      <c r="AL43" s="196" t="s">
        <v>1241</v>
      </c>
      <c r="AM43" s="115"/>
      <c r="AN43" s="118">
        <v>45822</v>
      </c>
      <c r="AO43" s="118">
        <v>45897</v>
      </c>
      <c r="AP43" s="118">
        <v>45953</v>
      </c>
      <c r="AQ43" s="118">
        <v>45972</v>
      </c>
      <c r="AR43" s="121">
        <v>46337</v>
      </c>
      <c r="AS43" s="121">
        <v>46429</v>
      </c>
      <c r="AT43" s="114" t="s">
        <v>2237</v>
      </c>
      <c r="AU43" s="182" t="s">
        <v>1517</v>
      </c>
      <c r="AV43" s="120"/>
      <c r="AW43" s="119" t="s">
        <v>2163</v>
      </c>
      <c r="AX43" s="194" t="str">
        <f>IFERROR(IF(PAC!$X43="F01 - CAPTAÇÃO DE RECURSO",1,""),"")</f>
        <v/>
      </c>
      <c r="AY43" s="194" t="str">
        <f>IFERROR(IF(PAC!$X43="F02 - LICITAÇÃO",1,""),"")</f>
        <v/>
      </c>
      <c r="AZ43" s="123">
        <f>IFERROR(IF(PAC!$X$6:$X$581="F03 - EXECUÇÃO DO OBJETO",1,""),"")</f>
        <v>1</v>
      </c>
      <c r="BA43" s="123" t="str">
        <f>IFERROR(IF(PAC!$X$6:$X$581="F04 - CONCLUÍDA",1,""),"")</f>
        <v/>
      </c>
      <c r="BB43" s="191">
        <f>IF(PAC!$R43&gt;0,0,PAC!$Q43)</f>
        <v>0</v>
      </c>
    </row>
    <row r="44" spans="1:70" s="1" customFormat="1" ht="279.75"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2470</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2470</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2629</v>
      </c>
      <c r="AU45" s="122" t="s">
        <v>1553</v>
      </c>
      <c r="AV45" s="120"/>
      <c r="AW45" s="119" t="s">
        <v>707</v>
      </c>
      <c r="AX45" s="194" t="str">
        <f>IFERROR(IF(PAC!$X45="F01 - CAPTAÇÃO DE RECURSO",1,""),"")</f>
        <v/>
      </c>
      <c r="AY45" s="194" t="str">
        <f>IFERROR(IF(PAC!$X45="F02 - LICITAÇÃO",1,""),"")</f>
        <v/>
      </c>
      <c r="AZ45" s="123">
        <f>IFERROR(IF(PAC!$X$6:$X$581="F03 - EXECUÇÃO DO OBJETO",1,""),"")</f>
        <v>1</v>
      </c>
      <c r="BA45" s="123" t="str">
        <f>IFERROR(IF(PAC!$X$6:$X$581="F04 - CONCLUÍDA",1,""),"")</f>
        <v/>
      </c>
      <c r="BB45" s="191">
        <f>IF(PAC!$R45&gt;0,0,PAC!$Q45)</f>
        <v>0</v>
      </c>
    </row>
    <row r="46" spans="1:70" s="1" customFormat="1" ht="210.75"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2473</v>
      </c>
      <c r="Z46" s="87"/>
      <c r="AA46" s="105"/>
      <c r="AB46" s="40" t="s">
        <v>1513</v>
      </c>
      <c r="AC46" s="40" t="s">
        <v>1955</v>
      </c>
      <c r="AD46" s="106"/>
      <c r="AE46" s="102" t="s">
        <v>1787</v>
      </c>
      <c r="AF46" s="40" t="s">
        <v>517</v>
      </c>
      <c r="AG46" s="40" t="s">
        <v>2283</v>
      </c>
      <c r="AH46" s="40"/>
      <c r="AI46" s="40"/>
      <c r="AJ46" s="87"/>
      <c r="AK46" s="40" t="s">
        <v>1902</v>
      </c>
      <c r="AL46" s="40"/>
      <c r="AM46" s="40"/>
      <c r="AN46" s="87"/>
      <c r="AO46" s="87"/>
      <c r="AP46" s="87"/>
      <c r="AQ46" s="87"/>
      <c r="AR46" s="107"/>
      <c r="AS46" s="107"/>
      <c r="AT46" s="102" t="s">
        <v>2753</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2473</v>
      </c>
      <c r="Z47" s="118"/>
      <c r="AA47" s="119"/>
      <c r="AB47" s="115" t="s">
        <v>1513</v>
      </c>
      <c r="AC47" s="115" t="s">
        <v>1955</v>
      </c>
      <c r="AD47" s="120"/>
      <c r="AE47" s="114" t="s">
        <v>1954</v>
      </c>
      <c r="AF47" s="115" t="s">
        <v>1788</v>
      </c>
      <c r="AG47" s="115" t="s">
        <v>2283</v>
      </c>
      <c r="AH47" s="115"/>
      <c r="AI47" s="115"/>
      <c r="AJ47" s="118"/>
      <c r="AK47" s="115" t="s">
        <v>1912</v>
      </c>
      <c r="AL47" s="115"/>
      <c r="AM47" s="115"/>
      <c r="AN47" s="118"/>
      <c r="AO47" s="118"/>
      <c r="AP47" s="118"/>
      <c r="AQ47" s="118"/>
      <c r="AR47" s="121"/>
      <c r="AS47" s="121"/>
      <c r="AT47" s="114" t="s">
        <v>2746</v>
      </c>
      <c r="AU47" s="122" t="s">
        <v>1789</v>
      </c>
      <c r="AV47" s="120"/>
      <c r="AW47" s="131" t="s">
        <v>1613</v>
      </c>
      <c r="AX47" s="194">
        <f>IFERROR(IF(PAC!$X47="F01 - CAPTAÇÃO DE RECURSO",1,""),"")</f>
        <v>1</v>
      </c>
      <c r="AY47" s="194" t="str">
        <f>IFERROR(IF(PAC!$X47="F02 - LICITAÇÃO",1,""),"")</f>
        <v/>
      </c>
      <c r="AZ47" s="123" t="str">
        <f>IFERROR(IF(PAC!$X$6:$X$581="F03 - EXECUÇÃO DO OBJETO",1,""),"")</f>
        <v/>
      </c>
      <c r="BA47" s="123" t="str">
        <f>IFERROR(IF(PAC!$X$6:$X$581="F04 - CONCLUÍDA",1,""),"")</f>
        <v/>
      </c>
      <c r="BB47" s="191">
        <f>IF(PAC!$R47&gt;0,0,PAC!$Q47)</f>
        <v>46411180.210000001</v>
      </c>
    </row>
    <row r="48" spans="1:70" s="1" customFormat="1" ht="247.5"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2470</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2684</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2470</v>
      </c>
      <c r="Z49" s="118">
        <v>46302</v>
      </c>
      <c r="AA49" s="119">
        <v>80.989999999999995</v>
      </c>
      <c r="AB49" s="115"/>
      <c r="AC49" s="115"/>
      <c r="AD49" s="120"/>
      <c r="AE49" s="114"/>
      <c r="AF49" s="115"/>
      <c r="AG49" s="115" t="s">
        <v>2244</v>
      </c>
      <c r="AH49" s="115" t="s">
        <v>977</v>
      </c>
      <c r="AI49" s="115"/>
      <c r="AJ49" s="118"/>
      <c r="AK49" s="115" t="s">
        <v>1913</v>
      </c>
      <c r="AL49" s="115" t="s">
        <v>1186</v>
      </c>
      <c r="AM49" s="115"/>
      <c r="AN49" s="118">
        <v>45160</v>
      </c>
      <c r="AO49" s="118">
        <v>45184</v>
      </c>
      <c r="AP49" s="118">
        <v>45210</v>
      </c>
      <c r="AQ49" s="118">
        <v>45300</v>
      </c>
      <c r="AR49" s="121">
        <v>46200</v>
      </c>
      <c r="AS49" s="121">
        <v>46302</v>
      </c>
      <c r="AT49" s="127" t="s">
        <v>2487</v>
      </c>
      <c r="AU49" s="115" t="s">
        <v>688</v>
      </c>
      <c r="AV49" s="120"/>
      <c r="AW49" s="119"/>
      <c r="AX49" s="194" t="str">
        <f>IFERROR(IF(PAC!$X49="F01 - CAPTAÇÃO DE RECURSO",1,""),"")</f>
        <v/>
      </c>
      <c r="AY49" s="194" t="str">
        <f>IFERROR(IF(PAC!$X49="F02 - LICITAÇÃO",1,""),"")</f>
        <v/>
      </c>
      <c r="AZ49" s="123">
        <f>IFERROR(IF(PAC!$X$6:$X$581="F03 - EXECUÇÃO DO OBJETO",1,""),"")</f>
        <v>1</v>
      </c>
      <c r="BA49" s="123" t="str">
        <f>IFERROR(IF(PAC!$X$6:$X$581="F04 - CONCLUÍDA",1,""),"")</f>
        <v/>
      </c>
      <c r="BB49" s="191">
        <f>IF(PAC!$R49&gt;0,0,PAC!$Q49)</f>
        <v>0</v>
      </c>
    </row>
    <row r="50" spans="1:54" s="1" customFormat="1" ht="315.75" customHeight="1" thickBot="1">
      <c r="A50" s="88">
        <f t="shared" si="0"/>
        <v>45</v>
      </c>
      <c r="B50" s="101">
        <v>2023</v>
      </c>
      <c r="C50" s="88" t="s">
        <v>605</v>
      </c>
      <c r="D50" s="88" t="s">
        <v>1010</v>
      </c>
      <c r="E50" s="102" t="s">
        <v>2052</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2470</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2354</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2095</v>
      </c>
      <c r="U51" s="116" t="s">
        <v>1570</v>
      </c>
      <c r="V51" s="116"/>
      <c r="W51" s="117">
        <v>4</v>
      </c>
      <c r="X51" s="117" t="s">
        <v>1694</v>
      </c>
      <c r="Y51" s="113" t="s">
        <v>2470</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2549</v>
      </c>
      <c r="AU51" s="122" t="s">
        <v>2045</v>
      </c>
      <c r="AV51" s="120"/>
      <c r="AW51" s="119" t="s">
        <v>1016</v>
      </c>
      <c r="AX51" s="194" t="str">
        <f>IFERROR(IF(PAC!$X51="F01 - CAPTAÇÃO DE RECURSO",1,""),"")</f>
        <v/>
      </c>
      <c r="AY51" s="194" t="str">
        <f>IFERROR(IF(PAC!$X51="F02 - LICITAÇÃO",1,""),"")</f>
        <v/>
      </c>
      <c r="AZ51" s="123">
        <f>IFERROR(IF(PAC!$X$6:$X$581="F03 - EXECUÇÃO DO OBJETO",1,""),"")</f>
        <v>1</v>
      </c>
      <c r="BA51" s="123" t="str">
        <f>IFERROR(IF(PAC!$X$6:$X$581="F04 - CONCLUÍDA",1,""),"")</f>
        <v/>
      </c>
      <c r="BB51" s="191">
        <f>IF(PAC!$R51&gt;0,0,PAC!$Q51)</f>
        <v>0</v>
      </c>
    </row>
    <row r="52" spans="1:54" s="2" customFormat="1" ht="409.6" customHeight="1" thickBot="1">
      <c r="A52" s="88">
        <f t="shared" si="0"/>
        <v>47</v>
      </c>
      <c r="B52" s="88">
        <v>2025</v>
      </c>
      <c r="C52" s="88" t="s">
        <v>605</v>
      </c>
      <c r="D52" s="88" t="s">
        <v>1010</v>
      </c>
      <c r="E52" s="102" t="s">
        <v>2265</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2473</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customHeight="1" thickBot="1">
      <c r="A53" s="112">
        <f t="shared" si="0"/>
        <v>48</v>
      </c>
      <c r="B53" s="112">
        <v>2025</v>
      </c>
      <c r="C53" s="112" t="s">
        <v>605</v>
      </c>
      <c r="D53" s="112" t="s">
        <v>1010</v>
      </c>
      <c r="E53" s="114" t="s">
        <v>2436</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2472</v>
      </c>
      <c r="Z53" s="118"/>
      <c r="AA53" s="119"/>
      <c r="AB53" s="115" t="s">
        <v>1464</v>
      </c>
      <c r="AC53" s="125" t="s">
        <v>2438</v>
      </c>
      <c r="AD53" s="120">
        <v>46293</v>
      </c>
      <c r="AE53" s="114" t="s">
        <v>2164</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2631</v>
      </c>
      <c r="AU53" s="122" t="s">
        <v>2437</v>
      </c>
      <c r="AV53" s="120"/>
      <c r="AW53" s="119" t="s">
        <v>707</v>
      </c>
      <c r="AX53" s="194" t="str">
        <f>IFERROR(IF(PAC!$X53="F01 - CAPTAÇÃO DE RECURSO",1,""),"")</f>
        <v/>
      </c>
      <c r="AY53" s="194">
        <f>IFERROR(IF(PAC!$X53="F02 - LICITAÇÃO",1,""),"")</f>
        <v>1</v>
      </c>
      <c r="AZ53" s="123" t="str">
        <f>IFERROR(IF(PAC!$X$6:$X$581="F03 - EXECUÇÃO DO OBJETO",1,""),"")</f>
        <v/>
      </c>
      <c r="BA53" s="123" t="str">
        <f>IFERROR(IF(PAC!$X$6:$X$581="F04 - CONCLUÍDA",1,""),"")</f>
        <v/>
      </c>
      <c r="BB53" s="191">
        <f>IF(PAC!$R53&gt;0,0,PAC!$Q53)</f>
        <v>22800366.739999998</v>
      </c>
    </row>
    <row r="54" spans="1:54" s="2" customFormat="1" ht="409.6"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2473</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customHeight="1" thickBot="1">
      <c r="A55" s="112">
        <f t="shared" si="0"/>
        <v>50</v>
      </c>
      <c r="B55" s="112">
        <v>2025</v>
      </c>
      <c r="C55" s="112" t="s">
        <v>605</v>
      </c>
      <c r="D55" s="112" t="s">
        <v>1010</v>
      </c>
      <c r="E55" s="114" t="s">
        <v>2261</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2473</v>
      </c>
      <c r="Z55" s="118"/>
      <c r="AA55" s="119"/>
      <c r="AB55" s="115" t="s">
        <v>1456</v>
      </c>
      <c r="AC55" s="125" t="s">
        <v>2728</v>
      </c>
      <c r="AD55" s="120">
        <v>46260</v>
      </c>
      <c r="AE55" s="114" t="s">
        <v>2164</v>
      </c>
      <c r="AF55" s="115" t="s">
        <v>1734</v>
      </c>
      <c r="AG55" s="115" t="s">
        <v>1759</v>
      </c>
      <c r="AH55" s="115" t="s">
        <v>1974</v>
      </c>
      <c r="AI55" s="115" t="s">
        <v>1758</v>
      </c>
      <c r="AJ55" s="118">
        <v>46296</v>
      </c>
      <c r="AK55" s="115" t="s">
        <v>1920</v>
      </c>
      <c r="AL55" s="115"/>
      <c r="AM55" s="115"/>
      <c r="AN55" s="118"/>
      <c r="AO55" s="118"/>
      <c r="AP55" s="118"/>
      <c r="AQ55" s="118"/>
      <c r="AR55" s="121"/>
      <c r="AS55" s="121"/>
      <c r="AT55" s="127" t="s">
        <v>2729</v>
      </c>
      <c r="AU55" s="122"/>
      <c r="AV55" s="120"/>
      <c r="AW55" s="119" t="s">
        <v>707</v>
      </c>
      <c r="AX55" s="194">
        <f>IFERROR(IF(PAC!$X55="F01 - CAPTAÇÃO DE RECURSO",1,""),"")</f>
        <v>1</v>
      </c>
      <c r="AY55" s="194" t="str">
        <f>IFERROR(IF(PAC!$X55="F02 - LICITAÇÃO",1,""),"")</f>
        <v/>
      </c>
      <c r="AZ55" s="123" t="str">
        <f>IFERROR(IF(PAC!$X$6:$X$581="F03 - EXECUÇÃO DO OBJETO",1,""),"")</f>
        <v/>
      </c>
      <c r="BA55" s="123" t="str">
        <f>IFERROR(IF(PAC!$X$6:$X$581="F04 - CONCLUÍDA",1,""),"")</f>
        <v/>
      </c>
      <c r="BB55" s="191">
        <f>IF(PAC!$R55&gt;0,0,PAC!$Q55)</f>
        <v>16957482.629999999</v>
      </c>
    </row>
    <row r="56" spans="1:54" s="2" customFormat="1" ht="409.6"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2473</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2473</v>
      </c>
      <c r="Z57" s="118"/>
      <c r="AA57" s="119"/>
      <c r="AB57" s="115" t="s">
        <v>1456</v>
      </c>
      <c r="AC57" s="125" t="s">
        <v>2293</v>
      </c>
      <c r="AD57" s="120"/>
      <c r="AE57" s="114" t="s">
        <v>2164</v>
      </c>
      <c r="AF57" s="115" t="s">
        <v>1734</v>
      </c>
      <c r="AG57" s="115" t="s">
        <v>1759</v>
      </c>
      <c r="AH57" s="115" t="s">
        <v>1974</v>
      </c>
      <c r="AI57" s="115" t="s">
        <v>1758</v>
      </c>
      <c r="AJ57" s="118">
        <v>46296</v>
      </c>
      <c r="AK57" s="115" t="s">
        <v>1922</v>
      </c>
      <c r="AL57" s="115"/>
      <c r="AM57" s="115"/>
      <c r="AN57" s="118"/>
      <c r="AO57" s="118"/>
      <c r="AP57" s="118"/>
      <c r="AQ57" s="118"/>
      <c r="AR57" s="121"/>
      <c r="AS57" s="121"/>
      <c r="AT57" s="127" t="s">
        <v>2346</v>
      </c>
      <c r="AU57" s="122"/>
      <c r="AV57" s="120"/>
      <c r="AW57" s="119" t="s">
        <v>707</v>
      </c>
      <c r="AX57" s="194">
        <f>IFERROR(IF(PAC!$X57="F01 - CAPTAÇÃO DE RECURSO",1,""),"")</f>
        <v>1</v>
      </c>
      <c r="AY57" s="194" t="str">
        <f>IFERROR(IF(PAC!$X57="F02 - LICITAÇÃO",1,""),"")</f>
        <v/>
      </c>
      <c r="AZ57" s="123" t="str">
        <f>IFERROR(IF(PAC!$X$6:$X$581="F03 - EXECUÇÃO DO OBJETO",1,""),"")</f>
        <v/>
      </c>
      <c r="BA57" s="123" t="str">
        <f>IFERROR(IF(PAC!$X$6:$X$581="F04 - CONCLUÍDA",1,""),"")</f>
        <v/>
      </c>
      <c r="BB57" s="191">
        <f>IF(PAC!$R57&gt;0,0,PAC!$Q57)</f>
        <v>76285208.239999995</v>
      </c>
    </row>
    <row r="58" spans="1:54" s="2" customFormat="1" ht="409.6"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2472</v>
      </c>
      <c r="Z58" s="87">
        <v>46336</v>
      </c>
      <c r="AA58" s="105"/>
      <c r="AB58" s="40" t="s">
        <v>1464</v>
      </c>
      <c r="AC58" s="108" t="s">
        <v>2432</v>
      </c>
      <c r="AD58" s="106">
        <v>46290</v>
      </c>
      <c r="AE58" s="102" t="s">
        <v>2165</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2632</v>
      </c>
      <c r="AU58" s="108" t="s">
        <v>2431</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2473</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4">
        <f>IFERROR(IF(PAC!$X59="F01 - CAPTAÇÃO DE RECURSO",1,""),"")</f>
        <v>1</v>
      </c>
      <c r="AY59" s="194" t="str">
        <f>IFERROR(IF(PAC!$X59="F02 - LICITAÇÃO",1,""),"")</f>
        <v/>
      </c>
      <c r="AZ59" s="123" t="str">
        <f>IFERROR(IF(PAC!$X$6:$X$581="F03 - EXECUÇÃO DO OBJETO",1,""),"")</f>
        <v/>
      </c>
      <c r="BA59" s="123" t="str">
        <f>IFERROR(IF(PAC!$X$6:$X$581="F04 - CONCLUÍDA",1,""),"")</f>
        <v/>
      </c>
      <c r="BB59" s="191">
        <f>IF(PAC!$R59&gt;0,0,PAC!$Q59)</f>
        <v>8717773.2799999993</v>
      </c>
    </row>
    <row r="60" spans="1:54" s="2" customFormat="1" ht="409.6"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2473</v>
      </c>
      <c r="Z60" s="87"/>
      <c r="AA60" s="105"/>
      <c r="AB60" s="40" t="s">
        <v>1456</v>
      </c>
      <c r="AC60" s="124" t="s">
        <v>2730</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2731</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2473</v>
      </c>
      <c r="Z61" s="118"/>
      <c r="AA61" s="119"/>
      <c r="AB61" s="115" t="s">
        <v>1509</v>
      </c>
      <c r="AC61" s="115" t="s">
        <v>2136</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4">
        <f>IFERROR(IF(PAC!$X61="F01 - CAPTAÇÃO DE RECURSO",1,""),"")</f>
        <v>1</v>
      </c>
      <c r="AY61" s="194" t="str">
        <f>IFERROR(IF(PAC!$X61="F02 - LICITAÇÃO",1,""),"")</f>
        <v/>
      </c>
      <c r="AZ61" s="123" t="str">
        <f>IFERROR(IF(PAC!$X$6:$X$581="F03 - EXECUÇÃO DO OBJETO",1,""),"")</f>
        <v/>
      </c>
      <c r="BA61" s="123" t="str">
        <f>IFERROR(IF(PAC!$X$6:$X$581="F04 - CONCLUÍDA",1,""),"")</f>
        <v/>
      </c>
      <c r="BB61" s="191">
        <f>IF(PAC!$R61&gt;0,0,PAC!$Q61)</f>
        <v>60585665.969999999</v>
      </c>
    </row>
    <row r="62" spans="1:54" s="2" customFormat="1" ht="409.6"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2473</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2473</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4">
        <f>IFERROR(IF(PAC!$X63="F01 - CAPTAÇÃO DE RECURSO",1,""),"")</f>
        <v>1</v>
      </c>
      <c r="AY63" s="194" t="str">
        <f>IFERROR(IF(PAC!$X63="F02 - LICITAÇÃO",1,""),"")</f>
        <v/>
      </c>
      <c r="AZ63" s="123" t="str">
        <f>IFERROR(IF(PAC!$X$6:$X$581="F03 - EXECUÇÃO DO OBJETO",1,""),"")</f>
        <v/>
      </c>
      <c r="BA63" s="123" t="str">
        <f>IFERROR(IF(PAC!$X$6:$X$581="F04 - CONCLUÍDA",1,""),"")</f>
        <v/>
      </c>
      <c r="BB63" s="191">
        <f>IF(PAC!$R63&gt;0,0,PAC!$Q63)</f>
        <v>2541652.79</v>
      </c>
    </row>
    <row r="64" spans="1:54" s="2" customFormat="1" ht="63.75"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2473</v>
      </c>
      <c r="Z64" s="87"/>
      <c r="AA64" s="105"/>
      <c r="AB64" s="40" t="s">
        <v>1456</v>
      </c>
      <c r="AC64" s="40" t="s">
        <v>2292</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2750</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2473</v>
      </c>
      <c r="Z65" s="118"/>
      <c r="AA65" s="119"/>
      <c r="AB65" s="115" t="s">
        <v>1456</v>
      </c>
      <c r="AC65" s="125" t="s">
        <v>2291</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2754</v>
      </c>
      <c r="AU65" s="115" t="s">
        <v>962</v>
      </c>
      <c r="AV65" s="120"/>
      <c r="AW65" s="119" t="s">
        <v>707</v>
      </c>
      <c r="AX65" s="194">
        <f>IFERROR(IF(PAC!$X65="F01 - CAPTAÇÃO DE RECURSO",1,""),"")</f>
        <v>1</v>
      </c>
      <c r="AY65" s="194" t="str">
        <f>IFERROR(IF(PAC!$X65="F02 - LICITAÇÃO",1,""),"")</f>
        <v/>
      </c>
      <c r="AZ65" s="123" t="str">
        <f>IFERROR(IF(PAC!$X$6:$X$581="F03 - EXECUÇÃO DO OBJETO",1,""),"")</f>
        <v/>
      </c>
      <c r="BA65" s="123" t="str">
        <f>IFERROR(IF(PAC!$X$6:$X$581="F04 - CONCLUÍDA",1,""),"")</f>
        <v/>
      </c>
      <c r="BB65" s="191">
        <f>IF(PAC!$R65&gt;0,0,PAC!$Q65)</f>
        <v>7322475.75</v>
      </c>
    </row>
    <row r="66" spans="1:54" s="2" customFormat="1" ht="63.75"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2473</v>
      </c>
      <c r="Z66" s="87"/>
      <c r="AA66" s="105"/>
      <c r="AB66" s="40" t="s">
        <v>1456</v>
      </c>
      <c r="AC66" s="124" t="s">
        <v>2749</v>
      </c>
      <c r="AD66" s="106"/>
      <c r="AE66" s="102" t="s">
        <v>2164</v>
      </c>
      <c r="AF66" s="40" t="s">
        <v>1645</v>
      </c>
      <c r="AG66" s="40" t="s">
        <v>1759</v>
      </c>
      <c r="AH66" s="40" t="s">
        <v>1974</v>
      </c>
      <c r="AI66" s="40" t="s">
        <v>1758</v>
      </c>
      <c r="AJ66" s="87">
        <v>46296</v>
      </c>
      <c r="AK66" s="40" t="s">
        <v>1905</v>
      </c>
      <c r="AL66" s="40"/>
      <c r="AM66" s="40"/>
      <c r="AN66" s="87"/>
      <c r="AO66" s="87"/>
      <c r="AP66" s="87"/>
      <c r="AQ66" s="87"/>
      <c r="AR66" s="107"/>
      <c r="AS66" s="107"/>
      <c r="AT66" s="128" t="s">
        <v>2347</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2473</v>
      </c>
      <c r="Z67" s="118"/>
      <c r="AA67" s="119"/>
      <c r="AB67" s="115" t="s">
        <v>1456</v>
      </c>
      <c r="AC67" s="125" t="s">
        <v>2730</v>
      </c>
      <c r="AD67" s="120"/>
      <c r="AE67" s="114" t="s">
        <v>2164</v>
      </c>
      <c r="AF67" s="115" t="s">
        <v>1645</v>
      </c>
      <c r="AG67" s="115" t="s">
        <v>1759</v>
      </c>
      <c r="AH67" s="115" t="s">
        <v>1974</v>
      </c>
      <c r="AI67" s="115" t="s">
        <v>1758</v>
      </c>
      <c r="AJ67" s="118">
        <v>46296</v>
      </c>
      <c r="AK67" s="115" t="s">
        <v>1904</v>
      </c>
      <c r="AL67" s="115"/>
      <c r="AM67" s="115"/>
      <c r="AN67" s="118"/>
      <c r="AO67" s="118"/>
      <c r="AP67" s="118"/>
      <c r="AQ67" s="118"/>
      <c r="AR67" s="121"/>
      <c r="AS67" s="121"/>
      <c r="AT67" s="127" t="s">
        <v>2348</v>
      </c>
      <c r="AU67" s="122"/>
      <c r="AV67" s="120"/>
      <c r="AW67" s="119" t="s">
        <v>707</v>
      </c>
      <c r="AX67" s="194">
        <f>IFERROR(IF(PAC!$X67="F01 - CAPTAÇÃO DE RECURSO",1,""),"")</f>
        <v>1</v>
      </c>
      <c r="AY67" s="194" t="str">
        <f>IFERROR(IF(PAC!$X67="F02 - LICITAÇÃO",1,""),"")</f>
        <v/>
      </c>
      <c r="AZ67" s="123" t="str">
        <f>IFERROR(IF(PAC!$X$6:$X$581="F03 - EXECUÇÃO DO OBJETO",1,""),"")</f>
        <v/>
      </c>
      <c r="BA67" s="123" t="str">
        <f>IFERROR(IF(PAC!$X$6:$X$581="F04 - CONCLUÍDA",1,""),"")</f>
        <v/>
      </c>
      <c r="BB67" s="191">
        <f>IF(PAC!$R67&gt;0,0,PAC!$Q67)</f>
        <v>10880381.439999999</v>
      </c>
    </row>
    <row r="68" spans="1:54" s="2" customFormat="1" ht="84.75"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2473</v>
      </c>
      <c r="Z68" s="87"/>
      <c r="AA68" s="105"/>
      <c r="AB68" s="40"/>
      <c r="AC68" s="124" t="s">
        <v>2752</v>
      </c>
      <c r="AD68" s="106">
        <v>46286</v>
      </c>
      <c r="AE68" s="102" t="s">
        <v>2164</v>
      </c>
      <c r="AF68" s="40" t="s">
        <v>1659</v>
      </c>
      <c r="AG68" s="40" t="s">
        <v>1759</v>
      </c>
      <c r="AH68" s="40" t="s">
        <v>977</v>
      </c>
      <c r="AI68" s="40"/>
      <c r="AJ68" s="87"/>
      <c r="AK68" s="40" t="s">
        <v>1910</v>
      </c>
      <c r="AL68" s="40"/>
      <c r="AM68" s="40"/>
      <c r="AN68" s="87"/>
      <c r="AO68" s="87"/>
      <c r="AP68" s="87"/>
      <c r="AQ68" s="87"/>
      <c r="AR68" s="107"/>
      <c r="AS68" s="107"/>
      <c r="AT68" s="128" t="s">
        <v>2751</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2473</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4">
        <f>IFERROR(IF(PAC!$X69="F01 - CAPTAÇÃO DE RECURSO",1,""),"")</f>
        <v>1</v>
      </c>
      <c r="AY69" s="194" t="str">
        <f>IFERROR(IF(PAC!$X69="F02 - LICITAÇÃO",1,""),"")</f>
        <v/>
      </c>
      <c r="AZ69" s="123" t="str">
        <f>IFERROR(IF(PAC!$X$6:$X$581="F03 - EXECUÇÃO DO OBJETO",1,""),"")</f>
        <v/>
      </c>
      <c r="BA69" s="123" t="str">
        <f>IFERROR(IF(PAC!$X$6:$X$581="F04 - CONCLUÍDA",1,""),"")</f>
        <v/>
      </c>
      <c r="BB69" s="191">
        <f>IF(PAC!$R69&gt;0,0,PAC!$Q69)</f>
        <v>12214359.550000001</v>
      </c>
    </row>
    <row r="70" spans="1:54" s="2" customFormat="1" ht="148.5"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2473</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2473</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4">
        <f>IFERROR(IF(PAC!$X71="F01 - CAPTAÇÃO DE RECURSO",1,""),"")</f>
        <v>1</v>
      </c>
      <c r="AY71" s="194" t="str">
        <f>IFERROR(IF(PAC!$X71="F02 - LICITAÇÃO",1,""),"")</f>
        <v/>
      </c>
      <c r="AZ71" s="123" t="str">
        <f>IFERROR(IF(PAC!$X$6:$X$581="F03 - EXECUÇÃO DO OBJETO",1,""),"")</f>
        <v/>
      </c>
      <c r="BA71" s="123" t="str">
        <f>IFERROR(IF(PAC!$X$6:$X$581="F04 - CONCLUÍDA",1,""),"")</f>
        <v/>
      </c>
      <c r="BB71" s="191">
        <f>IF(PAC!$R71&gt;0,0,PAC!$Q71)</f>
        <v>6616162.4199999999</v>
      </c>
    </row>
    <row r="72" spans="1:54" s="2" customFormat="1" ht="170.25"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2473</v>
      </c>
      <c r="Z72" s="87"/>
      <c r="AA72" s="105"/>
      <c r="AB72" s="40" t="s">
        <v>1456</v>
      </c>
      <c r="AC72" s="124" t="s">
        <v>2732</v>
      </c>
      <c r="AD72" s="106"/>
      <c r="AE72" s="102" t="s">
        <v>2164</v>
      </c>
      <c r="AF72" s="40" t="s">
        <v>1660</v>
      </c>
      <c r="AG72" s="40" t="s">
        <v>1718</v>
      </c>
      <c r="AH72" s="40" t="s">
        <v>1974</v>
      </c>
      <c r="AI72" s="40" t="s">
        <v>1721</v>
      </c>
      <c r="AJ72" s="87">
        <v>46296</v>
      </c>
      <c r="AK72" s="40" t="s">
        <v>1918</v>
      </c>
      <c r="AL72" s="40"/>
      <c r="AM72" s="40"/>
      <c r="AN72" s="87"/>
      <c r="AO72" s="87"/>
      <c r="AP72" s="87"/>
      <c r="AQ72" s="87"/>
      <c r="AR72" s="107"/>
      <c r="AS72" s="107"/>
      <c r="AT72" s="102" t="s">
        <v>2733</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2473</v>
      </c>
      <c r="Z73" s="118"/>
      <c r="AA73" s="119"/>
      <c r="AB73" s="115" t="s">
        <v>1456</v>
      </c>
      <c r="AC73" s="125" t="s">
        <v>2748</v>
      </c>
      <c r="AD73" s="120">
        <v>46261</v>
      </c>
      <c r="AE73" s="114" t="s">
        <v>2164</v>
      </c>
      <c r="AF73" s="115" t="s">
        <v>1645</v>
      </c>
      <c r="AG73" s="115" t="s">
        <v>1759</v>
      </c>
      <c r="AH73" s="115" t="s">
        <v>1974</v>
      </c>
      <c r="AI73" s="115" t="s">
        <v>1758</v>
      </c>
      <c r="AJ73" s="118">
        <v>46296</v>
      </c>
      <c r="AK73" s="115" t="s">
        <v>1911</v>
      </c>
      <c r="AL73" s="115"/>
      <c r="AM73" s="115"/>
      <c r="AN73" s="118"/>
      <c r="AO73" s="118"/>
      <c r="AP73" s="118"/>
      <c r="AQ73" s="118"/>
      <c r="AR73" s="121"/>
      <c r="AS73" s="121"/>
      <c r="AT73" s="127" t="s">
        <v>2747</v>
      </c>
      <c r="AU73" s="115" t="s">
        <v>962</v>
      </c>
      <c r="AV73" s="120"/>
      <c r="AW73" s="119" t="s">
        <v>707</v>
      </c>
      <c r="AX73" s="194">
        <f>IFERROR(IF(PAC!$X73="F01 - CAPTAÇÃO DE RECURSO",1,""),"")</f>
        <v>1</v>
      </c>
      <c r="AY73" s="194" t="str">
        <f>IFERROR(IF(PAC!$X73="F02 - LICITAÇÃO",1,""),"")</f>
        <v/>
      </c>
      <c r="AZ73" s="123" t="str">
        <f>IFERROR(IF(PAC!$X$6:$X$581="F03 - EXECUÇÃO DO OBJETO",1,""),"")</f>
        <v/>
      </c>
      <c r="BA73" s="123" t="str">
        <f>IFERROR(IF(PAC!$X$6:$X$581="F04 - CONCLUÍDA",1,""),"")</f>
        <v/>
      </c>
      <c r="BB73" s="191">
        <f>IF(PAC!$R73&gt;0,0,PAC!$Q73)</f>
        <v>8601356.0800000001</v>
      </c>
    </row>
    <row r="74" spans="1:54" s="2" customFormat="1" ht="169.5" customHeight="1" thickBot="1">
      <c r="A74" s="88">
        <f t="shared" si="1"/>
        <v>69</v>
      </c>
      <c r="B74" s="101">
        <v>2023</v>
      </c>
      <c r="C74" s="88" t="s">
        <v>605</v>
      </c>
      <c r="D74" s="88" t="s">
        <v>1010</v>
      </c>
      <c r="E74" s="102" t="s">
        <v>2327</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2427</v>
      </c>
      <c r="U74" s="103" t="s">
        <v>1570</v>
      </c>
      <c r="V74" s="103"/>
      <c r="W74" s="104">
        <v>19</v>
      </c>
      <c r="X74" s="104" t="s">
        <v>1418</v>
      </c>
      <c r="Y74" s="101" t="s">
        <v>2472</v>
      </c>
      <c r="Z74" s="87"/>
      <c r="AA74" s="105"/>
      <c r="AB74" s="40" t="s">
        <v>1467</v>
      </c>
      <c r="AC74" s="40" t="s">
        <v>2429</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2633</v>
      </c>
      <c r="AU74" s="108" t="s">
        <v>2428</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2472</v>
      </c>
      <c r="Z75" s="118"/>
      <c r="AA75" s="119"/>
      <c r="AB75" s="115" t="s">
        <v>1469</v>
      </c>
      <c r="AC75" s="115" t="s">
        <v>2591</v>
      </c>
      <c r="AD75" s="120"/>
      <c r="AE75" s="114" t="s">
        <v>2592</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2630</v>
      </c>
      <c r="AU75" s="122" t="s">
        <v>2306</v>
      </c>
      <c r="AV75" s="120"/>
      <c r="AW75" s="119" t="s">
        <v>707</v>
      </c>
      <c r="AX75" s="194" t="str">
        <f>IFERROR(IF(PAC!$X75="F01 - CAPTAÇÃO DE RECURSO",1,""),"")</f>
        <v/>
      </c>
      <c r="AY75" s="194">
        <f>IFERROR(IF(PAC!$X75="F02 - LICITAÇÃO",1,""),"")</f>
        <v>1</v>
      </c>
      <c r="AZ75" s="123" t="str">
        <f>IFERROR(IF(PAC!$X$6:$X$581="F03 - EXECUÇÃO DO OBJETO",1,""),"")</f>
        <v/>
      </c>
      <c r="BA75" s="123" t="str">
        <f>IFERROR(IF(PAC!$X$6:$X$581="F04 - CONCLUÍDA",1,""),"")</f>
        <v/>
      </c>
      <c r="BB75" s="191">
        <f>IF(PAC!$R75&gt;0,0,PAC!$Q75)</f>
        <v>30187057.66</v>
      </c>
    </row>
    <row r="76" spans="1:54" s="2" customFormat="1" ht="140.25"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2470</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2740</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2470</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2774</v>
      </c>
      <c r="AU77" s="122" t="s">
        <v>1988</v>
      </c>
      <c r="AV77" s="120"/>
      <c r="AW77" s="119"/>
      <c r="AX77" s="194" t="str">
        <f>IFERROR(IF(PAC!$X77="F01 - CAPTAÇÃO DE RECURSO",1,""),"")</f>
        <v/>
      </c>
      <c r="AY77" s="194" t="str">
        <f>IFERROR(IF(PAC!$X77="F02 - LICITAÇÃO",1,""),"")</f>
        <v/>
      </c>
      <c r="AZ77" s="123">
        <f>IFERROR(IF(PAC!$X$6:$X$581="F03 - EXECUÇÃO DO OBJETO",1,""),"")</f>
        <v>1</v>
      </c>
      <c r="BA77" s="123" t="str">
        <f>IFERROR(IF(PAC!$X$6:$X$581="F04 - CONCLUÍDA",1,""),"")</f>
        <v/>
      </c>
      <c r="BB77" s="191">
        <f>IF(PAC!$R77&gt;0,0,PAC!$Q77)</f>
        <v>0</v>
      </c>
    </row>
    <row r="78" spans="1:54" s="2" customFormat="1" ht="84.75"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2470</v>
      </c>
      <c r="Z78" s="87">
        <v>46421</v>
      </c>
      <c r="AA78" s="105">
        <v>6.5</v>
      </c>
      <c r="AB78" s="40" t="s">
        <v>1472</v>
      </c>
      <c r="AC78" s="40" t="s">
        <v>1698</v>
      </c>
      <c r="AD78" s="106">
        <v>46421</v>
      </c>
      <c r="AE78" s="40" t="s">
        <v>2035</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2741</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2470</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2775</v>
      </c>
      <c r="AU79" s="122" t="s">
        <v>1990</v>
      </c>
      <c r="AV79" s="120"/>
      <c r="AW79" s="119"/>
      <c r="AX79" s="194" t="str">
        <f>IFERROR(IF(PAC!$X79="F01 - CAPTAÇÃO DE RECURSO",1,""),"")</f>
        <v/>
      </c>
      <c r="AY79" s="194" t="str">
        <f>IFERROR(IF(PAC!$X79="F02 - LICITAÇÃO",1,""),"")</f>
        <v/>
      </c>
      <c r="AZ79" s="123">
        <f>IFERROR(IF(PAC!$X$6:$X$581="F03 - EXECUÇÃO DO OBJETO",1,""),"")</f>
        <v>1</v>
      </c>
      <c r="BA79" s="123" t="str">
        <f>IFERROR(IF(PAC!$X$6:$X$581="F04 - CONCLUÍDA",1,""),"")</f>
        <v/>
      </c>
      <c r="BB79" s="191">
        <f>IF(PAC!$R79&gt;0,0,PAC!$Q79)</f>
        <v>0</v>
      </c>
    </row>
    <row r="80" spans="1:54" s="2" customFormat="1" ht="101.25"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2470</v>
      </c>
      <c r="Z80" s="87">
        <v>46417</v>
      </c>
      <c r="AA80" s="105">
        <v>20</v>
      </c>
      <c r="AB80" s="40" t="s">
        <v>1472</v>
      </c>
      <c r="AC80" s="40" t="s">
        <v>1698</v>
      </c>
      <c r="AD80" s="106">
        <v>46417</v>
      </c>
      <c r="AE80" s="40" t="s">
        <v>2035</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2776</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2470</v>
      </c>
      <c r="Z81" s="118">
        <v>46421</v>
      </c>
      <c r="AA81" s="119">
        <v>3.5</v>
      </c>
      <c r="AB81" s="115" t="s">
        <v>1472</v>
      </c>
      <c r="AC81" s="115" t="s">
        <v>1698</v>
      </c>
      <c r="AD81" s="120">
        <v>46421</v>
      </c>
      <c r="AE81" s="115" t="s">
        <v>2035</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2742</v>
      </c>
      <c r="AU81" s="122" t="s">
        <v>1989</v>
      </c>
      <c r="AV81" s="120"/>
      <c r="AW81" s="119"/>
      <c r="AX81" s="194" t="str">
        <f>IFERROR(IF(PAC!$X81="F01 - CAPTAÇÃO DE RECURSO",1,""),"")</f>
        <v/>
      </c>
      <c r="AY81" s="194" t="str">
        <f>IFERROR(IF(PAC!$X81="F02 - LICITAÇÃO",1,""),"")</f>
        <v/>
      </c>
      <c r="AZ81" s="123">
        <f>IFERROR(IF(PAC!$X$6:$X$581="F03 - EXECUÇÃO DO OBJETO",1,""),"")</f>
        <v>1</v>
      </c>
      <c r="BA81" s="123" t="str">
        <f>IFERROR(IF(PAC!$X$6:$X$581="F04 - CONCLUÍDA",1,""),"")</f>
        <v/>
      </c>
      <c r="BB81" s="191">
        <f>IF(PAC!$R81&gt;0,0,PAC!$Q81)</f>
        <v>0</v>
      </c>
    </row>
    <row r="82" spans="1:54" s="2" customFormat="1" ht="188.25"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2470</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2743</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2470</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2742</v>
      </c>
      <c r="AU83" s="122" t="s">
        <v>1989</v>
      </c>
      <c r="AV83" s="120"/>
      <c r="AW83" s="119"/>
      <c r="AX83" s="194" t="str">
        <f>IFERROR(IF(PAC!$X83="F01 - CAPTAÇÃO DE RECURSO",1,""),"")</f>
        <v/>
      </c>
      <c r="AY83" s="194" t="str">
        <f>IFERROR(IF(PAC!$X83="F02 - LICITAÇÃO",1,""),"")</f>
        <v/>
      </c>
      <c r="AZ83" s="123">
        <f>IFERROR(IF(PAC!$X$6:$X$581="F03 - EXECUÇÃO DO OBJETO",1,""),"")</f>
        <v>1</v>
      </c>
      <c r="BA83" s="123" t="str">
        <f>IFERROR(IF(PAC!$X$6:$X$581="F04 - CONCLUÍDA",1,""),"")</f>
        <v/>
      </c>
      <c r="BB83" s="191">
        <f>IF(PAC!$R83&gt;0,0,PAC!$Q83)</f>
        <v>0</v>
      </c>
    </row>
    <row r="84" spans="1:54" s="2" customFormat="1" ht="93"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2470</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2777</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2470</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2593</v>
      </c>
      <c r="AU85" s="122" t="s">
        <v>1986</v>
      </c>
      <c r="AV85" s="120"/>
      <c r="AW85" s="119"/>
      <c r="AX85" s="194" t="str">
        <f>IFERROR(IF(PAC!$X85="F01 - CAPTAÇÃO DE RECURSO",1,""),"")</f>
        <v/>
      </c>
      <c r="AY85" s="194" t="str">
        <f>IFERROR(IF(PAC!$X85="F02 - LICITAÇÃO",1,""),"")</f>
        <v/>
      </c>
      <c r="AZ85" s="123">
        <f>IFERROR(IF(PAC!$X$6:$X$581="F03 - EXECUÇÃO DO OBJETO",1,""),"")</f>
        <v>1</v>
      </c>
      <c r="BA85" s="123" t="str">
        <f>IFERROR(IF(PAC!$X$6:$X$581="F04 - CONCLUÍDA",1,""),"")</f>
        <v/>
      </c>
      <c r="BB85" s="191">
        <f>IF(PAC!$R85&gt;0,0,PAC!$Q85)</f>
        <v>0</v>
      </c>
    </row>
    <row r="86" spans="1:54" s="2" customFormat="1" ht="84"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2470</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2584</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2470</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2585</v>
      </c>
      <c r="AU87" s="122" t="s">
        <v>1991</v>
      </c>
      <c r="AV87" s="120"/>
      <c r="AW87" s="119"/>
      <c r="AX87" s="194" t="str">
        <f>IFERROR(IF(PAC!$X87="F01 - CAPTAÇÃO DE RECURSO",1,""),"")</f>
        <v/>
      </c>
      <c r="AY87" s="194" t="str">
        <f>IFERROR(IF(PAC!$X87="F02 - LICITAÇÃO",1,""),"")</f>
        <v/>
      </c>
      <c r="AZ87" s="123">
        <f>IFERROR(IF(PAC!$X$6:$X$581="F03 - EXECUÇÃO DO OBJETO",1,""),"")</f>
        <v>1</v>
      </c>
      <c r="BA87" s="123" t="str">
        <f>IFERROR(IF(PAC!$X$6:$X$581="F04 - CONCLUÍDA",1,""),"")</f>
        <v/>
      </c>
      <c r="BB87" s="191">
        <f>IF(PAC!$R87&gt;0,0,PAC!$Q87)</f>
        <v>0</v>
      </c>
    </row>
    <row r="88" spans="1:54" s="1" customFormat="1" ht="95.25"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2469</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2737</v>
      </c>
      <c r="AU88" s="108" t="s">
        <v>2066</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2470</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2586</v>
      </c>
      <c r="AU89" s="122" t="s">
        <v>2005</v>
      </c>
      <c r="AV89" s="120"/>
      <c r="AW89" s="119"/>
      <c r="AX89" s="194" t="str">
        <f>IFERROR(IF(PAC!$X89="F01 - CAPTAÇÃO DE RECURSO",1,""),"")</f>
        <v/>
      </c>
      <c r="AY89" s="194" t="str">
        <f>IFERROR(IF(PAC!$X89="F02 - LICITAÇÃO",1,""),"")</f>
        <v/>
      </c>
      <c r="AZ89" s="123">
        <f>IFERROR(IF(PAC!$X$6:$X$581="F03 - EXECUÇÃO DO OBJETO",1,""),"")</f>
        <v>1</v>
      </c>
      <c r="BA89" s="123" t="str">
        <f>IFERROR(IF(PAC!$X$6:$X$581="F04 - CONCLUÍDA",1,""),"")</f>
        <v/>
      </c>
      <c r="BB89" s="191">
        <f>IF(PAC!$R89&gt;0,0,PAC!$Q89)</f>
        <v>0</v>
      </c>
    </row>
    <row r="90" spans="1:54" s="1" customFormat="1" ht="153.75"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2470</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2727</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2470</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2738</v>
      </c>
      <c r="AU91" s="122" t="s">
        <v>1992</v>
      </c>
      <c r="AV91" s="120"/>
      <c r="AW91" s="119"/>
      <c r="AX91" s="194" t="str">
        <f>IFERROR(IF(PAC!$X91="F01 - CAPTAÇÃO DE RECURSO",1,""),"")</f>
        <v/>
      </c>
      <c r="AY91" s="194" t="str">
        <f>IFERROR(IF(PAC!$X91="F02 - LICITAÇÃO",1,""),"")</f>
        <v/>
      </c>
      <c r="AZ91" s="123">
        <f>IFERROR(IF(PAC!$X$6:$X$581="F03 - EXECUÇÃO DO OBJETO",1,""),"")</f>
        <v>1</v>
      </c>
      <c r="BA91" s="123" t="str">
        <f>IFERROR(IF(PAC!$X$6:$X$581="F04 - CONCLUÍDA",1,""),"")</f>
        <v/>
      </c>
      <c r="BB91" s="191">
        <f>IF(PAC!$R91&gt;0,0,PAC!$Q91)</f>
        <v>0</v>
      </c>
    </row>
    <row r="92" spans="1:54" s="1" customFormat="1" ht="122.25"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2470</v>
      </c>
      <c r="Z92" s="87">
        <v>46329</v>
      </c>
      <c r="AA92" s="105">
        <v>33.770000000000003</v>
      </c>
      <c r="AB92" s="40" t="s">
        <v>1472</v>
      </c>
      <c r="AC92" s="40" t="s">
        <v>2582</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2735</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2469</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2238</v>
      </c>
      <c r="AU93" s="122" t="s">
        <v>2066</v>
      </c>
      <c r="AV93" s="120"/>
      <c r="AW93" s="119"/>
      <c r="AX93" s="194" t="str">
        <f>IFERROR(IF(PAC!$X93="F01 - CAPTAÇÃO DE RECURSO",1,""),"")</f>
        <v/>
      </c>
      <c r="AY93" s="194" t="str">
        <f>IFERROR(IF(PAC!$X93="F02 - LICITAÇÃO",1,""),"")</f>
        <v/>
      </c>
      <c r="AZ93" s="123" t="str">
        <f>IFERROR(IF(PAC!$X$6:$X$581="F03 - EXECUÇÃO DO OBJETO",1,""),"")</f>
        <v/>
      </c>
      <c r="BA93" s="123">
        <f>IFERROR(IF(PAC!$X$6:$X$581="F04 - CONCLUÍDA",1,""),"")</f>
        <v>1</v>
      </c>
      <c r="BB93" s="191">
        <f>IF(PAC!$R93&gt;0,0,PAC!$Q93)</f>
        <v>0</v>
      </c>
    </row>
    <row r="94" spans="1:54" s="1" customFormat="1" ht="165.75"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2470</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2587</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2470</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2736</v>
      </c>
      <c r="AU95" s="122" t="s">
        <v>1997</v>
      </c>
      <c r="AV95" s="120"/>
      <c r="AW95" s="119"/>
      <c r="AX95" s="194" t="str">
        <f>IFERROR(IF(PAC!$X95="F01 - CAPTAÇÃO DE RECURSO",1,""),"")</f>
        <v/>
      </c>
      <c r="AY95" s="194" t="str">
        <f>IFERROR(IF(PAC!$X95="F02 - LICITAÇÃO",1,""),"")</f>
        <v/>
      </c>
      <c r="AZ95" s="123">
        <f>IFERROR(IF(PAC!$X$6:$X$581="F03 - EXECUÇÃO DO OBJETO",1,""),"")</f>
        <v>1</v>
      </c>
      <c r="BA95" s="123" t="str">
        <f>IFERROR(IF(PAC!$X$6:$X$581="F04 - CONCLUÍDA",1,""),"")</f>
        <v/>
      </c>
      <c r="BB95" s="191">
        <f>IF(PAC!$R95&gt;0,0,PAC!$Q95)</f>
        <v>0</v>
      </c>
    </row>
    <row r="96" spans="1:54" s="1" customFormat="1" ht="188.25"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2470</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2263</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2470</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2588</v>
      </c>
      <c r="AU97" s="122" t="s">
        <v>1991</v>
      </c>
      <c r="AV97" s="120"/>
      <c r="AW97" s="119"/>
      <c r="AX97" s="194" t="str">
        <f>IFERROR(IF(PAC!$X97="F01 - CAPTAÇÃO DE RECURSO",1,""),"")</f>
        <v/>
      </c>
      <c r="AY97" s="194" t="str">
        <f>IFERROR(IF(PAC!$X97="F02 - LICITAÇÃO",1,""),"")</f>
        <v/>
      </c>
      <c r="AZ97" s="123">
        <f>IFERROR(IF(PAC!$X$6:$X$581="F03 - EXECUÇÃO DO OBJETO",1,""),"")</f>
        <v>1</v>
      </c>
      <c r="BA97" s="123" t="str">
        <f>IFERROR(IF(PAC!$X$6:$X$581="F04 - CONCLUÍDA",1,""),"")</f>
        <v/>
      </c>
      <c r="BB97" s="191">
        <f>IF(PAC!$R97&gt;0,0,PAC!$Q97)</f>
        <v>0</v>
      </c>
    </row>
    <row r="98" spans="1:54" s="1" customFormat="1" ht="158.25"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2470</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2262</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2470</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2239</v>
      </c>
      <c r="AU99" s="122" t="s">
        <v>2005</v>
      </c>
      <c r="AV99" s="120"/>
      <c r="AW99" s="119"/>
      <c r="AX99" s="194" t="str">
        <f>IFERROR(IF(PAC!$X99="F01 - CAPTAÇÃO DE RECURSO",1,""),"")</f>
        <v/>
      </c>
      <c r="AY99" s="194" t="str">
        <f>IFERROR(IF(PAC!$X99="F02 - LICITAÇÃO",1,""),"")</f>
        <v/>
      </c>
      <c r="AZ99" s="123">
        <f>IFERROR(IF(PAC!$X$6:$X$581="F03 - EXECUÇÃO DO OBJETO",1,""),"")</f>
        <v>1</v>
      </c>
      <c r="BA99" s="123" t="str">
        <f>IFERROR(IF(PAC!$X$6:$X$581="F04 - CONCLUÍDA",1,""),"")</f>
        <v/>
      </c>
      <c r="BB99" s="191">
        <f>IF(PAC!$R99&gt;0,0,PAC!$Q99)</f>
        <v>0</v>
      </c>
    </row>
    <row r="100" spans="1:54" s="1" customFormat="1" ht="180.75"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2470</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2734</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2470</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2240</v>
      </c>
      <c r="AU101" s="122" t="s">
        <v>2005</v>
      </c>
      <c r="AV101" s="120"/>
      <c r="AW101" s="119"/>
      <c r="AX101" s="194" t="str">
        <f>IFERROR(IF(PAC!$X101="F01 - CAPTAÇÃO DE RECURSO",1,""),"")</f>
        <v/>
      </c>
      <c r="AY101" s="194" t="str">
        <f>IFERROR(IF(PAC!$X101="F02 - LICITAÇÃO",1,""),"")</f>
        <v/>
      </c>
      <c r="AZ101" s="123">
        <f>IFERROR(IF(PAC!$X$6:$X$581="F03 - EXECUÇÃO DO OBJETO",1,""),"")</f>
        <v>1</v>
      </c>
      <c r="BA101" s="123" t="str">
        <f>IFERROR(IF(PAC!$X$6:$X$581="F04 - CONCLUÍDA",1,""),"")</f>
        <v/>
      </c>
      <c r="BB101" s="191">
        <f>IF(PAC!$R101&gt;0,0,PAC!$Q101)</f>
        <v>0</v>
      </c>
    </row>
    <row r="102" spans="1:54" s="1" customFormat="1" ht="173.25"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2470</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2739</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2470</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2241</v>
      </c>
      <c r="AU103" s="122" t="s">
        <v>2005</v>
      </c>
      <c r="AV103" s="120"/>
      <c r="AW103" s="119"/>
      <c r="AX103" s="194" t="str">
        <f>IFERROR(IF(PAC!$X103="F01 - CAPTAÇÃO DE RECURSO",1,""),"")</f>
        <v/>
      </c>
      <c r="AY103" s="194" t="str">
        <f>IFERROR(IF(PAC!$X103="F02 - LICITAÇÃO",1,""),"")</f>
        <v/>
      </c>
      <c r="AZ103" s="123">
        <f>IFERROR(IF(PAC!$X$6:$X$581="F03 - EXECUÇÃO DO OBJETO",1,""),"")</f>
        <v>1</v>
      </c>
      <c r="BA103" s="123" t="str">
        <f>IFERROR(IF(PAC!$X$6:$X$581="F04 - CONCLUÍDA",1,""),"")</f>
        <v/>
      </c>
      <c r="BB103" s="191">
        <f>IF(PAC!$R103&gt;0,0,PAC!$Q103)</f>
        <v>0</v>
      </c>
    </row>
    <row r="104" spans="1:54" s="1" customFormat="1" ht="11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2277</v>
      </c>
      <c r="U104" s="103" t="s">
        <v>1570</v>
      </c>
      <c r="V104" s="103"/>
      <c r="W104" s="104">
        <v>16</v>
      </c>
      <c r="X104" s="104" t="s">
        <v>1418</v>
      </c>
      <c r="Y104" s="101" t="s">
        <v>2472</v>
      </c>
      <c r="Z104" s="87"/>
      <c r="AA104" s="105"/>
      <c r="AB104" s="40" t="s">
        <v>1466</v>
      </c>
      <c r="AC104" s="40" t="s">
        <v>2382</v>
      </c>
      <c r="AD104" s="106"/>
      <c r="AE104" s="102" t="s">
        <v>2383</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2468</v>
      </c>
      <c r="AU104" s="108" t="s">
        <v>2279</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2470</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2589</v>
      </c>
      <c r="AU105" s="122" t="s">
        <v>2004</v>
      </c>
      <c r="AV105" s="120"/>
      <c r="AW105" s="119"/>
      <c r="AX105" s="194" t="str">
        <f>IFERROR(IF(PAC!$X105="F01 - CAPTAÇÃO DE RECURSO",1,""),"")</f>
        <v/>
      </c>
      <c r="AY105" s="194" t="str">
        <f>IFERROR(IF(PAC!$X105="F02 - LICITAÇÃO",1,""),"")</f>
        <v/>
      </c>
      <c r="AZ105" s="123">
        <f>IFERROR(IF(PAC!$X$6:$X$581="F03 - EXECUÇÃO DO OBJETO",1,""),"")</f>
        <v>1</v>
      </c>
      <c r="BA105" s="123" t="str">
        <f>IFERROR(IF(PAC!$X$6:$X$581="F04 - CONCLUÍDA",1,""),"")</f>
        <v/>
      </c>
      <c r="BB105" s="191">
        <f>IF(PAC!$R105&gt;0,0,PAC!$Q105)</f>
        <v>0</v>
      </c>
    </row>
    <row r="106" spans="1:54" s="1" customFormat="1" ht="102"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2470</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2590</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2470</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2771</v>
      </c>
      <c r="AU107" s="122" t="s">
        <v>1998</v>
      </c>
      <c r="AV107" s="120"/>
      <c r="AW107" s="119"/>
      <c r="AX107" s="194" t="str">
        <f>IFERROR(IF(PAC!$X107="F01 - CAPTAÇÃO DE RECURSO",1,""),"")</f>
        <v/>
      </c>
      <c r="AY107" s="194" t="str">
        <f>IFERROR(IF(PAC!$X107="F02 - LICITAÇÃO",1,""),"")</f>
        <v/>
      </c>
      <c r="AZ107" s="123">
        <f>IFERROR(IF(PAC!$X$6:$X$581="F03 - EXECUÇÃO DO OBJETO",1,""),"")</f>
        <v>1</v>
      </c>
      <c r="BA107" s="123" t="str">
        <f>IFERROR(IF(PAC!$X$6:$X$581="F04 - CONCLUÍDA",1,""),"")</f>
        <v/>
      </c>
      <c r="BB107" s="191">
        <f>IF(PAC!$R107&gt;0,0,PAC!$Q107)</f>
        <v>0</v>
      </c>
    </row>
    <row r="108" spans="1:54" s="1" customFormat="1" ht="158.25"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2470</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2355</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2470</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2672</v>
      </c>
      <c r="AU109" s="122" t="s">
        <v>1995</v>
      </c>
      <c r="AV109" s="120"/>
      <c r="AW109" s="119"/>
      <c r="AX109" s="194" t="str">
        <f>IFERROR(IF(PAC!$X109="F01 - CAPTAÇÃO DE RECURSO",1,""),"")</f>
        <v/>
      </c>
      <c r="AY109" s="194" t="str">
        <f>IFERROR(IF(PAC!$X109="F02 - LICITAÇÃO",1,""),"")</f>
        <v/>
      </c>
      <c r="AZ109" s="123">
        <f>IFERROR(IF(PAC!$X$6:$X$581="F03 - EXECUÇÃO DO OBJETO",1,""),"")</f>
        <v>1</v>
      </c>
      <c r="BA109" s="123" t="str">
        <f>IFERROR(IF(PAC!$X$6:$X$581="F04 - CONCLUÍDA",1,""),"")</f>
        <v/>
      </c>
      <c r="BB109" s="191">
        <f>IF(PAC!$R109&gt;0,0,PAC!$Q109)</f>
        <v>0</v>
      </c>
    </row>
    <row r="110" spans="1:54" s="1" customFormat="1" ht="148.5"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2470</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2673</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2470</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2772</v>
      </c>
      <c r="AU111" s="122" t="s">
        <v>1998</v>
      </c>
      <c r="AV111" s="120"/>
      <c r="AW111" s="119"/>
      <c r="AX111" s="194" t="str">
        <f>IFERROR(IF(PAC!$X111="F01 - CAPTAÇÃO DE RECURSO",1,""),"")</f>
        <v/>
      </c>
      <c r="AY111" s="194" t="str">
        <f>IFERROR(IF(PAC!$X111="F02 - LICITAÇÃO",1,""),"")</f>
        <v/>
      </c>
      <c r="AZ111" s="123">
        <f>IFERROR(IF(PAC!$X$6:$X$581="F03 - EXECUÇÃO DO OBJETO",1,""),"")</f>
        <v>1</v>
      </c>
      <c r="BA111" s="123" t="str">
        <f>IFERROR(IF(PAC!$X$6:$X$581="F04 - CONCLUÍDA",1,""),"")</f>
        <v/>
      </c>
      <c r="BB111" s="191">
        <f>IF(PAC!$R111&gt;0,0,PAC!$Q111)</f>
        <v>0</v>
      </c>
    </row>
    <row r="112" spans="1:54" s="1" customFormat="1" ht="167.25"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2470</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2640</v>
      </c>
      <c r="AU112" s="108" t="s">
        <v>2080</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2470</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2773</v>
      </c>
      <c r="AU113" s="122" t="s">
        <v>1998</v>
      </c>
      <c r="AV113" s="120"/>
      <c r="AW113" s="119"/>
      <c r="AX113" s="194" t="str">
        <f>IFERROR(IF(PAC!$X113="F01 - CAPTAÇÃO DE RECURSO",1,""),"")</f>
        <v/>
      </c>
      <c r="AY113" s="194" t="str">
        <f>IFERROR(IF(PAC!$X113="F02 - LICITAÇÃO",1,""),"")</f>
        <v/>
      </c>
      <c r="AZ113" s="123">
        <f>IFERROR(IF(PAC!$X$6:$X$581="F03 - EXECUÇÃO DO OBJETO",1,""),"")</f>
        <v>1</v>
      </c>
      <c r="BA113" s="123" t="str">
        <f>IFERROR(IF(PAC!$X$6:$X$581="F04 - CONCLUÍDA",1,""),"")</f>
        <v/>
      </c>
      <c r="BB113" s="191">
        <f>IF(PAC!$R113&gt;0,0,PAC!$Q113)</f>
        <v>0</v>
      </c>
    </row>
    <row r="114" spans="1:54" s="1" customFormat="1" ht="128.25"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2470</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2641</v>
      </c>
      <c r="AU114" s="108" t="s">
        <v>2080</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2470</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2642</v>
      </c>
      <c r="AU115" s="122" t="s">
        <v>2080</v>
      </c>
      <c r="AV115" s="120"/>
      <c r="AW115" s="119"/>
      <c r="AX115" s="194" t="str">
        <f>IFERROR(IF(PAC!$X115="F01 - CAPTAÇÃO DE RECURSO",1,""),"")</f>
        <v/>
      </c>
      <c r="AY115" s="194" t="str">
        <f>IFERROR(IF(PAC!$X115="F02 - LICITAÇÃO",1,""),"")</f>
        <v/>
      </c>
      <c r="AZ115" s="123">
        <f>IFERROR(IF(PAC!$X$6:$X$581="F03 - EXECUÇÃO DO OBJETO",1,""),"")</f>
        <v>1</v>
      </c>
      <c r="BA115" s="123" t="str">
        <f>IFERROR(IF(PAC!$X$6:$X$581="F04 - CONCLUÍDA",1,""),"")</f>
        <v/>
      </c>
      <c r="BB115" s="191">
        <f>IF(PAC!$R115&gt;0,0,PAC!$Q115)</f>
        <v>0</v>
      </c>
    </row>
    <row r="116" spans="1:54" s="1" customFormat="1" ht="206.25"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2470</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2580</v>
      </c>
      <c r="AU116" s="108" t="s">
        <v>2080</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2470</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2356</v>
      </c>
      <c r="AU117" s="122" t="s">
        <v>2006</v>
      </c>
      <c r="AV117" s="120"/>
      <c r="AW117" s="119"/>
      <c r="AX117" s="194" t="str">
        <f>IFERROR(IF(PAC!$X117="F01 - CAPTAÇÃO DE RECURSO",1,""),"")</f>
        <v/>
      </c>
      <c r="AY117" s="194" t="str">
        <f>IFERROR(IF(PAC!$X117="F02 - LICITAÇÃO",1,""),"")</f>
        <v/>
      </c>
      <c r="AZ117" s="123">
        <f>IFERROR(IF(PAC!$X$6:$X$581="F03 - EXECUÇÃO DO OBJETO",1,""),"")</f>
        <v>1</v>
      </c>
      <c r="BA117" s="123" t="str">
        <f>IFERROR(IF(PAC!$X$6:$X$581="F04 - CONCLUÍDA",1,""),"")</f>
        <v/>
      </c>
      <c r="BB117" s="191">
        <f>IF(PAC!$R117&gt;0,0,PAC!$Q117)</f>
        <v>0</v>
      </c>
    </row>
    <row r="118" spans="1:54" s="1" customFormat="1" ht="139.5"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2470</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2643</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2277</v>
      </c>
      <c r="U119" s="116" t="s">
        <v>1570</v>
      </c>
      <c r="V119" s="116"/>
      <c r="W119" s="117">
        <v>25</v>
      </c>
      <c r="X119" s="117" t="s">
        <v>1418</v>
      </c>
      <c r="Y119" s="113" t="s">
        <v>2472</v>
      </c>
      <c r="Z119" s="118"/>
      <c r="AA119" s="119"/>
      <c r="AB119" s="115" t="s">
        <v>1466</v>
      </c>
      <c r="AC119" s="115" t="s">
        <v>2382</v>
      </c>
      <c r="AD119" s="120"/>
      <c r="AE119" s="114" t="s">
        <v>2384</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2644</v>
      </c>
      <c r="AU119" s="122" t="s">
        <v>2280</v>
      </c>
      <c r="AV119" s="120"/>
      <c r="AW119" s="119"/>
      <c r="AX119" s="194" t="str">
        <f>IFERROR(IF(PAC!$X119="F01 - CAPTAÇÃO DE RECURSO",1,""),"")</f>
        <v/>
      </c>
      <c r="AY119" s="194">
        <f>IFERROR(IF(PAC!$X119="F02 - LICITAÇÃO",1,""),"")</f>
        <v>1</v>
      </c>
      <c r="AZ119" s="123" t="str">
        <f>IFERROR(IF(PAC!$X$6:$X$581="F03 - EXECUÇÃO DO OBJETO",1,""),"")</f>
        <v/>
      </c>
      <c r="BA119" s="123" t="str">
        <f>IFERROR(IF(PAC!$X$6:$X$581="F04 - CONCLUÍDA",1,""),"")</f>
        <v/>
      </c>
      <c r="BB119" s="191">
        <f>IF(PAC!$R119&gt;0,0,PAC!$Q119)</f>
        <v>0</v>
      </c>
    </row>
    <row r="120" spans="1:54" s="1" customFormat="1" ht="143.25"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2470</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2645</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2470</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2581</v>
      </c>
      <c r="AU121" s="122" t="s">
        <v>2006</v>
      </c>
      <c r="AV121" s="120"/>
      <c r="AW121" s="119"/>
      <c r="AX121" s="194" t="str">
        <f>IFERROR(IF(PAC!$X121="F01 - CAPTAÇÃO DE RECURSO",1,""),"")</f>
        <v/>
      </c>
      <c r="AY121" s="194" t="str">
        <f>IFERROR(IF(PAC!$X121="F02 - LICITAÇÃO",1,""),"")</f>
        <v/>
      </c>
      <c r="AZ121" s="123">
        <f>IFERROR(IF(PAC!$X$6:$X$581="F03 - EXECUÇÃO DO OBJETO",1,""),"")</f>
        <v>1</v>
      </c>
      <c r="BA121" s="123" t="str">
        <f>IFERROR(IF(PAC!$X$6:$X$581="F04 - CONCLUÍDA",1,""),"")</f>
        <v/>
      </c>
      <c r="BB121" s="191">
        <f>IF(PAC!$R121&gt;0,0,PAC!$Q121)</f>
        <v>0</v>
      </c>
    </row>
    <row r="122" spans="1:54" s="1" customFormat="1" ht="107.25"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2470</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2674</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2470</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2675</v>
      </c>
      <c r="AU123" s="122" t="s">
        <v>1996</v>
      </c>
      <c r="AV123" s="120"/>
      <c r="AW123" s="119"/>
      <c r="AX123" s="194" t="str">
        <f>IFERROR(IF(PAC!$X123="F01 - CAPTAÇÃO DE RECURSO",1,""),"")</f>
        <v/>
      </c>
      <c r="AY123" s="194" t="str">
        <f>IFERROR(IF(PAC!$X123="F02 - LICITAÇÃO",1,""),"")</f>
        <v/>
      </c>
      <c r="AZ123" s="123">
        <f>IFERROR(IF(PAC!$X$6:$X$581="F03 - EXECUÇÃO DO OBJETO",1,""),"")</f>
        <v>1</v>
      </c>
      <c r="BA123" s="123" t="str">
        <f>IFERROR(IF(PAC!$X$6:$X$581="F04 - CONCLUÍDA",1,""),"")</f>
        <v/>
      </c>
      <c r="BB123" s="191">
        <f>IF(PAC!$R123&gt;0,0,PAC!$Q123)</f>
        <v>0</v>
      </c>
    </row>
    <row r="124" spans="1:54" s="1" customFormat="1" ht="173.25"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2470</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2646</v>
      </c>
      <c r="AU124" s="108" t="s">
        <v>2080</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2470</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2676</v>
      </c>
      <c r="AU125" s="122" t="s">
        <v>1996</v>
      </c>
      <c r="AV125" s="120"/>
      <c r="AW125" s="119"/>
      <c r="AX125" s="194" t="str">
        <f>IFERROR(IF(PAC!$X125="F01 - CAPTAÇÃO DE RECURSO",1,""),"")</f>
        <v/>
      </c>
      <c r="AY125" s="194" t="str">
        <f>IFERROR(IF(PAC!$X125="F02 - LICITAÇÃO",1,""),"")</f>
        <v/>
      </c>
      <c r="AZ125" s="123">
        <f>IFERROR(IF(PAC!$X$6:$X$581="F03 - EXECUÇÃO DO OBJETO",1,""),"")</f>
        <v>1</v>
      </c>
      <c r="BA125" s="123" t="str">
        <f>IFERROR(IF(PAC!$X$6:$X$581="F04 - CONCLUÍDA",1,""),"")</f>
        <v/>
      </c>
      <c r="BB125" s="191">
        <f>IF(PAC!$R125&gt;0,0,PAC!$Q125)</f>
        <v>0</v>
      </c>
    </row>
    <row r="126" spans="1:54" s="1" customFormat="1" ht="134.25"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2470</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2594</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2470</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2778</v>
      </c>
      <c r="AU127" s="122" t="s">
        <v>2001</v>
      </c>
      <c r="AV127" s="120"/>
      <c r="AW127" s="119"/>
      <c r="AX127" s="194" t="str">
        <f>IFERROR(IF(PAC!$X127="F01 - CAPTAÇÃO DE RECURSO",1,""),"")</f>
        <v/>
      </c>
      <c r="AY127" s="194" t="str">
        <f>IFERROR(IF(PAC!$X127="F02 - LICITAÇÃO",1,""),"")</f>
        <v/>
      </c>
      <c r="AZ127" s="123">
        <f>IFERROR(IF(PAC!$X$6:$X$581="F03 - EXECUÇÃO DO OBJETO",1,""),"")</f>
        <v>1</v>
      </c>
      <c r="BA127" s="123" t="str">
        <f>IFERROR(IF(PAC!$X$6:$X$581="F04 - CONCLUÍDA",1,""),"")</f>
        <v/>
      </c>
      <c r="BB127" s="191">
        <f>IF(PAC!$R127&gt;0,0,PAC!$Q127)</f>
        <v>0</v>
      </c>
    </row>
    <row r="128" spans="1:54" s="1" customFormat="1" ht="197.25"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2470</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2744</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2470</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2595</v>
      </c>
      <c r="AU129" s="122" t="s">
        <v>1986</v>
      </c>
      <c r="AV129" s="120"/>
      <c r="AW129" s="119"/>
      <c r="AX129" s="194" t="str">
        <f>IFERROR(IF(PAC!$X129="F01 - CAPTAÇÃO DE RECURSO",1,""),"")</f>
        <v/>
      </c>
      <c r="AY129" s="194" t="str">
        <f>IFERROR(IF(PAC!$X129="F02 - LICITAÇÃO",1,""),"")</f>
        <v/>
      </c>
      <c r="AZ129" s="123">
        <f>IFERROR(IF(PAC!$X$6:$X$581="F03 - EXECUÇÃO DO OBJETO",1,""),"")</f>
        <v>1</v>
      </c>
      <c r="BA129" s="123" t="str">
        <f>IFERROR(IF(PAC!$X$6:$X$581="F04 - CONCLUÍDA",1,""),"")</f>
        <v/>
      </c>
      <c r="BB129" s="191">
        <f>IF(PAC!$R129&gt;0,0,PAC!$Q129)</f>
        <v>0</v>
      </c>
    </row>
    <row r="130" spans="1:54" s="1" customFormat="1" ht="162"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2470</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2745</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2470</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2779</v>
      </c>
      <c r="AU131" s="122" t="s">
        <v>2002</v>
      </c>
      <c r="AV131" s="120"/>
      <c r="AW131" s="119"/>
      <c r="AX131" s="194" t="str">
        <f>IFERROR(IF(PAC!$X131="F01 - CAPTAÇÃO DE RECURSO",1,""),"")</f>
        <v/>
      </c>
      <c r="AY131" s="194" t="str">
        <f>IFERROR(IF(PAC!$X131="F02 - LICITAÇÃO",1,""),"")</f>
        <v/>
      </c>
      <c r="AZ131" s="123">
        <f>IFERROR(IF(PAC!$X$6:$X$581="F03 - EXECUÇÃO DO OBJETO",1,""),"")</f>
        <v>1</v>
      </c>
      <c r="BA131" s="123" t="str">
        <f>IFERROR(IF(PAC!$X$6:$X$581="F04 - CONCLUÍDA",1,""),"")</f>
        <v/>
      </c>
      <c r="BB131" s="191">
        <f>IF(PAC!$R131&gt;0,0,PAC!$Q131)</f>
        <v>0</v>
      </c>
    </row>
    <row r="132" spans="1:54" s="1" customFormat="1" ht="409.5"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2470</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2596</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2470</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2780</v>
      </c>
      <c r="AU133" s="122" t="s">
        <v>1736</v>
      </c>
      <c r="AV133" s="120"/>
      <c r="AW133" s="119"/>
      <c r="AX133" s="194" t="str">
        <f>IFERROR(IF(PAC!$X133="F01 - CAPTAÇÃO DE RECURSO",1,""),"")</f>
        <v/>
      </c>
      <c r="AY133" s="194" t="str">
        <f>IFERROR(IF(PAC!$X133="F02 - LICITAÇÃO",1,""),"")</f>
        <v/>
      </c>
      <c r="AZ133" s="123">
        <f>IFERROR(IF(PAC!$X$6:$X$581="F03 - EXECUÇÃO DO OBJETO",1,""),"")</f>
        <v>1</v>
      </c>
      <c r="BA133" s="123" t="str">
        <f>IFERROR(IF(PAC!$X$6:$X$581="F04 - CONCLUÍDA",1,""),"")</f>
        <v/>
      </c>
      <c r="BB133" s="191">
        <f>IF(PAC!$R133&gt;0,0,PAC!$Q133)</f>
        <v>0</v>
      </c>
    </row>
    <row r="134" spans="1:54" s="1" customFormat="1" ht="409.5"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2470</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2597</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2470</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2781</v>
      </c>
      <c r="AU135" s="122" t="s">
        <v>2001</v>
      </c>
      <c r="AV135" s="120"/>
      <c r="AW135" s="119"/>
      <c r="AX135" s="194" t="str">
        <f>IFERROR(IF(PAC!$X135="F01 - CAPTAÇÃO DE RECURSO",1,""),"")</f>
        <v/>
      </c>
      <c r="AY135" s="194" t="str">
        <f>IFERROR(IF(PAC!$X135="F02 - LICITAÇÃO",1,""),"")</f>
        <v/>
      </c>
      <c r="AZ135" s="123">
        <f>IFERROR(IF(PAC!$X$6:$X$581="F03 - EXECUÇÃO DO OBJETO",1,""),"")</f>
        <v>1</v>
      </c>
      <c r="BA135" s="123" t="str">
        <f>IFERROR(IF(PAC!$X$6:$X$581="F04 - CONCLUÍDA",1,""),"")</f>
        <v/>
      </c>
      <c r="BB135" s="191">
        <f>IF(PAC!$R135&gt;0,0,PAC!$Q135)</f>
        <v>0</v>
      </c>
    </row>
    <row r="136" spans="1:54" s="1" customFormat="1" ht="409.5"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2470</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2598</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7"/>
      <c r="O137" s="197"/>
      <c r="P137" s="197"/>
      <c r="Q137" s="33">
        <f>SUM(PAC!$M137:$P137)</f>
        <v>201574.1827</v>
      </c>
      <c r="R137" s="33">
        <v>27755.98</v>
      </c>
      <c r="S137" s="33">
        <f>IF(PAC!$R137&gt;0,PAC!$R137,PAC!$Q137)</f>
        <v>27755.98</v>
      </c>
      <c r="T137" s="33" t="s">
        <v>1581</v>
      </c>
      <c r="U137" s="116" t="s">
        <v>1570</v>
      </c>
      <c r="V137" s="116"/>
      <c r="W137" s="117">
        <v>9</v>
      </c>
      <c r="X137" s="117" t="s">
        <v>1490</v>
      </c>
      <c r="Y137" s="113" t="s">
        <v>2469</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2166</v>
      </c>
      <c r="AU137" s="122" t="s">
        <v>1803</v>
      </c>
      <c r="AV137" s="120"/>
      <c r="AW137" s="119"/>
      <c r="AX137" s="194" t="str">
        <f>IFERROR(IF(PAC!$X137="F01 - CAPTAÇÃO DE RECURSO",1,""),"")</f>
        <v/>
      </c>
      <c r="AY137" s="194" t="str">
        <f>IFERROR(IF(PAC!$X137="F02 - LICITAÇÃO",1,""),"")</f>
        <v/>
      </c>
      <c r="AZ137" s="123" t="str">
        <f>IFERROR(IF(PAC!$X$6:$X$581="F03 - EXECUÇÃO DO OBJETO",1,""),"")</f>
        <v/>
      </c>
      <c r="BA137" s="123">
        <f>IFERROR(IF(PAC!$X$6:$X$581="F04 - CONCLUÍDA",1,""),"")</f>
        <v>1</v>
      </c>
      <c r="BB137" s="191">
        <f>IF(PAC!$R137&gt;0,0,PAC!$Q137)</f>
        <v>0</v>
      </c>
    </row>
    <row r="138" spans="1:54" s="1" customFormat="1" ht="409.5"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2469</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2167</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2469</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2809</v>
      </c>
      <c r="AU139" s="122" t="s">
        <v>2257</v>
      </c>
      <c r="AV139" s="120"/>
      <c r="AW139" s="119"/>
      <c r="AX139" s="194" t="str">
        <f>IFERROR(IF(PAC!$X139="F01 - CAPTAÇÃO DE RECURSO",1,""),"")</f>
        <v/>
      </c>
      <c r="AY139" s="194" t="str">
        <f>IFERROR(IF(PAC!$X139="F02 - LICITAÇÃO",1,""),"")</f>
        <v/>
      </c>
      <c r="AZ139" s="123" t="str">
        <f>IFERROR(IF(PAC!$X$6:$X$581="F03 - EXECUÇÃO DO OBJETO",1,""),"")</f>
        <v/>
      </c>
      <c r="BA139" s="123">
        <f>IFERROR(IF(PAC!$X$6:$X$581="F04 - CONCLUÍDA",1,""),"")</f>
        <v>1</v>
      </c>
      <c r="BB139" s="191">
        <f>IF(PAC!$R139&gt;0,0,PAC!$Q139)</f>
        <v>0</v>
      </c>
    </row>
    <row r="140" spans="1:54" s="1" customFormat="1" ht="409.5"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2469</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2168</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2470</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2435</v>
      </c>
      <c r="AU141" s="122" t="s">
        <v>2242</v>
      </c>
      <c r="AV141" s="120"/>
      <c r="AW141" s="119"/>
      <c r="AX141" s="194" t="str">
        <f>IFERROR(IF(PAC!$X141="F01 - CAPTAÇÃO DE RECURSO",1,""),"")</f>
        <v/>
      </c>
      <c r="AY141" s="194" t="str">
        <f>IFERROR(IF(PAC!$X141="F02 - LICITAÇÃO",1,""),"")</f>
        <v/>
      </c>
      <c r="AZ141" s="123">
        <f>IFERROR(IF(PAC!$X$6:$X$581="F03 - EXECUÇÃO DO OBJETO",1,""),"")</f>
        <v>1</v>
      </c>
      <c r="BA141" s="123" t="str">
        <f>IFERROR(IF(PAC!$X$6:$X$581="F04 - CONCLUÍDA",1,""),"")</f>
        <v/>
      </c>
      <c r="BB141" s="191">
        <f>IF(PAC!$R141&gt;0,0,PAC!$Q141)</f>
        <v>0</v>
      </c>
    </row>
    <row r="142" spans="1:54" s="1" customFormat="1" ht="409.5"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2478</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2478</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4">
        <f>IFERROR(IF(PAC!$X143="F01 - CAPTAÇÃO DE RECURSO",1,""),"")</f>
        <v>1</v>
      </c>
      <c r="AY143" s="194" t="str">
        <f>IFERROR(IF(PAC!$X143="F02 - LICITAÇÃO",1,""),"")</f>
        <v/>
      </c>
      <c r="AZ143" s="123" t="str">
        <f>IFERROR(IF(PAC!$X$6:$X$581="F03 - EXECUÇÃO DO OBJETO",1,""),"")</f>
        <v/>
      </c>
      <c r="BA143" s="123" t="str">
        <f>IFERROR(IF(PAC!$X$6:$X$581="F04 - CONCLUÍDA",1,""),"")</f>
        <v/>
      </c>
      <c r="BB143" s="191">
        <f>IF(PAC!$R143&gt;0,0,PAC!$Q143)</f>
        <v>0</v>
      </c>
    </row>
    <row r="144" spans="1:54" s="1" customFormat="1" ht="120.75"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2478</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2478</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4">
        <f>IFERROR(IF(PAC!$X145="F01 - CAPTAÇÃO DE RECURSO",1,""),"")</f>
        <v>1</v>
      </c>
      <c r="AY145" s="194" t="str">
        <f>IFERROR(IF(PAC!$X145="F02 - LICITAÇÃO",1,""),"")</f>
        <v/>
      </c>
      <c r="AZ145" s="123" t="str">
        <f>IFERROR(IF(PAC!$X$6:$X$581="F03 - EXECUÇÃO DO OBJETO",1,""),"")</f>
        <v/>
      </c>
      <c r="BA145" s="123" t="str">
        <f>IFERROR(IF(PAC!$X$6:$X$581="F04 - CONCLUÍDA",1,""),"")</f>
        <v/>
      </c>
      <c r="BB145" s="191">
        <f>IF(PAC!$R145&gt;0,0,PAC!$Q145)</f>
        <v>0</v>
      </c>
    </row>
    <row r="146" spans="1:54" s="1" customFormat="1" ht="225.75"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2478</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2478</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4">
        <f>IFERROR(IF(PAC!$X147="F01 - CAPTAÇÃO DE RECURSO",1,""),"")</f>
        <v>1</v>
      </c>
      <c r="AY147" s="194" t="str">
        <f>IFERROR(IF(PAC!$X147="F02 - LICITAÇÃO",1,""),"")</f>
        <v/>
      </c>
      <c r="AZ147" s="123" t="str">
        <f>IFERROR(IF(PAC!$X$6:$X$581="F03 - EXECUÇÃO DO OBJETO",1,""),"")</f>
        <v/>
      </c>
      <c r="BA147" s="123" t="str">
        <f>IFERROR(IF(PAC!$X$6:$X$581="F04 - CONCLUÍDA",1,""),"")</f>
        <v/>
      </c>
      <c r="BB147" s="191">
        <f>IF(PAC!$R147&gt;0,0,PAC!$Q147)</f>
        <v>0</v>
      </c>
    </row>
    <row r="148" spans="1:54" s="1" customFormat="1" ht="409.5"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2478</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2478</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4">
        <f>IFERROR(IF(PAC!$X149="F01 - CAPTAÇÃO DE RECURSO",1,""),"")</f>
        <v>1</v>
      </c>
      <c r="AY149" s="194" t="str">
        <f>IFERROR(IF(PAC!$X149="F02 - LICITAÇÃO",1,""),"")</f>
        <v/>
      </c>
      <c r="AZ149" s="123" t="str">
        <f>IFERROR(IF(PAC!$X$6:$X$581="F03 - EXECUÇÃO DO OBJETO",1,""),"")</f>
        <v/>
      </c>
      <c r="BA149" s="123" t="str">
        <f>IFERROR(IF(PAC!$X$6:$X$581="F04 - CONCLUÍDA",1,""),"")</f>
        <v/>
      </c>
      <c r="BB149" s="191">
        <f>IF(PAC!$R149&gt;0,0,PAC!$Q149)</f>
        <v>0</v>
      </c>
    </row>
    <row r="150" spans="1:54" s="1" customFormat="1" ht="409.5"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2478</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2472</v>
      </c>
      <c r="Z151" s="118"/>
      <c r="AA151" s="119"/>
      <c r="AB151" s="122" t="s">
        <v>1464</v>
      </c>
      <c r="AC151" s="115" t="s">
        <v>2657</v>
      </c>
      <c r="AD151" s="120">
        <v>46274</v>
      </c>
      <c r="AE151" s="114" t="s">
        <v>2681</v>
      </c>
      <c r="AF151" s="115" t="s">
        <v>1638</v>
      </c>
      <c r="AG151" s="115" t="s">
        <v>1722</v>
      </c>
      <c r="AH151" s="115" t="s">
        <v>977</v>
      </c>
      <c r="AI151" s="115"/>
      <c r="AJ151" s="118"/>
      <c r="AK151" s="115" t="s">
        <v>1670</v>
      </c>
      <c r="AL151" s="115" t="s">
        <v>2108</v>
      </c>
      <c r="AM151" s="115" t="s">
        <v>716</v>
      </c>
      <c r="AN151" s="118">
        <v>46247</v>
      </c>
      <c r="AO151" s="118">
        <v>46274</v>
      </c>
      <c r="AP151" s="118"/>
      <c r="AQ151" s="118"/>
      <c r="AR151" s="121"/>
      <c r="AS151" s="121"/>
      <c r="AT151" s="116" t="s">
        <v>2332</v>
      </c>
      <c r="AU151" s="122" t="s">
        <v>2658</v>
      </c>
      <c r="AV151" s="120"/>
      <c r="AW151" s="133" t="s">
        <v>707</v>
      </c>
      <c r="AX151" s="194" t="str">
        <f>IFERROR(IF(PAC!$X151="F01 - CAPTAÇÃO DE RECURSO",1,""),"")</f>
        <v/>
      </c>
      <c r="AY151" s="194">
        <f>IFERROR(IF(PAC!$X151="F02 - LICITAÇÃO",1,""),"")</f>
        <v>1</v>
      </c>
      <c r="AZ151" s="123" t="str">
        <f>IFERROR(IF(PAC!$X$6:$X$581="F03 - EXECUÇÃO DO OBJETO",1,""),"")</f>
        <v/>
      </c>
      <c r="BA151" s="123" t="str">
        <f>IFERROR(IF(PAC!$X$6:$X$581="F04 - CONCLUÍDA",1,""),"")</f>
        <v/>
      </c>
      <c r="BB151" s="191">
        <f>IF(PAC!$R151&gt;0,0,PAC!$Q151)</f>
        <v>1227870.93</v>
      </c>
    </row>
    <row r="152" spans="1:54" s="1" customFormat="1" ht="409.5"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2478</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2478</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4">
        <f>IFERROR(IF(PAC!$X153="F01 - CAPTAÇÃO DE RECURSO",1,""),"")</f>
        <v>1</v>
      </c>
      <c r="AY153" s="194" t="str">
        <f>IFERROR(IF(PAC!$X153="F02 - LICITAÇÃO",1,""),"")</f>
        <v/>
      </c>
      <c r="AZ153" s="123" t="str">
        <f>IFERROR(IF(PAC!$X$6:$X$581="F03 - EXECUÇÃO DO OBJETO",1,""),"")</f>
        <v/>
      </c>
      <c r="BA153" s="123" t="str">
        <f>IFERROR(IF(PAC!$X$6:$X$581="F04 - CONCLUÍDA",1,""),"")</f>
        <v/>
      </c>
      <c r="BB153" s="191">
        <f>IF(PAC!$R153&gt;0,0,PAC!$Q153)</f>
        <v>0</v>
      </c>
    </row>
    <row r="154" spans="1:54" s="1" customFormat="1" ht="200.25"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2472</v>
      </c>
      <c r="Z154" s="87"/>
      <c r="AA154" s="105"/>
      <c r="AB154" s="108" t="s">
        <v>1464</v>
      </c>
      <c r="AC154" s="40" t="s">
        <v>2657</v>
      </c>
      <c r="AD154" s="106">
        <v>46274</v>
      </c>
      <c r="AE154" s="102" t="s">
        <v>2682</v>
      </c>
      <c r="AF154" s="40" t="s">
        <v>1638</v>
      </c>
      <c r="AG154" s="40" t="s">
        <v>1723</v>
      </c>
      <c r="AH154" s="40" t="s">
        <v>977</v>
      </c>
      <c r="AI154" s="40"/>
      <c r="AJ154" s="87"/>
      <c r="AK154" s="40" t="s">
        <v>1936</v>
      </c>
      <c r="AL154" s="40" t="s">
        <v>2109</v>
      </c>
      <c r="AM154" s="40" t="s">
        <v>716</v>
      </c>
      <c r="AN154" s="87">
        <v>46247</v>
      </c>
      <c r="AO154" s="87">
        <v>46274</v>
      </c>
      <c r="AP154" s="87"/>
      <c r="AQ154" s="87"/>
      <c r="AR154" s="107"/>
      <c r="AS154" s="107"/>
      <c r="AT154" s="103" t="s">
        <v>2333</v>
      </c>
      <c r="AU154" s="108" t="s">
        <v>2658</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2478</v>
      </c>
      <c r="Z155" s="118"/>
      <c r="AA155" s="119"/>
      <c r="AB155" s="122"/>
      <c r="AC155" s="115"/>
      <c r="AD155" s="120"/>
      <c r="AE155" s="114" t="s">
        <v>2443</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4">
        <f>IFERROR(IF(PAC!$X155="F01 - CAPTAÇÃO DE RECURSO",1,""),"")</f>
        <v>1</v>
      </c>
      <c r="AY155" s="194" t="str">
        <f>IFERROR(IF(PAC!$X155="F02 - LICITAÇÃO",1,""),"")</f>
        <v/>
      </c>
      <c r="AZ155" s="123" t="str">
        <f>IFERROR(IF(PAC!$X$6:$X$581="F03 - EXECUÇÃO DO OBJETO",1,""),"")</f>
        <v/>
      </c>
      <c r="BA155" s="123" t="str">
        <f>IFERROR(IF(PAC!$X$6:$X$581="F04 - CONCLUÍDA",1,""),"")</f>
        <v/>
      </c>
      <c r="BB155" s="191">
        <f>IF(PAC!$R155&gt;0,0,PAC!$Q155)</f>
        <v>0</v>
      </c>
    </row>
    <row r="156" spans="1:54" s="1" customFormat="1" ht="250.5"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2472</v>
      </c>
      <c r="Z156" s="87"/>
      <c r="AA156" s="105"/>
      <c r="AB156" s="108" t="s">
        <v>1464</v>
      </c>
      <c r="AC156" s="40" t="s">
        <v>2657</v>
      </c>
      <c r="AD156" s="106">
        <v>46274</v>
      </c>
      <c r="AE156" s="102" t="s">
        <v>2682</v>
      </c>
      <c r="AF156" s="40" t="s">
        <v>1638</v>
      </c>
      <c r="AG156" s="40" t="s">
        <v>1723</v>
      </c>
      <c r="AH156" s="40" t="s">
        <v>977</v>
      </c>
      <c r="AI156" s="40"/>
      <c r="AJ156" s="87"/>
      <c r="AK156" s="40" t="s">
        <v>1671</v>
      </c>
      <c r="AL156" s="40" t="s">
        <v>2110</v>
      </c>
      <c r="AM156" s="40" t="s">
        <v>716</v>
      </c>
      <c r="AN156" s="87">
        <v>46247</v>
      </c>
      <c r="AO156" s="87">
        <v>46274</v>
      </c>
      <c r="AP156" s="87"/>
      <c r="AQ156" s="87"/>
      <c r="AR156" s="107"/>
      <c r="AS156" s="107"/>
      <c r="AT156" s="103" t="s">
        <v>2334</v>
      </c>
      <c r="AU156" s="108" t="s">
        <v>2658</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2472</v>
      </c>
      <c r="Z157" s="118"/>
      <c r="AA157" s="119"/>
      <c r="AB157" s="122" t="s">
        <v>1464</v>
      </c>
      <c r="AC157" s="115" t="s">
        <v>2657</v>
      </c>
      <c r="AD157" s="120">
        <v>46274</v>
      </c>
      <c r="AE157" s="114" t="s">
        <v>2682</v>
      </c>
      <c r="AF157" s="115" t="s">
        <v>1638</v>
      </c>
      <c r="AG157" s="115" t="s">
        <v>1723</v>
      </c>
      <c r="AH157" s="115" t="s">
        <v>977</v>
      </c>
      <c r="AI157" s="115"/>
      <c r="AJ157" s="118"/>
      <c r="AK157" s="115" t="s">
        <v>1672</v>
      </c>
      <c r="AL157" s="115" t="s">
        <v>2111</v>
      </c>
      <c r="AM157" s="115"/>
      <c r="AN157" s="118">
        <v>46247</v>
      </c>
      <c r="AO157" s="118">
        <v>46274</v>
      </c>
      <c r="AP157" s="118"/>
      <c r="AQ157" s="118"/>
      <c r="AR157" s="121"/>
      <c r="AS157" s="121"/>
      <c r="AT157" s="116" t="s">
        <v>2335</v>
      </c>
      <c r="AU157" s="122" t="s">
        <v>2658</v>
      </c>
      <c r="AV157" s="120"/>
      <c r="AW157" s="133" t="s">
        <v>836</v>
      </c>
      <c r="AX157" s="194" t="str">
        <f>IFERROR(IF(PAC!$X157="F01 - CAPTAÇÃO DE RECURSO",1,""),"")</f>
        <v/>
      </c>
      <c r="AY157" s="194">
        <f>IFERROR(IF(PAC!$X157="F02 - LICITAÇÃO",1,""),"")</f>
        <v>1</v>
      </c>
      <c r="AZ157" s="123" t="str">
        <f>IFERROR(IF(PAC!$X$6:$X$581="F03 - EXECUÇÃO DO OBJETO",1,""),"")</f>
        <v/>
      </c>
      <c r="BA157" s="123" t="str">
        <f>IFERROR(IF(PAC!$X$6:$X$581="F04 - CONCLUÍDA",1,""),"")</f>
        <v/>
      </c>
      <c r="BB157" s="191">
        <f>IF(PAC!$R157&gt;0,0,PAC!$Q157)</f>
        <v>4884770.1100000003</v>
      </c>
    </row>
    <row r="158" spans="1:54" s="1" customFormat="1" ht="276.75"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2478</v>
      </c>
      <c r="Z158" s="87"/>
      <c r="AA158" s="105"/>
      <c r="AB158" s="108"/>
      <c r="AC158" s="40"/>
      <c r="AD158" s="106"/>
      <c r="AE158" s="102" t="s">
        <v>2444</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2472</v>
      </c>
      <c r="Z159" s="118"/>
      <c r="AA159" s="119"/>
      <c r="AB159" s="122" t="s">
        <v>1464</v>
      </c>
      <c r="AC159" s="115" t="s">
        <v>2657</v>
      </c>
      <c r="AD159" s="120">
        <v>46274</v>
      </c>
      <c r="AE159" s="114" t="s">
        <v>2682</v>
      </c>
      <c r="AF159" s="115" t="s">
        <v>1638</v>
      </c>
      <c r="AG159" s="115" t="s">
        <v>1723</v>
      </c>
      <c r="AH159" s="115" t="s">
        <v>977</v>
      </c>
      <c r="AI159" s="115"/>
      <c r="AJ159" s="118"/>
      <c r="AK159" s="115" t="s">
        <v>1669</v>
      </c>
      <c r="AL159" s="115" t="s">
        <v>2112</v>
      </c>
      <c r="AM159" s="115"/>
      <c r="AN159" s="118">
        <v>46247</v>
      </c>
      <c r="AO159" s="118">
        <v>46274</v>
      </c>
      <c r="AP159" s="118"/>
      <c r="AQ159" s="118"/>
      <c r="AR159" s="121"/>
      <c r="AS159" s="121"/>
      <c r="AT159" s="116" t="s">
        <v>2336</v>
      </c>
      <c r="AU159" s="122" t="s">
        <v>2658</v>
      </c>
      <c r="AV159" s="120"/>
      <c r="AW159" s="133" t="s">
        <v>836</v>
      </c>
      <c r="AX159" s="194" t="str">
        <f>IFERROR(IF(PAC!$X159="F01 - CAPTAÇÃO DE RECURSO",1,""),"")</f>
        <v/>
      </c>
      <c r="AY159" s="194">
        <f>IFERROR(IF(PAC!$X159="F02 - LICITAÇÃO",1,""),"")</f>
        <v>1</v>
      </c>
      <c r="AZ159" s="123" t="str">
        <f>IFERROR(IF(PAC!$X$6:$X$581="F03 - EXECUÇÃO DO OBJETO",1,""),"")</f>
        <v/>
      </c>
      <c r="BA159" s="123" t="str">
        <f>IFERROR(IF(PAC!$X$6:$X$581="F04 - CONCLUÍDA",1,""),"")</f>
        <v/>
      </c>
      <c r="BB159" s="191">
        <f>IF(PAC!$R159&gt;0,0,PAC!$Q159)</f>
        <v>5569768.3600000003</v>
      </c>
    </row>
    <row r="160" spans="1:54" s="1" customFormat="1" ht="63"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2472</v>
      </c>
      <c r="Z160" s="87"/>
      <c r="AA160" s="105"/>
      <c r="AB160" s="108" t="s">
        <v>1464</v>
      </c>
      <c r="AC160" s="40" t="s">
        <v>2657</v>
      </c>
      <c r="AD160" s="106">
        <v>46274</v>
      </c>
      <c r="AE160" s="102" t="s">
        <v>2682</v>
      </c>
      <c r="AF160" s="40" t="s">
        <v>1638</v>
      </c>
      <c r="AG160" s="40" t="s">
        <v>1723</v>
      </c>
      <c r="AH160" s="40" t="s">
        <v>977</v>
      </c>
      <c r="AI160" s="40"/>
      <c r="AJ160" s="87"/>
      <c r="AK160" s="40" t="s">
        <v>1673</v>
      </c>
      <c r="AL160" s="40" t="s">
        <v>2113</v>
      </c>
      <c r="AM160" s="40" t="s">
        <v>716</v>
      </c>
      <c r="AN160" s="87">
        <v>46247</v>
      </c>
      <c r="AO160" s="87">
        <v>46274</v>
      </c>
      <c r="AP160" s="87"/>
      <c r="AQ160" s="87"/>
      <c r="AR160" s="107"/>
      <c r="AS160" s="107"/>
      <c r="AT160" s="103" t="s">
        <v>2337</v>
      </c>
      <c r="AU160" s="108" t="s">
        <v>2658</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2478</v>
      </c>
      <c r="Z161" s="118"/>
      <c r="AA161" s="119"/>
      <c r="AB161" s="122"/>
      <c r="AC161" s="115"/>
      <c r="AD161" s="120"/>
      <c r="AE161" s="114" t="s">
        <v>2445</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4">
        <f>IFERROR(IF(PAC!$X161="F01 - CAPTAÇÃO DE RECURSO",1,""),"")</f>
        <v>1</v>
      </c>
      <c r="AY161" s="194" t="str">
        <f>IFERROR(IF(PAC!$X161="F02 - LICITAÇÃO",1,""),"")</f>
        <v/>
      </c>
      <c r="AZ161" s="123" t="str">
        <f>IFERROR(IF(PAC!$X$6:$X$581="F03 - EXECUÇÃO DO OBJETO",1,""),"")</f>
        <v/>
      </c>
      <c r="BA161" s="123" t="str">
        <f>IFERROR(IF(PAC!$X$6:$X$581="F04 - CONCLUÍDA",1,""),"")</f>
        <v/>
      </c>
      <c r="BB161" s="191">
        <f>IF(PAC!$R161&gt;0,0,PAC!$Q161)</f>
        <v>0</v>
      </c>
    </row>
    <row r="162" spans="1:54" s="1" customFormat="1" ht="64.5"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2478</v>
      </c>
      <c r="Z162" s="87"/>
      <c r="AA162" s="105"/>
      <c r="AB162" s="108"/>
      <c r="AC162" s="40"/>
      <c r="AD162" s="106"/>
      <c r="AE162" s="102" t="s">
        <v>2446</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2478</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4">
        <f>IFERROR(IF(PAC!$X163="F01 - CAPTAÇÃO DE RECURSO",1,""),"")</f>
        <v>1</v>
      </c>
      <c r="AY163" s="194" t="str">
        <f>IFERROR(IF(PAC!$X163="F02 - LICITAÇÃO",1,""),"")</f>
        <v/>
      </c>
      <c r="AZ163" s="123" t="str">
        <f>IFERROR(IF(PAC!$X$6:$X$581="F03 - EXECUÇÃO DO OBJETO",1,""),"")</f>
        <v/>
      </c>
      <c r="BA163" s="123" t="str">
        <f>IFERROR(IF(PAC!$X$6:$X$581="F04 - CONCLUÍDA",1,""),"")</f>
        <v/>
      </c>
      <c r="BB163" s="191">
        <f>IF(PAC!$R163&gt;0,0,PAC!$Q163)</f>
        <v>0</v>
      </c>
    </row>
    <row r="164" spans="1:54" s="1" customFormat="1" ht="63"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2478</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2478</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4">
        <f>IFERROR(IF(PAC!$X165="F01 - CAPTAÇÃO DE RECURSO",1,""),"")</f>
        <v>1</v>
      </c>
      <c r="AY165" s="194" t="str">
        <f>IFERROR(IF(PAC!$X165="F02 - LICITAÇÃO",1,""),"")</f>
        <v/>
      </c>
      <c r="AZ165" s="123" t="str">
        <f>IFERROR(IF(PAC!$X$6:$X$581="F03 - EXECUÇÃO DO OBJETO",1,""),"")</f>
        <v/>
      </c>
      <c r="BA165" s="123" t="str">
        <f>IFERROR(IF(PAC!$X$6:$X$581="F04 - CONCLUÍDA",1,""),"")</f>
        <v/>
      </c>
      <c r="BB165" s="191">
        <f>IF(PAC!$R165&gt;0,0,PAC!$Q165)</f>
        <v>0</v>
      </c>
    </row>
    <row r="166" spans="1:54" s="1" customFormat="1" ht="63"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2478</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2478</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4">
        <f>IFERROR(IF(PAC!$X167="F01 - CAPTAÇÃO DE RECURSO",1,""),"")</f>
        <v>1</v>
      </c>
      <c r="AY167" s="194" t="str">
        <f>IFERROR(IF(PAC!$X167="F02 - LICITAÇÃO",1,""),"")</f>
        <v/>
      </c>
      <c r="AZ167" s="123" t="str">
        <f>IFERROR(IF(PAC!$X$6:$X$581="F03 - EXECUÇÃO DO OBJETO",1,""),"")</f>
        <v/>
      </c>
      <c r="BA167" s="123" t="str">
        <f>IFERROR(IF(PAC!$X$6:$X$581="F04 - CONCLUÍDA",1,""),"")</f>
        <v/>
      </c>
      <c r="BB167" s="191">
        <f>IF(PAC!$R167&gt;0,0,PAC!$Q167)</f>
        <v>0</v>
      </c>
    </row>
    <row r="168" spans="1:54" s="1" customFormat="1" ht="50.25"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2478</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2478</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4">
        <f>IFERROR(IF(PAC!$X169="F01 - CAPTAÇÃO DE RECURSO",1,""),"")</f>
        <v>1</v>
      </c>
      <c r="AY169" s="194" t="str">
        <f>IFERROR(IF(PAC!$X169="F02 - LICITAÇÃO",1,""),"")</f>
        <v/>
      </c>
      <c r="AZ169" s="123" t="str">
        <f>IFERROR(IF(PAC!$X$6:$X$581="F03 - EXECUÇÃO DO OBJETO",1,""),"")</f>
        <v/>
      </c>
      <c r="BA169" s="123" t="str">
        <f>IFERROR(IF(PAC!$X$6:$X$581="F04 - CONCLUÍDA",1,""),"")</f>
        <v/>
      </c>
      <c r="BB169" s="191">
        <f>IF(PAC!$R169&gt;0,0,PAC!$Q169)</f>
        <v>0</v>
      </c>
    </row>
    <row r="170" spans="1:54" s="1" customFormat="1" ht="42"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2478</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2478</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4">
        <f>IFERROR(IF(PAC!$X171="F01 - CAPTAÇÃO DE RECURSO",1,""),"")</f>
        <v>1</v>
      </c>
      <c r="AY171" s="194" t="str">
        <f>IFERROR(IF(PAC!$X171="F02 - LICITAÇÃO",1,""),"")</f>
        <v/>
      </c>
      <c r="AZ171" s="123" t="str">
        <f>IFERROR(IF(PAC!$X$6:$X$581="F03 - EXECUÇÃO DO OBJETO",1,""),"")</f>
        <v/>
      </c>
      <c r="BA171" s="123" t="str">
        <f>IFERROR(IF(PAC!$X$6:$X$581="F04 - CONCLUÍDA",1,""),"")</f>
        <v/>
      </c>
      <c r="BB171" s="191">
        <f>IF(PAC!$R171&gt;0,0,PAC!$Q171)</f>
        <v>0</v>
      </c>
    </row>
    <row r="172" spans="1:54" s="1" customFormat="1" ht="63"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2478</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2478</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4">
        <f>IFERROR(IF(PAC!$X173="F01 - CAPTAÇÃO DE RECURSO",1,""),"")</f>
        <v>1</v>
      </c>
      <c r="AY173" s="194" t="str">
        <f>IFERROR(IF(PAC!$X173="F02 - LICITAÇÃO",1,""),"")</f>
        <v/>
      </c>
      <c r="AZ173" s="123" t="str">
        <f>IFERROR(IF(PAC!$X$6:$X$581="F03 - EXECUÇÃO DO OBJETO",1,""),"")</f>
        <v/>
      </c>
      <c r="BA173" s="123" t="str">
        <f>IFERROR(IF(PAC!$X$6:$X$581="F04 - CONCLUÍDA",1,""),"")</f>
        <v/>
      </c>
      <c r="BB173" s="191">
        <f>IF(PAC!$R173&gt;0,0,PAC!$Q173)</f>
        <v>0</v>
      </c>
    </row>
    <row r="174" spans="1:54" s="1" customFormat="1" ht="63"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2478</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2479</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4">
        <f>IFERROR(IF(PAC!$X175="F01 - CAPTAÇÃO DE RECURSO",1,""),"")</f>
        <v>1</v>
      </c>
      <c r="AY175" s="194" t="str">
        <f>IFERROR(IF(PAC!$X175="F02 - LICITAÇÃO",1,""),"")</f>
        <v/>
      </c>
      <c r="AZ175" s="123" t="str">
        <f>IFERROR(IF(PAC!$X$6:$X$581="F03 - EXECUÇÃO DO OBJETO",1,""),"")</f>
        <v/>
      </c>
      <c r="BA175" s="123" t="str">
        <f>IFERROR(IF(PAC!$X$6:$X$581="F04 - CONCLUÍDA",1,""),"")</f>
        <v/>
      </c>
      <c r="BB175" s="191">
        <f>IF(PAC!$R175&gt;0,0,PAC!$Q175)</f>
        <v>0</v>
      </c>
    </row>
    <row r="176" spans="1:54" s="1" customFormat="1" ht="63"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2479</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2479</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4">
        <f>IFERROR(IF(PAC!$X177="F01 - CAPTAÇÃO DE RECURSO",1,""),"")</f>
        <v>1</v>
      </c>
      <c r="AY177" s="194" t="str">
        <f>IFERROR(IF(PAC!$X177="F02 - LICITAÇÃO",1,""),"")</f>
        <v/>
      </c>
      <c r="AZ177" s="123" t="str">
        <f>IFERROR(IF(PAC!$X$6:$X$581="F03 - EXECUÇÃO DO OBJETO",1,""),"")</f>
        <v/>
      </c>
      <c r="BA177" s="123" t="str">
        <f>IFERROR(IF(PAC!$X$6:$X$581="F04 - CONCLUÍDA",1,""),"")</f>
        <v/>
      </c>
      <c r="BB177" s="191">
        <f>IF(PAC!$R177&gt;0,0,PAC!$Q177)</f>
        <v>0</v>
      </c>
    </row>
    <row r="178" spans="1:54" s="1" customFormat="1" ht="63"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2478</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2478</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4">
        <f>IFERROR(IF(PAC!$X179="F01 - CAPTAÇÃO DE RECURSO",1,""),"")</f>
        <v>1</v>
      </c>
      <c r="AY179" s="194" t="str">
        <f>IFERROR(IF(PAC!$X179="F02 - LICITAÇÃO",1,""),"")</f>
        <v/>
      </c>
      <c r="AZ179" s="123" t="str">
        <f>IFERROR(IF(PAC!$X$6:$X$581="F03 - EXECUÇÃO DO OBJETO",1,""),"")</f>
        <v/>
      </c>
      <c r="BA179" s="123" t="str">
        <f>IFERROR(IF(PAC!$X$6:$X$581="F04 - CONCLUÍDA",1,""),"")</f>
        <v/>
      </c>
      <c r="BB179" s="191">
        <f>IF(PAC!$R179&gt;0,0,PAC!$Q179)</f>
        <v>0</v>
      </c>
    </row>
    <row r="180" spans="1:54" s="1" customFormat="1" ht="63"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2478</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2478</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4">
        <f>IFERROR(IF(PAC!$X181="F01 - CAPTAÇÃO DE RECURSO",1,""),"")</f>
        <v>1</v>
      </c>
      <c r="AY181" s="194" t="str">
        <f>IFERROR(IF(PAC!$X181="F02 - LICITAÇÃO",1,""),"")</f>
        <v/>
      </c>
      <c r="AZ181" s="123" t="str">
        <f>IFERROR(IF(PAC!$X$6:$X$581="F03 - EXECUÇÃO DO OBJETO",1,""),"")</f>
        <v/>
      </c>
      <c r="BA181" s="123" t="str">
        <f>IFERROR(IF(PAC!$X$6:$X$581="F04 - CONCLUÍDA",1,""),"")</f>
        <v/>
      </c>
      <c r="BB181" s="191">
        <f>IF(PAC!$R181&gt;0,0,PAC!$Q181)</f>
        <v>0</v>
      </c>
    </row>
    <row r="182" spans="1:54" s="1" customFormat="1" ht="63"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2478</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2472</v>
      </c>
      <c r="Z183" s="118"/>
      <c r="AA183" s="119"/>
      <c r="AB183" s="122" t="s">
        <v>1464</v>
      </c>
      <c r="AC183" s="115" t="s">
        <v>2657</v>
      </c>
      <c r="AD183" s="120">
        <v>46274</v>
      </c>
      <c r="AE183" s="114" t="s">
        <v>2682</v>
      </c>
      <c r="AF183" s="115" t="s">
        <v>1638</v>
      </c>
      <c r="AG183" s="115" t="s">
        <v>1723</v>
      </c>
      <c r="AH183" s="115" t="s">
        <v>977</v>
      </c>
      <c r="AI183" s="115"/>
      <c r="AJ183" s="118"/>
      <c r="AK183" s="115" t="s">
        <v>1674</v>
      </c>
      <c r="AL183" s="115" t="s">
        <v>2114</v>
      </c>
      <c r="AM183" s="115"/>
      <c r="AN183" s="118">
        <v>46247</v>
      </c>
      <c r="AO183" s="118">
        <v>46274</v>
      </c>
      <c r="AP183" s="118"/>
      <c r="AQ183" s="118"/>
      <c r="AR183" s="121"/>
      <c r="AS183" s="121"/>
      <c r="AT183" s="116" t="s">
        <v>2338</v>
      </c>
      <c r="AU183" s="122" t="s">
        <v>2658</v>
      </c>
      <c r="AV183" s="120"/>
      <c r="AW183" s="122" t="s">
        <v>837</v>
      </c>
      <c r="AX183" s="194" t="str">
        <f>IFERROR(IF(PAC!$X183="F01 - CAPTAÇÃO DE RECURSO",1,""),"")</f>
        <v/>
      </c>
      <c r="AY183" s="194">
        <f>IFERROR(IF(PAC!$X183="F02 - LICITAÇÃO",1,""),"")</f>
        <v>1</v>
      </c>
      <c r="AZ183" s="123" t="str">
        <f>IFERROR(IF(PAC!$X$6:$X$581="F03 - EXECUÇÃO DO OBJETO",1,""),"")</f>
        <v/>
      </c>
      <c r="BA183" s="123" t="str">
        <f>IFERROR(IF(PAC!$X$6:$X$581="F04 - CONCLUÍDA",1,""),"")</f>
        <v/>
      </c>
      <c r="BB183" s="191">
        <f>IF(PAC!$R183&gt;0,0,PAC!$Q183)</f>
        <v>15174063.029999999</v>
      </c>
    </row>
    <row r="184" spans="1:54" s="1" customFormat="1" ht="63"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2472</v>
      </c>
      <c r="Z184" s="87"/>
      <c r="AA184" s="105"/>
      <c r="AB184" s="108" t="s">
        <v>1464</v>
      </c>
      <c r="AC184" s="40" t="s">
        <v>2657</v>
      </c>
      <c r="AD184" s="106">
        <v>46274</v>
      </c>
      <c r="AE184" s="102" t="s">
        <v>2682</v>
      </c>
      <c r="AF184" s="40" t="s">
        <v>1638</v>
      </c>
      <c r="AG184" s="40" t="s">
        <v>1723</v>
      </c>
      <c r="AH184" s="40" t="s">
        <v>977</v>
      </c>
      <c r="AI184" s="40"/>
      <c r="AJ184" s="87"/>
      <c r="AK184" s="40" t="s">
        <v>1675</v>
      </c>
      <c r="AL184" s="40" t="s">
        <v>2114</v>
      </c>
      <c r="AM184" s="40"/>
      <c r="AN184" s="87">
        <v>46247</v>
      </c>
      <c r="AO184" s="87">
        <v>46274</v>
      </c>
      <c r="AP184" s="87"/>
      <c r="AQ184" s="87"/>
      <c r="AR184" s="107"/>
      <c r="AS184" s="107"/>
      <c r="AT184" s="103" t="s">
        <v>2339</v>
      </c>
      <c r="AU184" s="108" t="s">
        <v>2658</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2472</v>
      </c>
      <c r="Z185" s="118"/>
      <c r="AA185" s="119"/>
      <c r="AB185" s="122" t="s">
        <v>1464</v>
      </c>
      <c r="AC185" s="115" t="s">
        <v>2657</v>
      </c>
      <c r="AD185" s="120">
        <v>46274</v>
      </c>
      <c r="AE185" s="114" t="s">
        <v>2682</v>
      </c>
      <c r="AF185" s="115" t="s">
        <v>1638</v>
      </c>
      <c r="AG185" s="115" t="s">
        <v>1723</v>
      </c>
      <c r="AH185" s="115" t="s">
        <v>977</v>
      </c>
      <c r="AI185" s="115"/>
      <c r="AJ185" s="118"/>
      <c r="AK185" s="115" t="s">
        <v>1676</v>
      </c>
      <c r="AL185" s="115" t="s">
        <v>2114</v>
      </c>
      <c r="AM185" s="115"/>
      <c r="AN185" s="118">
        <v>46247</v>
      </c>
      <c r="AO185" s="118">
        <v>46274</v>
      </c>
      <c r="AP185" s="118"/>
      <c r="AQ185" s="118"/>
      <c r="AR185" s="121"/>
      <c r="AS185" s="121"/>
      <c r="AT185" s="116" t="s">
        <v>2340</v>
      </c>
      <c r="AU185" s="122" t="s">
        <v>2658</v>
      </c>
      <c r="AV185" s="120"/>
      <c r="AW185" s="122" t="s">
        <v>837</v>
      </c>
      <c r="AX185" s="194" t="str">
        <f>IFERROR(IF(PAC!$X185="F01 - CAPTAÇÃO DE RECURSO",1,""),"")</f>
        <v/>
      </c>
      <c r="AY185" s="194">
        <f>IFERROR(IF(PAC!$X185="F02 - LICITAÇÃO",1,""),"")</f>
        <v>1</v>
      </c>
      <c r="AZ185" s="123" t="str">
        <f>IFERROR(IF(PAC!$X$6:$X$581="F03 - EXECUÇÃO DO OBJETO",1,""),"")</f>
        <v/>
      </c>
      <c r="BA185" s="123" t="str">
        <f>IFERROR(IF(PAC!$X$6:$X$581="F04 - CONCLUÍDA",1,""),"")</f>
        <v/>
      </c>
      <c r="BB185" s="191">
        <f>IF(PAC!$R185&gt;0,0,PAC!$Q185)</f>
        <v>20293047.440000001</v>
      </c>
    </row>
    <row r="186" spans="1:54" s="1" customFormat="1" ht="63"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2478</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2478</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4">
        <f>IFERROR(IF(PAC!$X187="F01 - CAPTAÇÃO DE RECURSO",1,""),"")</f>
        <v>1</v>
      </c>
      <c r="AY187" s="194" t="str">
        <f>IFERROR(IF(PAC!$X187="F02 - LICITAÇÃO",1,""),"")</f>
        <v/>
      </c>
      <c r="AZ187" s="123" t="str">
        <f>IFERROR(IF(PAC!$X$6:$X$581="F03 - EXECUÇÃO DO OBJETO",1,""),"")</f>
        <v/>
      </c>
      <c r="BA187" s="123" t="str">
        <f>IFERROR(IF(PAC!$X$6:$X$581="F04 - CONCLUÍDA",1,""),"")</f>
        <v/>
      </c>
      <c r="BB187" s="191">
        <f>IF(PAC!$R187&gt;0,0,PAC!$Q187)</f>
        <v>0</v>
      </c>
    </row>
    <row r="188" spans="1:54" s="1" customFormat="1" ht="63"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2478</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2472</v>
      </c>
      <c r="Z189" s="118"/>
      <c r="AA189" s="119"/>
      <c r="AB189" s="122" t="s">
        <v>1464</v>
      </c>
      <c r="AC189" s="115" t="s">
        <v>2657</v>
      </c>
      <c r="AD189" s="120">
        <v>46274</v>
      </c>
      <c r="AE189" s="114" t="s">
        <v>2682</v>
      </c>
      <c r="AF189" s="115" t="s">
        <v>1638</v>
      </c>
      <c r="AG189" s="115" t="s">
        <v>1723</v>
      </c>
      <c r="AH189" s="115" t="s">
        <v>977</v>
      </c>
      <c r="AI189" s="115"/>
      <c r="AJ189" s="118"/>
      <c r="AK189" s="115" t="s">
        <v>1677</v>
      </c>
      <c r="AL189" s="115" t="s">
        <v>2115</v>
      </c>
      <c r="AM189" s="115" t="s">
        <v>716</v>
      </c>
      <c r="AN189" s="118">
        <v>46247</v>
      </c>
      <c r="AO189" s="118">
        <v>46274</v>
      </c>
      <c r="AP189" s="118"/>
      <c r="AQ189" s="118"/>
      <c r="AR189" s="121"/>
      <c r="AS189" s="121"/>
      <c r="AT189" s="116" t="s">
        <v>2341</v>
      </c>
      <c r="AU189" s="122" t="s">
        <v>2658</v>
      </c>
      <c r="AV189" s="120"/>
      <c r="AW189" s="122" t="s">
        <v>707</v>
      </c>
      <c r="AX189" s="194" t="str">
        <f>IFERROR(IF(PAC!$X189="F01 - CAPTAÇÃO DE RECURSO",1,""),"")</f>
        <v/>
      </c>
      <c r="AY189" s="194">
        <f>IFERROR(IF(PAC!$X189="F02 - LICITAÇÃO",1,""),"")</f>
        <v>1</v>
      </c>
      <c r="AZ189" s="123" t="str">
        <f>IFERROR(IF(PAC!$X$6:$X$581="F03 - EXECUÇÃO DO OBJETO",1,""),"")</f>
        <v/>
      </c>
      <c r="BA189" s="123" t="str">
        <f>IFERROR(IF(PAC!$X$6:$X$581="F04 - CONCLUÍDA",1,""),"")</f>
        <v/>
      </c>
      <c r="BB189" s="191">
        <f>IF(PAC!$R189&gt;0,0,PAC!$Q189)</f>
        <v>1435612.87</v>
      </c>
    </row>
    <row r="190" spans="1:54" s="1" customFormat="1" ht="63"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2478</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2478</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4">
        <f>IFERROR(IF(PAC!$X191="F01 - CAPTAÇÃO DE RECURSO",1,""),"")</f>
        <v>1</v>
      </c>
      <c r="AY191" s="194" t="str">
        <f>IFERROR(IF(PAC!$X191="F02 - LICITAÇÃO",1,""),"")</f>
        <v/>
      </c>
      <c r="AZ191" s="123" t="str">
        <f>IFERROR(IF(PAC!$X$6:$X$581="F03 - EXECUÇÃO DO OBJETO",1,""),"")</f>
        <v/>
      </c>
      <c r="BA191" s="123" t="str">
        <f>IFERROR(IF(PAC!$X$6:$X$581="F04 - CONCLUÍDA",1,""),"")</f>
        <v/>
      </c>
      <c r="BB191" s="191">
        <f>IF(PAC!$R191&gt;0,0,PAC!$Q191)</f>
        <v>0</v>
      </c>
    </row>
    <row r="192" spans="1:54" s="1" customFormat="1" ht="63"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2478</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2478</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4">
        <f>IFERROR(IF(PAC!$X193="F01 - CAPTAÇÃO DE RECURSO",1,""),"")</f>
        <v>1</v>
      </c>
      <c r="AY193" s="194" t="str">
        <f>IFERROR(IF(PAC!$X193="F02 - LICITAÇÃO",1,""),"")</f>
        <v/>
      </c>
      <c r="AZ193" s="123" t="str">
        <f>IFERROR(IF(PAC!$X$6:$X$581="F03 - EXECUÇÃO DO OBJETO",1,""),"")</f>
        <v/>
      </c>
      <c r="BA193" s="123" t="str">
        <f>IFERROR(IF(PAC!$X$6:$X$581="F04 - CONCLUÍDA",1,""),"")</f>
        <v/>
      </c>
      <c r="BB193" s="191">
        <f>IF(PAC!$R193&gt;0,0,PAC!$Q193)</f>
        <v>0</v>
      </c>
    </row>
    <row r="194" spans="1:54" s="1" customFormat="1" ht="54.75"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2478</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2478</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4">
        <f>IFERROR(IF(PAC!$X195="F01 - CAPTAÇÃO DE RECURSO",1,""),"")</f>
        <v>1</v>
      </c>
      <c r="AY195" s="194" t="str">
        <f>IFERROR(IF(PAC!$X195="F02 - LICITAÇÃO",1,""),"")</f>
        <v/>
      </c>
      <c r="AZ195" s="123" t="str">
        <f>IFERROR(IF(PAC!$X$6:$X$581="F03 - EXECUÇÃO DO OBJETO",1,""),"")</f>
        <v/>
      </c>
      <c r="BA195" s="123" t="str">
        <f>IFERROR(IF(PAC!$X$6:$X$581="F04 - CONCLUÍDA",1,""),"")</f>
        <v/>
      </c>
      <c r="BB195" s="191">
        <f>IF(PAC!$R195&gt;0,0,PAC!$Q195)</f>
        <v>0</v>
      </c>
    </row>
    <row r="196" spans="1:54" s="1" customFormat="1" ht="57.75"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2473</v>
      </c>
      <c r="Z196" s="87"/>
      <c r="AA196" s="105"/>
      <c r="AB196" s="108" t="s">
        <v>1464</v>
      </c>
      <c r="AC196" s="40" t="s">
        <v>2657</v>
      </c>
      <c r="AD196" s="106">
        <v>46274</v>
      </c>
      <c r="AE196" s="102" t="s">
        <v>2451</v>
      </c>
      <c r="AF196" s="40" t="s">
        <v>1638</v>
      </c>
      <c r="AG196" s="40" t="s">
        <v>1723</v>
      </c>
      <c r="AH196" s="40" t="s">
        <v>977</v>
      </c>
      <c r="AI196" s="40"/>
      <c r="AJ196" s="87"/>
      <c r="AK196" s="40" t="s">
        <v>1678</v>
      </c>
      <c r="AL196" s="40" t="s">
        <v>2116</v>
      </c>
      <c r="AM196" s="40" t="s">
        <v>716</v>
      </c>
      <c r="AN196" s="87">
        <v>46247</v>
      </c>
      <c r="AO196" s="87">
        <v>46274</v>
      </c>
      <c r="AP196" s="87"/>
      <c r="AQ196" s="87"/>
      <c r="AR196" s="107"/>
      <c r="AS196" s="107"/>
      <c r="AT196" s="103" t="s">
        <v>2342</v>
      </c>
      <c r="AU196" s="108" t="s">
        <v>2658</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2478</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4">
        <f>IFERROR(IF(PAC!$X197="F01 - CAPTAÇÃO DE RECURSO",1,""),"")</f>
        <v>1</v>
      </c>
      <c r="AY197" s="194" t="str">
        <f>IFERROR(IF(PAC!$X197="F02 - LICITAÇÃO",1,""),"")</f>
        <v/>
      </c>
      <c r="AZ197" s="123" t="str">
        <f>IFERROR(IF(PAC!$X$6:$X$581="F03 - EXECUÇÃO DO OBJETO",1,""),"")</f>
        <v/>
      </c>
      <c r="BA197" s="123" t="str">
        <f>IFERROR(IF(PAC!$X$6:$X$581="F04 - CONCLUÍDA",1,""),"")</f>
        <v/>
      </c>
      <c r="BB197" s="191">
        <f>IF(PAC!$R197&gt;0,0,PAC!$Q197)</f>
        <v>0</v>
      </c>
    </row>
    <row r="198" spans="1:54" s="1" customFormat="1" ht="63"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2478</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2478</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4">
        <f>IFERROR(IF(PAC!$X199="F01 - CAPTAÇÃO DE RECURSO",1,""),"")</f>
        <v>1</v>
      </c>
      <c r="AY199" s="194" t="str">
        <f>IFERROR(IF(PAC!$X199="F02 - LICITAÇÃO",1,""),"")</f>
        <v/>
      </c>
      <c r="AZ199" s="123" t="str">
        <f>IFERROR(IF(PAC!$X$6:$X$581="F03 - EXECUÇÃO DO OBJETO",1,""),"")</f>
        <v/>
      </c>
      <c r="BA199" s="123" t="str">
        <f>IFERROR(IF(PAC!$X$6:$X$581="F04 - CONCLUÍDA",1,""),"")</f>
        <v/>
      </c>
      <c r="BB199" s="191">
        <f>IF(PAC!$R199&gt;0,0,PAC!$Q199)</f>
        <v>0</v>
      </c>
    </row>
    <row r="200" spans="1:54" s="1" customFormat="1" ht="66"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2478</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2478</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4">
        <f>IFERROR(IF(PAC!$X201="F01 - CAPTAÇÃO DE RECURSO",1,""),"")</f>
        <v>1</v>
      </c>
      <c r="AY201" s="194" t="str">
        <f>IFERROR(IF(PAC!$X201="F02 - LICITAÇÃO",1,""),"")</f>
        <v/>
      </c>
      <c r="AZ201" s="123" t="str">
        <f>IFERROR(IF(PAC!$X$6:$X$581="F03 - EXECUÇÃO DO OBJETO",1,""),"")</f>
        <v/>
      </c>
      <c r="BA201" s="123" t="str">
        <f>IFERROR(IF(PAC!$X$6:$X$581="F04 - CONCLUÍDA",1,""),"")</f>
        <v/>
      </c>
      <c r="BB201" s="191">
        <f>IF(PAC!$R201&gt;0,0,PAC!$Q201)</f>
        <v>0</v>
      </c>
    </row>
    <row r="202" spans="1:54" s="1" customFormat="1" ht="63"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2478</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2478</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4">
        <f>IFERROR(IF(PAC!$X203="F01 - CAPTAÇÃO DE RECURSO",1,""),"")</f>
        <v>1</v>
      </c>
      <c r="AY203" s="194" t="str">
        <f>IFERROR(IF(PAC!$X203="F02 - LICITAÇÃO",1,""),"")</f>
        <v/>
      </c>
      <c r="AZ203" s="123" t="str">
        <f>IFERROR(IF(PAC!$X$6:$X$581="F03 - EXECUÇÃO DO OBJETO",1,""),"")</f>
        <v/>
      </c>
      <c r="BA203" s="123" t="str">
        <f>IFERROR(IF(PAC!$X$6:$X$581="F04 - CONCLUÍDA",1,""),"")</f>
        <v/>
      </c>
      <c r="BB203" s="191">
        <f>IF(PAC!$R203&gt;0,0,PAC!$Q203)</f>
        <v>0</v>
      </c>
    </row>
    <row r="204" spans="1:54" s="1" customFormat="1" ht="63"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2478</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2478</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4">
        <f>IFERROR(IF(PAC!$X205="F01 - CAPTAÇÃO DE RECURSO",1,""),"")</f>
        <v>1</v>
      </c>
      <c r="AY205" s="194" t="str">
        <f>IFERROR(IF(PAC!$X205="F02 - LICITAÇÃO",1,""),"")</f>
        <v/>
      </c>
      <c r="AZ205" s="123" t="str">
        <f>IFERROR(IF(PAC!$X$6:$X$581="F03 - EXECUÇÃO DO OBJETO",1,""),"")</f>
        <v/>
      </c>
      <c r="BA205" s="123" t="str">
        <f>IFERROR(IF(PAC!$X$6:$X$581="F04 - CONCLUÍDA",1,""),"")</f>
        <v/>
      </c>
      <c r="BB205" s="191">
        <f>IF(PAC!$R205&gt;0,0,PAC!$Q205)</f>
        <v>0</v>
      </c>
    </row>
    <row r="206" spans="1:54" s="1" customFormat="1" ht="63"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2478</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2478</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4">
        <f>IFERROR(IF(PAC!$X207="F01 - CAPTAÇÃO DE RECURSO",1,""),"")</f>
        <v>1</v>
      </c>
      <c r="AY207" s="194" t="str">
        <f>IFERROR(IF(PAC!$X207="F02 - LICITAÇÃO",1,""),"")</f>
        <v/>
      </c>
      <c r="AZ207" s="123" t="str">
        <f>IFERROR(IF(PAC!$X$6:$X$581="F03 - EXECUÇÃO DO OBJETO",1,""),"")</f>
        <v/>
      </c>
      <c r="BA207" s="123" t="str">
        <f>IFERROR(IF(PAC!$X$6:$X$581="F04 - CONCLUÍDA",1,""),"")</f>
        <v/>
      </c>
      <c r="BB207" s="191">
        <f>IF(PAC!$R207&gt;0,0,PAC!$Q207)</f>
        <v>0</v>
      </c>
    </row>
    <row r="208" spans="1:54" s="1" customFormat="1" ht="63"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2478</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1010</v>
      </c>
      <c r="E209" s="114" t="s">
        <v>2789</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2473</v>
      </c>
      <c r="Z209" s="118"/>
      <c r="AA209" s="119"/>
      <c r="AB209" s="122" t="s">
        <v>1459</v>
      </c>
      <c r="AC209" s="115" t="s">
        <v>2531</v>
      </c>
      <c r="AD209" s="120"/>
      <c r="AE209" s="114" t="s">
        <v>2434</v>
      </c>
      <c r="AF209" s="115" t="s">
        <v>1637</v>
      </c>
      <c r="AG209" s="115" t="s">
        <v>1701</v>
      </c>
      <c r="AH209" s="115" t="s">
        <v>977</v>
      </c>
      <c r="AI209" s="115"/>
      <c r="AJ209" s="118"/>
      <c r="AK209" s="115" t="s">
        <v>1679</v>
      </c>
      <c r="AL209" s="115" t="s">
        <v>2098</v>
      </c>
      <c r="AM209" s="115" t="s">
        <v>716</v>
      </c>
      <c r="AN209" s="118">
        <v>46265</v>
      </c>
      <c r="AO209" s="118"/>
      <c r="AP209" s="118"/>
      <c r="AQ209" s="118"/>
      <c r="AR209" s="121"/>
      <c r="AS209" s="121"/>
      <c r="AT209" s="116" t="s">
        <v>2790</v>
      </c>
      <c r="AU209" s="122" t="s">
        <v>2693</v>
      </c>
      <c r="AV209" s="120"/>
      <c r="AW209" s="122" t="s">
        <v>707</v>
      </c>
      <c r="AX209" s="194">
        <f>IFERROR(IF(PAC!$X209="F01 - CAPTAÇÃO DE RECURSO",1,""),"")</f>
        <v>1</v>
      </c>
      <c r="AY209" s="194" t="str">
        <f>IFERROR(IF(PAC!$X209="F02 - LICITAÇÃO",1,""),"")</f>
        <v/>
      </c>
      <c r="AZ209" s="123" t="str">
        <f>IFERROR(IF(PAC!$X$6:$X$581="F03 - EXECUÇÃO DO OBJETO",1,""),"")</f>
        <v/>
      </c>
      <c r="BA209" s="123" t="str">
        <f>IFERROR(IF(PAC!$X$6:$X$581="F04 - CONCLUÍDA",1,""),"")</f>
        <v/>
      </c>
      <c r="BB209" s="191">
        <f>IF(PAC!$R209&gt;0,0,PAC!$Q209)</f>
        <v>1582620.75</v>
      </c>
    </row>
    <row r="210" spans="1:54" s="1" customFormat="1" ht="63"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2478</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2478</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4">
        <f>IFERROR(IF(PAC!$X211="F01 - CAPTAÇÃO DE RECURSO",1,""),"")</f>
        <v>1</v>
      </c>
      <c r="AY211" s="194" t="str">
        <f>IFERROR(IF(PAC!$X211="F02 - LICITAÇÃO",1,""),"")</f>
        <v/>
      </c>
      <c r="AZ211" s="123" t="str">
        <f>IFERROR(IF(PAC!$X$6:$X$581="F03 - EXECUÇÃO DO OBJETO",1,""),"")</f>
        <v/>
      </c>
      <c r="BA211" s="123" t="str">
        <f>IFERROR(IF(PAC!$X$6:$X$581="F04 - CONCLUÍDA",1,""),"")</f>
        <v/>
      </c>
      <c r="BB211" s="191">
        <f>IF(PAC!$R211&gt;0,0,PAC!$Q211)</f>
        <v>0</v>
      </c>
    </row>
    <row r="212" spans="1:54" s="1" customFormat="1" ht="63"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2478</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2478</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4">
        <f>IFERROR(IF(PAC!$X213="F01 - CAPTAÇÃO DE RECURSO",1,""),"")</f>
        <v>1</v>
      </c>
      <c r="AY213" s="194" t="str">
        <f>IFERROR(IF(PAC!$X213="F02 - LICITAÇÃO",1,""),"")</f>
        <v/>
      </c>
      <c r="AZ213" s="123" t="str">
        <f>IFERROR(IF(PAC!$X$6:$X$581="F03 - EXECUÇÃO DO OBJETO",1,""),"")</f>
        <v/>
      </c>
      <c r="BA213" s="123" t="str">
        <f>IFERROR(IF(PAC!$X$6:$X$581="F04 - CONCLUÍDA",1,""),"")</f>
        <v/>
      </c>
      <c r="BB213" s="191">
        <f>IF(PAC!$R213&gt;0,0,PAC!$Q213)</f>
        <v>0</v>
      </c>
    </row>
    <row r="214" spans="1:54" s="1" customFormat="1" ht="63"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2478</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2478</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4">
        <f>IFERROR(IF(PAC!$X215="F01 - CAPTAÇÃO DE RECURSO",1,""),"")</f>
        <v>1</v>
      </c>
      <c r="AY215" s="194" t="str">
        <f>IFERROR(IF(PAC!$X215="F02 - LICITAÇÃO",1,""),"")</f>
        <v/>
      </c>
      <c r="AZ215" s="123" t="str">
        <f>IFERROR(IF(PAC!$X$6:$X$581="F03 - EXECUÇÃO DO OBJETO",1,""),"")</f>
        <v/>
      </c>
      <c r="BA215" s="123" t="str">
        <f>IFERROR(IF(PAC!$X$6:$X$581="F04 - CONCLUÍDA",1,""),"")</f>
        <v/>
      </c>
      <c r="BB215" s="191">
        <f>IF(PAC!$R215&gt;0,0,PAC!$Q215)</f>
        <v>0</v>
      </c>
    </row>
    <row r="216" spans="1:54" s="1" customFormat="1" ht="63"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2478</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1010</v>
      </c>
      <c r="E217" s="114" t="s">
        <v>2791</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2473</v>
      </c>
      <c r="Z217" s="118"/>
      <c r="AA217" s="119"/>
      <c r="AB217" s="122" t="s">
        <v>1459</v>
      </c>
      <c r="AC217" s="115" t="s">
        <v>2531</v>
      </c>
      <c r="AD217" s="120"/>
      <c r="AE217" s="114" t="s">
        <v>2434</v>
      </c>
      <c r="AF217" s="115" t="s">
        <v>1637</v>
      </c>
      <c r="AG217" s="115" t="s">
        <v>1701</v>
      </c>
      <c r="AH217" s="115" t="s">
        <v>977</v>
      </c>
      <c r="AI217" s="115"/>
      <c r="AJ217" s="118"/>
      <c r="AK217" s="115" t="s">
        <v>1680</v>
      </c>
      <c r="AL217" s="115" t="s">
        <v>2099</v>
      </c>
      <c r="AM217" s="115" t="s">
        <v>716</v>
      </c>
      <c r="AN217" s="118">
        <v>46265</v>
      </c>
      <c r="AO217" s="118"/>
      <c r="AP217" s="118"/>
      <c r="AQ217" s="118"/>
      <c r="AR217" s="121"/>
      <c r="AS217" s="121"/>
      <c r="AT217" s="116" t="s">
        <v>2792</v>
      </c>
      <c r="AU217" s="122" t="s">
        <v>2693</v>
      </c>
      <c r="AV217" s="120"/>
      <c r="AW217" s="122" t="s">
        <v>707</v>
      </c>
      <c r="AX217" s="194">
        <f>IFERROR(IF(PAC!$X217="F01 - CAPTAÇÃO DE RECURSO",1,""),"")</f>
        <v>1</v>
      </c>
      <c r="AY217" s="194" t="str">
        <f>IFERROR(IF(PAC!$X217="F02 - LICITAÇÃO",1,""),"")</f>
        <v/>
      </c>
      <c r="AZ217" s="123" t="str">
        <f>IFERROR(IF(PAC!$X$6:$X$581="F03 - EXECUÇÃO DO OBJETO",1,""),"")</f>
        <v/>
      </c>
      <c r="BA217" s="123" t="str">
        <f>IFERROR(IF(PAC!$X$6:$X$581="F04 - CONCLUÍDA",1,""),"")</f>
        <v/>
      </c>
      <c r="BB217" s="191">
        <f>IF(PAC!$R217&gt;0,0,PAC!$Q217)</f>
        <v>709014.09</v>
      </c>
    </row>
    <row r="218" spans="1:54" s="1" customFormat="1" ht="63"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2478</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2478</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4">
        <f>IFERROR(IF(PAC!$X219="F01 - CAPTAÇÃO DE RECURSO",1,""),"")</f>
        <v>1</v>
      </c>
      <c r="AY219" s="194" t="str">
        <f>IFERROR(IF(PAC!$X219="F02 - LICITAÇÃO",1,""),"")</f>
        <v/>
      </c>
      <c r="AZ219" s="123" t="str">
        <f>IFERROR(IF(PAC!$X$6:$X$581="F03 - EXECUÇÃO DO OBJETO",1,""),"")</f>
        <v/>
      </c>
      <c r="BA219" s="123" t="str">
        <f>IFERROR(IF(PAC!$X$6:$X$581="F04 - CONCLUÍDA",1,""),"")</f>
        <v/>
      </c>
      <c r="BB219" s="191">
        <f>IF(PAC!$R219&gt;0,0,PAC!$Q219)</f>
        <v>0</v>
      </c>
    </row>
    <row r="220" spans="1:54" s="1" customFormat="1" ht="63"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2478</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1010</v>
      </c>
      <c r="E221" s="114" t="s">
        <v>2038</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2472</v>
      </c>
      <c r="Z221" s="118"/>
      <c r="AA221" s="119"/>
      <c r="AB221" s="122" t="s">
        <v>1469</v>
      </c>
      <c r="AC221" s="115" t="s">
        <v>2694</v>
      </c>
      <c r="AD221" s="120"/>
      <c r="AE221" s="114" t="s">
        <v>2713</v>
      </c>
      <c r="AF221" s="115" t="s">
        <v>1637</v>
      </c>
      <c r="AG221" s="115" t="s">
        <v>1701</v>
      </c>
      <c r="AH221" s="115" t="s">
        <v>977</v>
      </c>
      <c r="AI221" s="115"/>
      <c r="AJ221" s="118"/>
      <c r="AK221" s="115" t="s">
        <v>1681</v>
      </c>
      <c r="AL221" s="115" t="s">
        <v>2092</v>
      </c>
      <c r="AM221" s="115" t="s">
        <v>716</v>
      </c>
      <c r="AN221" s="118">
        <v>46143</v>
      </c>
      <c r="AO221" s="118">
        <v>46189</v>
      </c>
      <c r="AP221" s="118">
        <v>46253</v>
      </c>
      <c r="AQ221" s="118"/>
      <c r="AR221" s="121"/>
      <c r="AS221" s="121"/>
      <c r="AT221" s="116" t="s">
        <v>2686</v>
      </c>
      <c r="AU221" s="122" t="s">
        <v>2712</v>
      </c>
      <c r="AV221" s="120"/>
      <c r="AW221" s="122" t="s">
        <v>707</v>
      </c>
      <c r="AX221" s="194" t="str">
        <f>IFERROR(IF(PAC!$X221="F01 - CAPTAÇÃO DE RECURSO",1,""),"")</f>
        <v/>
      </c>
      <c r="AY221" s="194">
        <f>IFERROR(IF(PAC!$X221="F02 - LICITAÇÃO",1,""),"")</f>
        <v>1</v>
      </c>
      <c r="AZ221" s="123" t="str">
        <f>IFERROR(IF(PAC!$X$6:$X$581="F03 - EXECUÇÃO DO OBJETO",1,""),"")</f>
        <v/>
      </c>
      <c r="BA221" s="123" t="str">
        <f>IFERROR(IF(PAC!$X$6:$X$581="F04 - CONCLUÍDA",1,""),"")</f>
        <v/>
      </c>
      <c r="BB221" s="191">
        <f>IF(PAC!$R221&gt;0,0,PAC!$Q221)</f>
        <v>0</v>
      </c>
    </row>
    <row r="222" spans="1:54" s="1" customFormat="1" ht="63"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2478</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2478</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4">
        <f>IFERROR(IF(PAC!$X223="F01 - CAPTAÇÃO DE RECURSO",1,""),"")</f>
        <v>1</v>
      </c>
      <c r="AY223" s="194" t="str">
        <f>IFERROR(IF(PAC!$X223="F02 - LICITAÇÃO",1,""),"")</f>
        <v/>
      </c>
      <c r="AZ223" s="123" t="str">
        <f>IFERROR(IF(PAC!$X$6:$X$581="F03 - EXECUÇÃO DO OBJETO",1,""),"")</f>
        <v/>
      </c>
      <c r="BA223" s="123" t="str">
        <f>IFERROR(IF(PAC!$X$6:$X$581="F04 - CONCLUÍDA",1,""),"")</f>
        <v/>
      </c>
      <c r="BB223" s="191">
        <f>IF(PAC!$R223&gt;0,0,PAC!$Q223)</f>
        <v>0</v>
      </c>
    </row>
    <row r="224" spans="1:54" s="1" customFormat="1" ht="63" customHeight="1" thickBot="1">
      <c r="A224" s="88">
        <f t="shared" si="3"/>
        <v>219</v>
      </c>
      <c r="B224" s="88">
        <v>2025</v>
      </c>
      <c r="C224" s="88" t="s">
        <v>605</v>
      </c>
      <c r="D224" s="88" t="s">
        <v>1010</v>
      </c>
      <c r="E224" s="102" t="s">
        <v>2040</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2472</v>
      </c>
      <c r="Z224" s="87"/>
      <c r="AA224" s="105"/>
      <c r="AB224" s="108" t="s">
        <v>1469</v>
      </c>
      <c r="AC224" s="40" t="s">
        <v>2694</v>
      </c>
      <c r="AD224" s="106"/>
      <c r="AE224" s="102" t="s">
        <v>2695</v>
      </c>
      <c r="AF224" s="40" t="s">
        <v>1637</v>
      </c>
      <c r="AG224" s="40" t="s">
        <v>1701</v>
      </c>
      <c r="AH224" s="40" t="s">
        <v>977</v>
      </c>
      <c r="AI224" s="40"/>
      <c r="AJ224" s="87"/>
      <c r="AK224" s="40" t="s">
        <v>1682</v>
      </c>
      <c r="AL224" s="40" t="s">
        <v>2093</v>
      </c>
      <c r="AM224" s="40" t="s">
        <v>716</v>
      </c>
      <c r="AN224" s="87">
        <v>46143</v>
      </c>
      <c r="AO224" s="87">
        <v>46189</v>
      </c>
      <c r="AP224" s="87">
        <v>46253</v>
      </c>
      <c r="AQ224" s="87"/>
      <c r="AR224" s="107"/>
      <c r="AS224" s="107"/>
      <c r="AT224" s="103" t="s">
        <v>2687</v>
      </c>
      <c r="AU224" s="108" t="s">
        <v>2712</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1010</v>
      </c>
      <c r="E225" s="114" t="s">
        <v>2803</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2473</v>
      </c>
      <c r="Z225" s="118"/>
      <c r="AA225" s="119"/>
      <c r="AB225" s="122" t="s">
        <v>1459</v>
      </c>
      <c r="AC225" s="115" t="s">
        <v>2531</v>
      </c>
      <c r="AD225" s="120"/>
      <c r="AE225" s="114" t="s">
        <v>2434</v>
      </c>
      <c r="AF225" s="115" t="s">
        <v>1637</v>
      </c>
      <c r="AG225" s="115" t="s">
        <v>1701</v>
      </c>
      <c r="AH225" s="115" t="s">
        <v>977</v>
      </c>
      <c r="AI225" s="115"/>
      <c r="AJ225" s="118"/>
      <c r="AK225" s="115" t="s">
        <v>1683</v>
      </c>
      <c r="AL225" s="115" t="s">
        <v>2100</v>
      </c>
      <c r="AM225" s="115" t="s">
        <v>716</v>
      </c>
      <c r="AN225" s="118">
        <v>46265</v>
      </c>
      <c r="AO225" s="118"/>
      <c r="AP225" s="118"/>
      <c r="AQ225" s="118"/>
      <c r="AR225" s="121"/>
      <c r="AS225" s="121"/>
      <c r="AT225" s="116" t="s">
        <v>2804</v>
      </c>
      <c r="AU225" s="122" t="s">
        <v>2693</v>
      </c>
      <c r="AV225" s="120"/>
      <c r="AW225" s="122" t="s">
        <v>836</v>
      </c>
      <c r="AX225" s="194">
        <f>IFERROR(IF(PAC!$X225="F01 - CAPTAÇÃO DE RECURSO",1,""),"")</f>
        <v>1</v>
      </c>
      <c r="AY225" s="194" t="str">
        <f>IFERROR(IF(PAC!$X225="F02 - LICITAÇÃO",1,""),"")</f>
        <v/>
      </c>
      <c r="AZ225" s="123" t="str">
        <f>IFERROR(IF(PAC!$X$6:$X$581="F03 - EXECUÇÃO DO OBJETO",1,""),"")</f>
        <v/>
      </c>
      <c r="BA225" s="123" t="str">
        <f>IFERROR(IF(PAC!$X$6:$X$581="F04 - CONCLUÍDA",1,""),"")</f>
        <v/>
      </c>
      <c r="BB225" s="191">
        <f>IF(PAC!$R225&gt;0,0,PAC!$Q225)</f>
        <v>5416079.9000000004</v>
      </c>
    </row>
    <row r="226" spans="1:54" s="1" customFormat="1" ht="63"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2478</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2478</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4">
        <f>IFERROR(IF(PAC!$X227="F01 - CAPTAÇÃO DE RECURSO",1,""),"")</f>
        <v>1</v>
      </c>
      <c r="AY227" s="194" t="str">
        <f>IFERROR(IF(PAC!$X227="F02 - LICITAÇÃO",1,""),"")</f>
        <v/>
      </c>
      <c r="AZ227" s="123" t="str">
        <f>IFERROR(IF(PAC!$X$6:$X$581="F03 - EXECUÇÃO DO OBJETO",1,""),"")</f>
        <v/>
      </c>
      <c r="BA227" s="123" t="str">
        <f>IFERROR(IF(PAC!$X$6:$X$581="F04 - CONCLUÍDA",1,""),"")</f>
        <v/>
      </c>
      <c r="BB227" s="191">
        <f>IF(PAC!$R227&gt;0,0,PAC!$Q227)</f>
        <v>0</v>
      </c>
    </row>
    <row r="228" spans="1:54" s="1" customFormat="1" ht="63"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2478</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2478</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4">
        <f>IFERROR(IF(PAC!$X229="F01 - CAPTAÇÃO DE RECURSO",1,""),"")</f>
        <v>1</v>
      </c>
      <c r="AY229" s="194" t="str">
        <f>IFERROR(IF(PAC!$X229="F02 - LICITAÇÃO",1,""),"")</f>
        <v/>
      </c>
      <c r="AZ229" s="123" t="str">
        <f>IFERROR(IF(PAC!$X$6:$X$581="F03 - EXECUÇÃO DO OBJETO",1,""),"")</f>
        <v/>
      </c>
      <c r="BA229" s="123" t="str">
        <f>IFERROR(IF(PAC!$X$6:$X$581="F04 - CONCLUÍDA",1,""),"")</f>
        <v/>
      </c>
      <c r="BB229" s="191">
        <f>IF(PAC!$R229&gt;0,0,PAC!$Q229)</f>
        <v>0</v>
      </c>
    </row>
    <row r="230" spans="1:54" s="1" customFormat="1" ht="409.6" customHeight="1" thickBot="1">
      <c r="A230" s="88">
        <f t="shared" si="3"/>
        <v>225</v>
      </c>
      <c r="B230" s="88">
        <v>2025</v>
      </c>
      <c r="C230" s="88" t="s">
        <v>605</v>
      </c>
      <c r="D230" s="88" t="s">
        <v>1010</v>
      </c>
      <c r="E230" s="102" t="s">
        <v>2039</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2472</v>
      </c>
      <c r="Z230" s="87"/>
      <c r="AA230" s="105"/>
      <c r="AB230" s="108" t="s">
        <v>1469</v>
      </c>
      <c r="AC230" s="40" t="s">
        <v>2694</v>
      </c>
      <c r="AD230" s="106"/>
      <c r="AE230" s="102" t="s">
        <v>2713</v>
      </c>
      <c r="AF230" s="40" t="s">
        <v>1637</v>
      </c>
      <c r="AG230" s="40" t="s">
        <v>1701</v>
      </c>
      <c r="AH230" s="40" t="s">
        <v>977</v>
      </c>
      <c r="AI230" s="40"/>
      <c r="AJ230" s="87"/>
      <c r="AK230" s="40" t="s">
        <v>2007</v>
      </c>
      <c r="AL230" s="40" t="s">
        <v>2094</v>
      </c>
      <c r="AM230" s="40" t="s">
        <v>716</v>
      </c>
      <c r="AN230" s="87">
        <v>46143</v>
      </c>
      <c r="AO230" s="87">
        <v>46189</v>
      </c>
      <c r="AP230" s="87">
        <v>46253</v>
      </c>
      <c r="AQ230" s="87"/>
      <c r="AR230" s="107"/>
      <c r="AS230" s="107"/>
      <c r="AT230" s="103" t="s">
        <v>2688</v>
      </c>
      <c r="AU230" s="108" t="s">
        <v>2712</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2478</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4">
        <f>IFERROR(IF(PAC!$X231="F01 - CAPTAÇÃO DE RECURSO",1,""),"")</f>
        <v>1</v>
      </c>
      <c r="AY231" s="194" t="str">
        <f>IFERROR(IF(PAC!$X231="F02 - LICITAÇÃO",1,""),"")</f>
        <v/>
      </c>
      <c r="AZ231" s="123" t="str">
        <f>IFERROR(IF(PAC!$X$6:$X$581="F03 - EXECUÇÃO DO OBJETO",1,""),"")</f>
        <v/>
      </c>
      <c r="BA231" s="123" t="str">
        <f>IFERROR(IF(PAC!$X$6:$X$581="F04 - CONCLUÍDA",1,""),"")</f>
        <v/>
      </c>
      <c r="BB231" s="191">
        <f>IF(PAC!$R231&gt;0,0,PAC!$Q231)</f>
        <v>0</v>
      </c>
    </row>
    <row r="232" spans="1:54" s="1" customFormat="1" ht="63"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2478</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1010</v>
      </c>
      <c r="E233" s="114" t="s">
        <v>2041</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2472</v>
      </c>
      <c r="Z233" s="118"/>
      <c r="AA233" s="119"/>
      <c r="AB233" s="122" t="s">
        <v>1469</v>
      </c>
      <c r="AC233" s="115" t="s">
        <v>2694</v>
      </c>
      <c r="AD233" s="120"/>
      <c r="AE233" s="114" t="s">
        <v>2713</v>
      </c>
      <c r="AF233" s="115" t="s">
        <v>1637</v>
      </c>
      <c r="AG233" s="115" t="s">
        <v>1701</v>
      </c>
      <c r="AH233" s="115" t="s">
        <v>977</v>
      </c>
      <c r="AI233" s="115"/>
      <c r="AJ233" s="118"/>
      <c r="AK233" s="115" t="s">
        <v>1702</v>
      </c>
      <c r="AL233" s="115" t="s">
        <v>2096</v>
      </c>
      <c r="AM233" s="115" t="s">
        <v>716</v>
      </c>
      <c r="AN233" s="118">
        <v>46143</v>
      </c>
      <c r="AO233" s="118">
        <v>46189</v>
      </c>
      <c r="AP233" s="118">
        <v>46253</v>
      </c>
      <c r="AQ233" s="118"/>
      <c r="AR233" s="121"/>
      <c r="AS233" s="121"/>
      <c r="AT233" s="116" t="s">
        <v>2689</v>
      </c>
      <c r="AU233" s="122" t="s">
        <v>2712</v>
      </c>
      <c r="AV233" s="120"/>
      <c r="AW233" s="122" t="s">
        <v>707</v>
      </c>
      <c r="AX233" s="194" t="str">
        <f>IFERROR(IF(PAC!$X233="F01 - CAPTAÇÃO DE RECURSO",1,""),"")</f>
        <v/>
      </c>
      <c r="AY233" s="194">
        <f>IFERROR(IF(PAC!$X233="F02 - LICITAÇÃO",1,""),"")</f>
        <v>1</v>
      </c>
      <c r="AZ233" s="123" t="str">
        <f>IFERROR(IF(PAC!$X$6:$X$581="F03 - EXECUÇÃO DO OBJETO",1,""),"")</f>
        <v/>
      </c>
      <c r="BA233" s="123" t="str">
        <f>IFERROR(IF(PAC!$X$6:$X$581="F04 - CONCLUÍDA",1,""),"")</f>
        <v/>
      </c>
      <c r="BB233" s="191">
        <f>IF(PAC!$R233&gt;0,0,PAC!$Q233)</f>
        <v>0</v>
      </c>
    </row>
    <row r="234" spans="1:54" s="1" customFormat="1" ht="63" customHeight="1" thickBot="1">
      <c r="A234" s="88">
        <f t="shared" si="3"/>
        <v>229</v>
      </c>
      <c r="B234" s="88">
        <v>2025</v>
      </c>
      <c r="C234" s="88" t="s">
        <v>605</v>
      </c>
      <c r="D234" s="88" t="s">
        <v>1010</v>
      </c>
      <c r="E234" s="102" t="s">
        <v>2797</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2473</v>
      </c>
      <c r="Z234" s="87"/>
      <c r="AA234" s="105"/>
      <c r="AB234" s="108" t="s">
        <v>1459</v>
      </c>
      <c r="AC234" s="40" t="s">
        <v>2532</v>
      </c>
      <c r="AD234" s="106"/>
      <c r="AE234" s="102" t="s">
        <v>2434</v>
      </c>
      <c r="AF234" s="40" t="s">
        <v>1637</v>
      </c>
      <c r="AG234" s="40" t="s">
        <v>1701</v>
      </c>
      <c r="AH234" s="40" t="s">
        <v>977</v>
      </c>
      <c r="AI234" s="40"/>
      <c r="AJ234" s="87"/>
      <c r="AK234" s="40" t="s">
        <v>1703</v>
      </c>
      <c r="AL234" s="40" t="s">
        <v>2101</v>
      </c>
      <c r="AM234" s="40" t="s">
        <v>716</v>
      </c>
      <c r="AN234" s="87">
        <v>46265</v>
      </c>
      <c r="AO234" s="87"/>
      <c r="AP234" s="87"/>
      <c r="AQ234" s="87"/>
      <c r="AR234" s="107"/>
      <c r="AS234" s="107"/>
      <c r="AT234" s="103" t="s">
        <v>2798</v>
      </c>
      <c r="AU234" s="108" t="s">
        <v>2693</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2478</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4">
        <f>IFERROR(IF(PAC!$X235="F01 - CAPTAÇÃO DE RECURSO",1,""),"")</f>
        <v>1</v>
      </c>
      <c r="AY235" s="194" t="str">
        <f>IFERROR(IF(PAC!$X235="F02 - LICITAÇÃO",1,""),"")</f>
        <v/>
      </c>
      <c r="AZ235" s="123" t="str">
        <f>IFERROR(IF(PAC!$X$6:$X$581="F03 - EXECUÇÃO DO OBJETO",1,""),"")</f>
        <v/>
      </c>
      <c r="BA235" s="123" t="str">
        <f>IFERROR(IF(PAC!$X$6:$X$581="F04 - CONCLUÍDA",1,""),"")</f>
        <v/>
      </c>
      <c r="BB235" s="191">
        <f>IF(PAC!$R235&gt;0,0,PAC!$Q235)</f>
        <v>0</v>
      </c>
    </row>
    <row r="236" spans="1:54" s="1" customFormat="1" ht="63"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2478</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2478</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4">
        <f>IFERROR(IF(PAC!$X237="F01 - CAPTAÇÃO DE RECURSO",1,""),"")</f>
        <v>1</v>
      </c>
      <c r="AY237" s="194" t="str">
        <f>IFERROR(IF(PAC!$X237="F02 - LICITAÇÃO",1,""),"")</f>
        <v/>
      </c>
      <c r="AZ237" s="123" t="str">
        <f>IFERROR(IF(PAC!$X$6:$X$581="F03 - EXECUÇÃO DO OBJETO",1,""),"")</f>
        <v/>
      </c>
      <c r="BA237" s="123" t="str">
        <f>IFERROR(IF(PAC!$X$6:$X$581="F04 - CONCLUÍDA",1,""),"")</f>
        <v/>
      </c>
      <c r="BB237" s="191">
        <f>IF(PAC!$R237&gt;0,0,PAC!$Q237)</f>
        <v>0</v>
      </c>
    </row>
    <row r="238" spans="1:54" s="1" customFormat="1" ht="63"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2478</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2478</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4">
        <f>IFERROR(IF(PAC!$X239="F01 - CAPTAÇÃO DE RECURSO",1,""),"")</f>
        <v>1</v>
      </c>
      <c r="AY239" s="194" t="str">
        <f>IFERROR(IF(PAC!$X239="F02 - LICITAÇÃO",1,""),"")</f>
        <v/>
      </c>
      <c r="AZ239" s="123" t="str">
        <f>IFERROR(IF(PAC!$X$6:$X$581="F03 - EXECUÇÃO DO OBJETO",1,""),"")</f>
        <v/>
      </c>
      <c r="BA239" s="123" t="str">
        <f>IFERROR(IF(PAC!$X$6:$X$581="F04 - CONCLUÍDA",1,""),"")</f>
        <v/>
      </c>
      <c r="BB239" s="191">
        <f>IF(PAC!$R239&gt;0,0,PAC!$Q239)</f>
        <v>0</v>
      </c>
    </row>
    <row r="240" spans="1:54" s="1" customFormat="1" ht="63" customHeight="1" thickBot="1">
      <c r="A240" s="88">
        <f t="shared" si="3"/>
        <v>235</v>
      </c>
      <c r="B240" s="88">
        <v>2025</v>
      </c>
      <c r="C240" s="88" t="s">
        <v>605</v>
      </c>
      <c r="D240" s="88" t="s">
        <v>1010</v>
      </c>
      <c r="E240" s="102" t="s">
        <v>2799</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2473</v>
      </c>
      <c r="Z240" s="87"/>
      <c r="AA240" s="105"/>
      <c r="AB240" s="108" t="s">
        <v>1459</v>
      </c>
      <c r="AC240" s="40" t="s">
        <v>2531</v>
      </c>
      <c r="AD240" s="106"/>
      <c r="AE240" s="102" t="s">
        <v>2434</v>
      </c>
      <c r="AF240" s="40" t="s">
        <v>1637</v>
      </c>
      <c r="AG240" s="40" t="s">
        <v>1701</v>
      </c>
      <c r="AH240" s="40" t="s">
        <v>977</v>
      </c>
      <c r="AI240" s="40"/>
      <c r="AJ240" s="87"/>
      <c r="AK240" s="40" t="s">
        <v>1704</v>
      </c>
      <c r="AL240" s="40" t="s">
        <v>2102</v>
      </c>
      <c r="AM240" s="40" t="s">
        <v>716</v>
      </c>
      <c r="AN240" s="87">
        <v>46265</v>
      </c>
      <c r="AO240" s="87"/>
      <c r="AP240" s="87"/>
      <c r="AQ240" s="87"/>
      <c r="AR240" s="107"/>
      <c r="AS240" s="107"/>
      <c r="AT240" s="103" t="s">
        <v>2801</v>
      </c>
      <c r="AU240" s="108" t="s">
        <v>2693</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2478</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4">
        <f>IFERROR(IF(PAC!$X241="F01 - CAPTAÇÃO DE RECURSO",1,""),"")</f>
        <v>1</v>
      </c>
      <c r="AY241" s="194" t="str">
        <f>IFERROR(IF(PAC!$X241="F02 - LICITAÇÃO",1,""),"")</f>
        <v/>
      </c>
      <c r="AZ241" s="123" t="str">
        <f>IFERROR(IF(PAC!$X$6:$X$581="F03 - EXECUÇÃO DO OBJETO",1,""),"")</f>
        <v/>
      </c>
      <c r="BA241" s="123" t="str">
        <f>IFERROR(IF(PAC!$X$6:$X$581="F04 - CONCLUÍDA",1,""),"")</f>
        <v/>
      </c>
      <c r="BB241" s="191">
        <f>IF(PAC!$R241&gt;0,0,PAC!$Q241)</f>
        <v>0</v>
      </c>
    </row>
    <row r="242" spans="1:54" s="1" customFormat="1" ht="63"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2478</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1010</v>
      </c>
      <c r="E243" s="114" t="s">
        <v>2800</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2473</v>
      </c>
      <c r="Z243" s="118"/>
      <c r="AA243" s="119"/>
      <c r="AB243" s="122" t="s">
        <v>1459</v>
      </c>
      <c r="AC243" s="115" t="s">
        <v>2531</v>
      </c>
      <c r="AD243" s="120"/>
      <c r="AE243" s="114" t="s">
        <v>2434</v>
      </c>
      <c r="AF243" s="115" t="s">
        <v>1637</v>
      </c>
      <c r="AG243" s="115" t="s">
        <v>1701</v>
      </c>
      <c r="AH243" s="115" t="s">
        <v>977</v>
      </c>
      <c r="AI243" s="115"/>
      <c r="AJ243" s="118"/>
      <c r="AK243" s="115" t="s">
        <v>1705</v>
      </c>
      <c r="AL243" s="115" t="s">
        <v>2103</v>
      </c>
      <c r="AM243" s="115" t="s">
        <v>716</v>
      </c>
      <c r="AN243" s="118">
        <v>46265</v>
      </c>
      <c r="AO243" s="118"/>
      <c r="AP243" s="118"/>
      <c r="AQ243" s="118"/>
      <c r="AR243" s="121"/>
      <c r="AS243" s="121"/>
      <c r="AT243" s="116" t="s">
        <v>2802</v>
      </c>
      <c r="AU243" s="122" t="s">
        <v>2693</v>
      </c>
      <c r="AV243" s="120"/>
      <c r="AW243" s="122" t="s">
        <v>838</v>
      </c>
      <c r="AX243" s="194">
        <f>IFERROR(IF(PAC!$X243="F01 - CAPTAÇÃO DE RECURSO",1,""),"")</f>
        <v>1</v>
      </c>
      <c r="AY243" s="194" t="str">
        <f>IFERROR(IF(PAC!$X243="F02 - LICITAÇÃO",1,""),"")</f>
        <v/>
      </c>
      <c r="AZ243" s="123" t="str">
        <f>IFERROR(IF(PAC!$X$6:$X$581="F03 - EXECUÇÃO DO OBJETO",1,""),"")</f>
        <v/>
      </c>
      <c r="BA243" s="123" t="str">
        <f>IFERROR(IF(PAC!$X$6:$X$581="F04 - CONCLUÍDA",1,""),"")</f>
        <v/>
      </c>
      <c r="BB243" s="191">
        <f>IF(PAC!$R243&gt;0,0,PAC!$Q243)</f>
        <v>5138923.54</v>
      </c>
    </row>
    <row r="244" spans="1:54" s="1" customFormat="1" ht="63"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2478</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2478</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4">
        <f>IFERROR(IF(PAC!$X245="F01 - CAPTAÇÃO DE RECURSO",1,""),"")</f>
        <v>1</v>
      </c>
      <c r="AY245" s="194" t="str">
        <f>IFERROR(IF(PAC!$X245="F02 - LICITAÇÃO",1,""),"")</f>
        <v/>
      </c>
      <c r="AZ245" s="123" t="str">
        <f>IFERROR(IF(PAC!$X$6:$X$581="F03 - EXECUÇÃO DO OBJETO",1,""),"")</f>
        <v/>
      </c>
      <c r="BA245" s="123" t="str">
        <f>IFERROR(IF(PAC!$X$6:$X$581="F04 - CONCLUÍDA",1,""),"")</f>
        <v/>
      </c>
      <c r="BB245" s="191">
        <f>IF(PAC!$R245&gt;0,0,PAC!$Q245)</f>
        <v>0</v>
      </c>
    </row>
    <row r="246" spans="1:54" s="1" customFormat="1" ht="63"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2478</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2478</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4">
        <f>IFERROR(IF(PAC!$X247="F01 - CAPTAÇÃO DE RECURSO",1,""),"")</f>
        <v>1</v>
      </c>
      <c r="AY247" s="194" t="str">
        <f>IFERROR(IF(PAC!$X247="F02 - LICITAÇÃO",1,""),"")</f>
        <v/>
      </c>
      <c r="AZ247" s="123" t="str">
        <f>IFERROR(IF(PAC!$X$6:$X$581="F03 - EXECUÇÃO DO OBJETO",1,""),"")</f>
        <v/>
      </c>
      <c r="BA247" s="123" t="str">
        <f>IFERROR(IF(PAC!$X$6:$X$581="F04 - CONCLUÍDA",1,""),"")</f>
        <v/>
      </c>
      <c r="BB247" s="191">
        <f>IF(PAC!$R247&gt;0,0,PAC!$Q247)</f>
        <v>0</v>
      </c>
    </row>
    <row r="248" spans="1:54" s="1" customFormat="1" ht="63"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2478</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2478</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4">
        <f>IFERROR(IF(PAC!$X249="F01 - CAPTAÇÃO DE RECURSO",1,""),"")</f>
        <v>1</v>
      </c>
      <c r="AY249" s="194" t="str">
        <f>IFERROR(IF(PAC!$X249="F02 - LICITAÇÃO",1,""),"")</f>
        <v/>
      </c>
      <c r="AZ249" s="123" t="str">
        <f>IFERROR(IF(PAC!$X$6:$X$581="F03 - EXECUÇÃO DO OBJETO",1,""),"")</f>
        <v/>
      </c>
      <c r="BA249" s="123" t="str">
        <f>IFERROR(IF(PAC!$X$6:$X$581="F04 - CONCLUÍDA",1,""),"")</f>
        <v/>
      </c>
      <c r="BB249" s="191">
        <f>IF(PAC!$R249&gt;0,0,PAC!$Q249)</f>
        <v>0</v>
      </c>
    </row>
    <row r="250" spans="1:54" s="1" customFormat="1" ht="63"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2478</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1010</v>
      </c>
      <c r="E251" s="114" t="s">
        <v>2805</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2473</v>
      </c>
      <c r="Z251" s="118"/>
      <c r="AA251" s="119"/>
      <c r="AB251" s="122" t="s">
        <v>1459</v>
      </c>
      <c r="AC251" s="115" t="s">
        <v>2531</v>
      </c>
      <c r="AD251" s="120"/>
      <c r="AE251" s="114" t="s">
        <v>2434</v>
      </c>
      <c r="AF251" s="115" t="s">
        <v>1637</v>
      </c>
      <c r="AG251" s="115" t="s">
        <v>1701</v>
      </c>
      <c r="AH251" s="115" t="s">
        <v>977</v>
      </c>
      <c r="AI251" s="115"/>
      <c r="AJ251" s="118"/>
      <c r="AK251" s="115" t="s">
        <v>1706</v>
      </c>
      <c r="AL251" s="115" t="s">
        <v>2103</v>
      </c>
      <c r="AM251" s="115" t="s">
        <v>716</v>
      </c>
      <c r="AN251" s="118">
        <v>46265</v>
      </c>
      <c r="AO251" s="118"/>
      <c r="AP251" s="118"/>
      <c r="AQ251" s="118"/>
      <c r="AR251" s="121"/>
      <c r="AS251" s="121"/>
      <c r="AT251" s="116" t="s">
        <v>2806</v>
      </c>
      <c r="AU251" s="122" t="s">
        <v>2693</v>
      </c>
      <c r="AV251" s="120"/>
      <c r="AW251" s="122" t="s">
        <v>838</v>
      </c>
      <c r="AX251" s="194">
        <f>IFERROR(IF(PAC!$X251="F01 - CAPTAÇÃO DE RECURSO",1,""),"")</f>
        <v>1</v>
      </c>
      <c r="AY251" s="194" t="str">
        <f>IFERROR(IF(PAC!$X251="F02 - LICITAÇÃO",1,""),"")</f>
        <v/>
      </c>
      <c r="AZ251" s="123" t="str">
        <f>IFERROR(IF(PAC!$X$6:$X$581="F03 - EXECUÇÃO DO OBJETO",1,""),"")</f>
        <v/>
      </c>
      <c r="BA251" s="123" t="str">
        <f>IFERROR(IF(PAC!$X$6:$X$581="F04 - CONCLUÍDA",1,""),"")</f>
        <v/>
      </c>
      <c r="BB251" s="191">
        <f>IF(PAC!$R251&gt;0,0,PAC!$Q251)</f>
        <v>5322954.2300000004</v>
      </c>
    </row>
    <row r="252" spans="1:54" s="1" customFormat="1" ht="63" customHeight="1" thickBot="1">
      <c r="A252" s="88">
        <f t="shared" si="3"/>
        <v>247</v>
      </c>
      <c r="B252" s="88">
        <v>2025</v>
      </c>
      <c r="C252" s="88" t="s">
        <v>605</v>
      </c>
      <c r="D252" s="88" t="s">
        <v>1010</v>
      </c>
      <c r="E252" s="102" t="s">
        <v>2042</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2472</v>
      </c>
      <c r="Z252" s="87"/>
      <c r="AA252" s="105"/>
      <c r="AB252" s="108" t="s">
        <v>1469</v>
      </c>
      <c r="AC252" s="40" t="s">
        <v>2694</v>
      </c>
      <c r="AD252" s="106"/>
      <c r="AE252" s="102" t="s">
        <v>2713</v>
      </c>
      <c r="AF252" s="40" t="s">
        <v>1637</v>
      </c>
      <c r="AG252" s="40" t="s">
        <v>1701</v>
      </c>
      <c r="AH252" s="40" t="s">
        <v>977</v>
      </c>
      <c r="AI252" s="40"/>
      <c r="AJ252" s="87"/>
      <c r="AK252" s="40" t="s">
        <v>1707</v>
      </c>
      <c r="AL252" s="40" t="s">
        <v>2583</v>
      </c>
      <c r="AM252" s="40" t="s">
        <v>716</v>
      </c>
      <c r="AN252" s="87">
        <v>46143</v>
      </c>
      <c r="AO252" s="87">
        <v>46189</v>
      </c>
      <c r="AP252" s="87">
        <v>46253</v>
      </c>
      <c r="AQ252" s="87"/>
      <c r="AR252" s="107"/>
      <c r="AS252" s="107"/>
      <c r="AT252" s="103" t="s">
        <v>2690</v>
      </c>
      <c r="AU252" s="108" t="s">
        <v>2712</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1010</v>
      </c>
      <c r="E253" s="114" t="s">
        <v>2043</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2472</v>
      </c>
      <c r="Z253" s="118"/>
      <c r="AA253" s="119"/>
      <c r="AB253" s="122" t="s">
        <v>1469</v>
      </c>
      <c r="AC253" s="115" t="s">
        <v>2694</v>
      </c>
      <c r="AD253" s="120"/>
      <c r="AE253" s="114" t="s">
        <v>2713</v>
      </c>
      <c r="AF253" s="115" t="s">
        <v>1637</v>
      </c>
      <c r="AG253" s="115" t="s">
        <v>1701</v>
      </c>
      <c r="AH253" s="115" t="s">
        <v>977</v>
      </c>
      <c r="AI253" s="115"/>
      <c r="AJ253" s="118"/>
      <c r="AK253" s="115" t="s">
        <v>2008</v>
      </c>
      <c r="AL253" s="115" t="s">
        <v>2097</v>
      </c>
      <c r="AM253" s="115" t="s">
        <v>716</v>
      </c>
      <c r="AN253" s="118">
        <v>46143</v>
      </c>
      <c r="AO253" s="118">
        <v>46189</v>
      </c>
      <c r="AP253" s="118">
        <v>46253</v>
      </c>
      <c r="AQ253" s="118"/>
      <c r="AR253" s="121"/>
      <c r="AS253" s="121"/>
      <c r="AT253" s="116" t="s">
        <v>2691</v>
      </c>
      <c r="AU253" s="122" t="s">
        <v>2712</v>
      </c>
      <c r="AV253" s="120"/>
      <c r="AW253" s="122" t="s">
        <v>836</v>
      </c>
      <c r="AX253" s="194" t="str">
        <f>IFERROR(IF(PAC!$X253="F01 - CAPTAÇÃO DE RECURSO",1,""),"")</f>
        <v/>
      </c>
      <c r="AY253" s="194">
        <f>IFERROR(IF(PAC!$X253="F02 - LICITAÇÃO",1,""),"")</f>
        <v>1</v>
      </c>
      <c r="AZ253" s="123" t="str">
        <f>IFERROR(IF(PAC!$X$6:$X$581="F03 - EXECUÇÃO DO OBJETO",1,""),"")</f>
        <v/>
      </c>
      <c r="BA253" s="123" t="str">
        <f>IFERROR(IF(PAC!$X$6:$X$581="F04 - CONCLUÍDA",1,""),"")</f>
        <v/>
      </c>
      <c r="BB253" s="191">
        <f>IF(PAC!$R253&gt;0,0,PAC!$Q253)</f>
        <v>0</v>
      </c>
    </row>
    <row r="254" spans="1:54" s="1" customFormat="1" ht="63"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2478</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2478</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4">
        <f>IFERROR(IF(PAC!$X255="F01 - CAPTAÇÃO DE RECURSO",1,""),"")</f>
        <v>1</v>
      </c>
      <c r="AY255" s="194" t="str">
        <f>IFERROR(IF(PAC!$X255="F02 - LICITAÇÃO",1,""),"")</f>
        <v/>
      </c>
      <c r="AZ255" s="123" t="str">
        <f>IFERROR(IF(PAC!$X$6:$X$581="F03 - EXECUÇÃO DO OBJETO",1,""),"")</f>
        <v/>
      </c>
      <c r="BA255" s="123" t="str">
        <f>IFERROR(IF(PAC!$X$6:$X$581="F04 - CONCLUÍDA",1,""),"")</f>
        <v/>
      </c>
      <c r="BB255" s="191">
        <f>IF(PAC!$R255&gt;0,0,PAC!$Q255)</f>
        <v>0</v>
      </c>
    </row>
    <row r="256" spans="1:54" s="1" customFormat="1" ht="63"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2478</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2478</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4">
        <f>IFERROR(IF(PAC!$X257="F01 - CAPTAÇÃO DE RECURSO",1,""),"")</f>
        <v>1</v>
      </c>
      <c r="AY257" s="194" t="str">
        <f>IFERROR(IF(PAC!$X257="F02 - LICITAÇÃO",1,""),"")</f>
        <v/>
      </c>
      <c r="AZ257" s="123" t="str">
        <f>IFERROR(IF(PAC!$X$6:$X$581="F03 - EXECUÇÃO DO OBJETO",1,""),"")</f>
        <v/>
      </c>
      <c r="BA257" s="123" t="str">
        <f>IFERROR(IF(PAC!$X$6:$X$581="F04 - CONCLUÍDA",1,""),"")</f>
        <v/>
      </c>
      <c r="BB257" s="191">
        <f>IF(PAC!$R257&gt;0,0,PAC!$Q257)</f>
        <v>0</v>
      </c>
    </row>
    <row r="258" spans="1:54" s="1" customFormat="1" ht="63" customHeight="1" thickBot="1">
      <c r="A258" s="88">
        <f t="shared" si="3"/>
        <v>253</v>
      </c>
      <c r="B258" s="88">
        <v>2025</v>
      </c>
      <c r="C258" s="88" t="s">
        <v>605</v>
      </c>
      <c r="D258" s="88" t="s">
        <v>1010</v>
      </c>
      <c r="E258" s="102" t="s">
        <v>2793</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2473</v>
      </c>
      <c r="Z258" s="87"/>
      <c r="AA258" s="105"/>
      <c r="AB258" s="108" t="s">
        <v>1459</v>
      </c>
      <c r="AC258" s="40" t="s">
        <v>2531</v>
      </c>
      <c r="AD258" s="106"/>
      <c r="AE258" s="102" t="s">
        <v>2434</v>
      </c>
      <c r="AF258" s="40" t="s">
        <v>1637</v>
      </c>
      <c r="AG258" s="40" t="s">
        <v>1701</v>
      </c>
      <c r="AH258" s="40" t="s">
        <v>977</v>
      </c>
      <c r="AI258" s="40"/>
      <c r="AJ258" s="87"/>
      <c r="AK258" s="40" t="s">
        <v>1708</v>
      </c>
      <c r="AL258" s="40" t="s">
        <v>2104</v>
      </c>
      <c r="AM258" s="40" t="s">
        <v>716</v>
      </c>
      <c r="AN258" s="87">
        <v>46265</v>
      </c>
      <c r="AO258" s="87"/>
      <c r="AP258" s="87"/>
      <c r="AQ258" s="87"/>
      <c r="AR258" s="107"/>
      <c r="AS258" s="107"/>
      <c r="AT258" s="103" t="s">
        <v>2794</v>
      </c>
      <c r="AU258" s="108" t="s">
        <v>2693</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1010</v>
      </c>
      <c r="E259" s="114" t="s">
        <v>2782</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2473</v>
      </c>
      <c r="Z259" s="118"/>
      <c r="AA259" s="119"/>
      <c r="AB259" s="122" t="s">
        <v>1459</v>
      </c>
      <c r="AC259" s="115" t="s">
        <v>2531</v>
      </c>
      <c r="AD259" s="120"/>
      <c r="AE259" s="114" t="s">
        <v>2434</v>
      </c>
      <c r="AF259" s="115" t="s">
        <v>1637</v>
      </c>
      <c r="AG259" s="115" t="s">
        <v>1701</v>
      </c>
      <c r="AH259" s="115" t="s">
        <v>977</v>
      </c>
      <c r="AI259" s="115"/>
      <c r="AJ259" s="118"/>
      <c r="AK259" s="115" t="s">
        <v>2009</v>
      </c>
      <c r="AL259" s="115" t="s">
        <v>2105</v>
      </c>
      <c r="AM259" s="115" t="s">
        <v>716</v>
      </c>
      <c r="AN259" s="118">
        <v>46265</v>
      </c>
      <c r="AO259" s="118"/>
      <c r="AP259" s="118"/>
      <c r="AQ259" s="118"/>
      <c r="AR259" s="121"/>
      <c r="AS259" s="121"/>
      <c r="AT259" s="116" t="s">
        <v>2783</v>
      </c>
      <c r="AU259" s="122" t="s">
        <v>2693</v>
      </c>
      <c r="AV259" s="120"/>
      <c r="AW259" s="122" t="s">
        <v>838</v>
      </c>
      <c r="AX259" s="194">
        <f>IFERROR(IF(PAC!$X259="F01 - CAPTAÇÃO DE RECURSO",1,""),"")</f>
        <v>1</v>
      </c>
      <c r="AY259" s="194" t="str">
        <f>IFERROR(IF(PAC!$X259="F02 - LICITAÇÃO",1,""),"")</f>
        <v/>
      </c>
      <c r="AZ259" s="123" t="str">
        <f>IFERROR(IF(PAC!$X$6:$X$581="F03 - EXECUÇÃO DO OBJETO",1,""),"")</f>
        <v/>
      </c>
      <c r="BA259" s="123" t="str">
        <f>IFERROR(IF(PAC!$X$6:$X$581="F04 - CONCLUÍDA",1,""),"")</f>
        <v/>
      </c>
      <c r="BB259" s="191">
        <f>IF(PAC!$R259&gt;0,0,PAC!$Q259)</f>
        <v>5104672.8899999997</v>
      </c>
    </row>
    <row r="260" spans="1:54" s="1" customFormat="1" ht="63"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2478</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1010</v>
      </c>
      <c r="E261" s="114" t="s">
        <v>2807</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2473</v>
      </c>
      <c r="Z261" s="118"/>
      <c r="AA261" s="119"/>
      <c r="AB261" s="122" t="s">
        <v>1459</v>
      </c>
      <c r="AC261" s="115" t="s">
        <v>2531</v>
      </c>
      <c r="AD261" s="120"/>
      <c r="AE261" s="114" t="s">
        <v>2434</v>
      </c>
      <c r="AF261" s="115" t="s">
        <v>1637</v>
      </c>
      <c r="AG261" s="115" t="s">
        <v>1701</v>
      </c>
      <c r="AH261" s="115" t="s">
        <v>977</v>
      </c>
      <c r="AI261" s="115"/>
      <c r="AJ261" s="118"/>
      <c r="AK261" s="115" t="s">
        <v>1709</v>
      </c>
      <c r="AL261" s="115" t="s">
        <v>2106</v>
      </c>
      <c r="AM261" s="115" t="s">
        <v>716</v>
      </c>
      <c r="AN261" s="118">
        <v>46265</v>
      </c>
      <c r="AO261" s="118"/>
      <c r="AP261" s="118"/>
      <c r="AQ261" s="118"/>
      <c r="AR261" s="121"/>
      <c r="AS261" s="121"/>
      <c r="AT261" s="116" t="s">
        <v>2808</v>
      </c>
      <c r="AU261" s="122" t="s">
        <v>2693</v>
      </c>
      <c r="AV261" s="120"/>
      <c r="AW261" s="122" t="s">
        <v>836</v>
      </c>
      <c r="AX261" s="194">
        <f>IFERROR(IF(PAC!$X261="F01 - CAPTAÇÃO DE RECURSO",1,""),"")</f>
        <v>1</v>
      </c>
      <c r="AY261" s="194" t="str">
        <f>IFERROR(IF(PAC!$X261="F02 - LICITAÇÃO",1,""),"")</f>
        <v/>
      </c>
      <c r="AZ261" s="123" t="str">
        <f>IFERROR(IF(PAC!$X$6:$X$581="F03 - EXECUÇÃO DO OBJETO",1,""),"")</f>
        <v/>
      </c>
      <c r="BA261" s="123" t="str">
        <f>IFERROR(IF(PAC!$X$6:$X$581="F04 - CONCLUÍDA",1,""),"")</f>
        <v/>
      </c>
      <c r="BB261" s="191">
        <f>IF(PAC!$R261&gt;0,0,PAC!$Q261)</f>
        <v>4134508.79</v>
      </c>
    </row>
    <row r="262" spans="1:54" s="1" customFormat="1" ht="63"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2478</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2478</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4">
        <f>IFERROR(IF(PAC!$X263="F01 - CAPTAÇÃO DE RECURSO",1,""),"")</f>
        <v>1</v>
      </c>
      <c r="AY263" s="194" t="str">
        <f>IFERROR(IF(PAC!$X263="F02 - LICITAÇÃO",1,""),"")</f>
        <v/>
      </c>
      <c r="AZ263" s="123" t="str">
        <f>IFERROR(IF(PAC!$X$6:$X$581="F03 - EXECUÇÃO DO OBJETO",1,""),"")</f>
        <v/>
      </c>
      <c r="BA263" s="123" t="str">
        <f>IFERROR(IF(PAC!$X$6:$X$581="F04 - CONCLUÍDA",1,""),"")</f>
        <v/>
      </c>
      <c r="BB263" s="191">
        <f>IF(PAC!$R263&gt;0,0,PAC!$Q263)</f>
        <v>0</v>
      </c>
    </row>
    <row r="264" spans="1:54" s="1" customFormat="1" ht="63"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2478</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1010</v>
      </c>
      <c r="E265" s="114" t="s">
        <v>2044</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2472</v>
      </c>
      <c r="Z265" s="118"/>
      <c r="AA265" s="119"/>
      <c r="AB265" s="122" t="s">
        <v>1469</v>
      </c>
      <c r="AC265" s="115" t="s">
        <v>2694</v>
      </c>
      <c r="AD265" s="120"/>
      <c r="AE265" s="114" t="s">
        <v>2713</v>
      </c>
      <c r="AF265" s="115" t="s">
        <v>1637</v>
      </c>
      <c r="AG265" s="115" t="s">
        <v>1701</v>
      </c>
      <c r="AH265" s="115" t="s">
        <v>977</v>
      </c>
      <c r="AI265" s="115"/>
      <c r="AJ265" s="118"/>
      <c r="AK265" s="115" t="s">
        <v>1710</v>
      </c>
      <c r="AL265" s="115" t="s">
        <v>2098</v>
      </c>
      <c r="AM265" s="115" t="s">
        <v>716</v>
      </c>
      <c r="AN265" s="118">
        <v>46143</v>
      </c>
      <c r="AO265" s="118">
        <v>46189</v>
      </c>
      <c r="AP265" s="118">
        <v>46253</v>
      </c>
      <c r="AQ265" s="118"/>
      <c r="AR265" s="121"/>
      <c r="AS265" s="121"/>
      <c r="AT265" s="116" t="s">
        <v>2692</v>
      </c>
      <c r="AU265" s="122" t="s">
        <v>2712</v>
      </c>
      <c r="AV265" s="120"/>
      <c r="AW265" s="122" t="s">
        <v>707</v>
      </c>
      <c r="AX265" s="194" t="str">
        <f>IFERROR(IF(PAC!$X265="F01 - CAPTAÇÃO DE RECURSO",1,""),"")</f>
        <v/>
      </c>
      <c r="AY265" s="194">
        <f>IFERROR(IF(PAC!$X265="F02 - LICITAÇÃO",1,""),"")</f>
        <v>1</v>
      </c>
      <c r="AZ265" s="123" t="str">
        <f>IFERROR(IF(PAC!$X$6:$X$581="F03 - EXECUÇÃO DO OBJETO",1,""),"")</f>
        <v/>
      </c>
      <c r="BA265" s="123" t="str">
        <f>IFERROR(IF(PAC!$X$6:$X$581="F04 - CONCLUÍDA",1,""),"")</f>
        <v/>
      </c>
      <c r="BB265" s="191">
        <f>IF(PAC!$R265&gt;0,0,PAC!$Q265)</f>
        <v>0</v>
      </c>
    </row>
    <row r="266" spans="1:54" s="1" customFormat="1" ht="63" customHeight="1" thickBot="1">
      <c r="A266" s="88">
        <f t="shared" si="4"/>
        <v>261</v>
      </c>
      <c r="B266" s="88">
        <v>2025</v>
      </c>
      <c r="C266" s="88" t="s">
        <v>605</v>
      </c>
      <c r="D266" s="88" t="s">
        <v>1010</v>
      </c>
      <c r="E266" s="102" t="s">
        <v>2795</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2473</v>
      </c>
      <c r="Z266" s="87"/>
      <c r="AA266" s="105"/>
      <c r="AB266" s="108" t="s">
        <v>1459</v>
      </c>
      <c r="AC266" s="40" t="s">
        <v>2531</v>
      </c>
      <c r="AD266" s="106"/>
      <c r="AE266" s="102" t="s">
        <v>2434</v>
      </c>
      <c r="AF266" s="40" t="s">
        <v>1637</v>
      </c>
      <c r="AG266" s="40" t="s">
        <v>1701</v>
      </c>
      <c r="AH266" s="40" t="s">
        <v>977</v>
      </c>
      <c r="AI266" s="40"/>
      <c r="AJ266" s="87"/>
      <c r="AK266" s="40" t="s">
        <v>2010</v>
      </c>
      <c r="AL266" s="40" t="s">
        <v>2107</v>
      </c>
      <c r="AM266" s="40" t="s">
        <v>716</v>
      </c>
      <c r="AN266" s="87">
        <v>46265</v>
      </c>
      <c r="AO266" s="87"/>
      <c r="AP266" s="87"/>
      <c r="AQ266" s="87"/>
      <c r="AR266" s="107"/>
      <c r="AS266" s="107"/>
      <c r="AT266" s="103" t="s">
        <v>2796</v>
      </c>
      <c r="AU266" s="108" t="s">
        <v>2693</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2478</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4">
        <f>IFERROR(IF(PAC!$X267="F01 - CAPTAÇÃO DE RECURSO",1,""),"")</f>
        <v>1</v>
      </c>
      <c r="AY267" s="194" t="str">
        <f>IFERROR(IF(PAC!$X267="F02 - LICITAÇÃO",1,""),"")</f>
        <v/>
      </c>
      <c r="AZ267" s="123" t="str">
        <f>IFERROR(IF(PAC!$X$6:$X$581="F03 - EXECUÇÃO DO OBJETO",1,""),"")</f>
        <v/>
      </c>
      <c r="BA267" s="123" t="str">
        <f>IFERROR(IF(PAC!$X$6:$X$581="F04 - CONCLUÍDA",1,""),"")</f>
        <v/>
      </c>
      <c r="BB267" s="191">
        <f>IF(PAC!$R267&gt;0,0,PAC!$Q267)</f>
        <v>0</v>
      </c>
    </row>
    <row r="268" spans="1:54" s="1" customFormat="1" ht="63"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2478</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2478</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4">
        <f>IFERROR(IF(PAC!$X269="F01 - CAPTAÇÃO DE RECURSO",1,""),"")</f>
        <v>1</v>
      </c>
      <c r="AY269" s="194" t="str">
        <f>IFERROR(IF(PAC!$X269="F02 - LICITAÇÃO",1,""),"")</f>
        <v/>
      </c>
      <c r="AZ269" s="123" t="str">
        <f>IFERROR(IF(PAC!$X$6:$X$581="F03 - EXECUÇÃO DO OBJETO",1,""),"")</f>
        <v/>
      </c>
      <c r="BA269" s="123" t="str">
        <f>IFERROR(IF(PAC!$X$6:$X$581="F04 - CONCLUÍDA",1,""),"")</f>
        <v/>
      </c>
      <c r="BB269" s="191">
        <f>IF(PAC!$R269&gt;0,0,PAC!$Q269)</f>
        <v>0</v>
      </c>
    </row>
    <row r="270" spans="1:54" s="1" customFormat="1" ht="63"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2478</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2478</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4">
        <f>IFERROR(IF(PAC!$X271="F01 - CAPTAÇÃO DE RECURSO",1,""),"")</f>
        <v>1</v>
      </c>
      <c r="AY271" s="194" t="str">
        <f>IFERROR(IF(PAC!$X271="F02 - LICITAÇÃO",1,""),"")</f>
        <v/>
      </c>
      <c r="AZ271" s="123" t="str">
        <f>IFERROR(IF(PAC!$X$6:$X$581="F03 - EXECUÇÃO DO OBJETO",1,""),"")</f>
        <v/>
      </c>
      <c r="BA271" s="123" t="str">
        <f>IFERROR(IF(PAC!$X$6:$X$581="F04 - CONCLUÍDA",1,""),"")</f>
        <v/>
      </c>
      <c r="BB271" s="191">
        <f>IF(PAC!$R271&gt;0,0,PAC!$Q271)</f>
        <v>0</v>
      </c>
    </row>
    <row r="272" spans="1:54" s="1" customFormat="1" ht="63"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2478</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2169</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2472</v>
      </c>
      <c r="Z273" s="118"/>
      <c r="AA273" s="119"/>
      <c r="AB273" s="122" t="s">
        <v>1464</v>
      </c>
      <c r="AC273" s="115" t="s">
        <v>2657</v>
      </c>
      <c r="AD273" s="120">
        <v>46274</v>
      </c>
      <c r="AE273" s="114" t="s">
        <v>2682</v>
      </c>
      <c r="AF273" s="115" t="s">
        <v>1638</v>
      </c>
      <c r="AG273" s="115" t="s">
        <v>1723</v>
      </c>
      <c r="AH273" s="115" t="s">
        <v>977</v>
      </c>
      <c r="AI273" s="115"/>
      <c r="AJ273" s="118"/>
      <c r="AK273" s="115" t="s">
        <v>1724</v>
      </c>
      <c r="AL273" s="115" t="s">
        <v>2117</v>
      </c>
      <c r="AM273" s="115" t="s">
        <v>716</v>
      </c>
      <c r="AN273" s="118">
        <v>46247</v>
      </c>
      <c r="AO273" s="118">
        <v>46274</v>
      </c>
      <c r="AP273" s="118"/>
      <c r="AQ273" s="118"/>
      <c r="AR273" s="121"/>
      <c r="AS273" s="121"/>
      <c r="AT273" s="116" t="s">
        <v>2343</v>
      </c>
      <c r="AU273" s="122" t="s">
        <v>2658</v>
      </c>
      <c r="AV273" s="120"/>
      <c r="AW273" s="122" t="s">
        <v>707</v>
      </c>
      <c r="AX273" s="194" t="str">
        <f>IFERROR(IF(PAC!$X273="F01 - CAPTAÇÃO DE RECURSO",1,""),"")</f>
        <v/>
      </c>
      <c r="AY273" s="194">
        <f>IFERROR(IF(PAC!$X273="F02 - LICITAÇÃO",1,""),"")</f>
        <v>1</v>
      </c>
      <c r="AZ273" s="123" t="str">
        <f>IFERROR(IF(PAC!$X$6:$X$581="F03 - EXECUÇÃO DO OBJETO",1,""),"")</f>
        <v/>
      </c>
      <c r="BA273" s="123" t="str">
        <f>IFERROR(IF(PAC!$X$6:$X$581="F04 - CONCLUÍDA",1,""),"")</f>
        <v/>
      </c>
      <c r="BB273" s="191">
        <f>IF(PAC!$R273&gt;0,0,PAC!$Q273)</f>
        <v>1482739.8</v>
      </c>
    </row>
    <row r="274" spans="1:54" s="1" customFormat="1" ht="63"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2478</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2478</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4">
        <f>IFERROR(IF(PAC!$X275="F01 - CAPTAÇÃO DE RECURSO",1,""),"")</f>
        <v>1</v>
      </c>
      <c r="AY275" s="194" t="str">
        <f>IFERROR(IF(PAC!$X275="F02 - LICITAÇÃO",1,""),"")</f>
        <v/>
      </c>
      <c r="AZ275" s="123" t="str">
        <f>IFERROR(IF(PAC!$X$6:$X$581="F03 - EXECUÇÃO DO OBJETO",1,""),"")</f>
        <v/>
      </c>
      <c r="BA275" s="123" t="str">
        <f>IFERROR(IF(PAC!$X$6:$X$581="F04 - CONCLUÍDA",1,""),"")</f>
        <v/>
      </c>
      <c r="BB275" s="191">
        <f>IF(PAC!$R275&gt;0,0,PAC!$Q275)</f>
        <v>0</v>
      </c>
    </row>
    <row r="276" spans="1:54" s="1" customFormat="1" ht="409.6"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2472</v>
      </c>
      <c r="Z276" s="87"/>
      <c r="AA276" s="105"/>
      <c r="AB276" s="108" t="s">
        <v>1464</v>
      </c>
      <c r="AC276" s="40" t="s">
        <v>2657</v>
      </c>
      <c r="AD276" s="106">
        <v>46274</v>
      </c>
      <c r="AE276" s="102" t="s">
        <v>2682</v>
      </c>
      <c r="AF276" s="40" t="s">
        <v>1638</v>
      </c>
      <c r="AG276" s="40" t="s">
        <v>1723</v>
      </c>
      <c r="AH276" s="40" t="s">
        <v>977</v>
      </c>
      <c r="AI276" s="40"/>
      <c r="AJ276" s="87"/>
      <c r="AK276" s="40" t="s">
        <v>2011</v>
      </c>
      <c r="AL276" s="40" t="s">
        <v>2118</v>
      </c>
      <c r="AM276" s="40" t="s">
        <v>716</v>
      </c>
      <c r="AN276" s="87">
        <v>46247</v>
      </c>
      <c r="AO276" s="87">
        <v>46274</v>
      </c>
      <c r="AP276" s="87"/>
      <c r="AQ276" s="87"/>
      <c r="AR276" s="107"/>
      <c r="AS276" s="107"/>
      <c r="AT276" s="103" t="s">
        <v>2344</v>
      </c>
      <c r="AU276" s="108" t="s">
        <v>2658</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2478</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4">
        <f>IFERROR(IF(PAC!$X277="F01 - CAPTAÇÃO DE RECURSO",1,""),"")</f>
        <v>1</v>
      </c>
      <c r="AY277" s="194" t="str">
        <f>IFERROR(IF(PAC!$X277="F02 - LICITAÇÃO",1,""),"")</f>
        <v/>
      </c>
      <c r="AZ277" s="123" t="str">
        <f>IFERROR(IF(PAC!$X$6:$X$581="F03 - EXECUÇÃO DO OBJETO",1,""),"")</f>
        <v/>
      </c>
      <c r="BA277" s="123" t="str">
        <f>IFERROR(IF(PAC!$X$6:$X$581="F04 - CONCLUÍDA",1,""),"")</f>
        <v/>
      </c>
      <c r="BB277" s="191">
        <f>IF(PAC!$R277&gt;0,0,PAC!$Q277)</f>
        <v>0</v>
      </c>
    </row>
    <row r="278" spans="1:54" s="1" customFormat="1" ht="63.75"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2478</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2478</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4">
        <f>IFERROR(IF(PAC!$X279="F01 - CAPTAÇÃO DE RECURSO",1,""),"")</f>
        <v>1</v>
      </c>
      <c r="AY279" s="194" t="str">
        <f>IFERROR(IF(PAC!$X279="F02 - LICITAÇÃO",1,""),"")</f>
        <v/>
      </c>
      <c r="AZ279" s="123" t="str">
        <f>IFERROR(IF(PAC!$X$6:$X$581="F03 - EXECUÇÃO DO OBJETO",1,""),"")</f>
        <v/>
      </c>
      <c r="BA279" s="123" t="str">
        <f>IFERROR(IF(PAC!$X$6:$X$581="F04 - CONCLUÍDA",1,""),"")</f>
        <v/>
      </c>
      <c r="BB279" s="191">
        <f>IF(PAC!$R279&gt;0,0,PAC!$Q279)</f>
        <v>0</v>
      </c>
    </row>
    <row r="280" spans="1:54" s="1" customFormat="1" ht="63.75"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2478</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2478</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4">
        <f>IFERROR(IF(PAC!$X281="F01 - CAPTAÇÃO DE RECURSO",1,""),"")</f>
        <v>1</v>
      </c>
      <c r="AY281" s="194" t="str">
        <f>IFERROR(IF(PAC!$X281="F02 - LICITAÇÃO",1,""),"")</f>
        <v/>
      </c>
      <c r="AZ281" s="123" t="str">
        <f>IFERROR(IF(PAC!$X$6:$X$581="F03 - EXECUÇÃO DO OBJETO",1,""),"")</f>
        <v/>
      </c>
      <c r="BA281" s="123" t="str">
        <f>IFERROR(IF(PAC!$X$6:$X$581="F04 - CONCLUÍDA",1,""),"")</f>
        <v/>
      </c>
      <c r="BB281" s="191">
        <f>IF(PAC!$R281&gt;0,0,PAC!$Q281)</f>
        <v>0</v>
      </c>
    </row>
    <row r="282" spans="1:54" s="1" customFormat="1" ht="272.25"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2472</v>
      </c>
      <c r="Z282" s="87">
        <v>46325</v>
      </c>
      <c r="AA282" s="105">
        <v>0</v>
      </c>
      <c r="AB282" s="102" t="s">
        <v>1465</v>
      </c>
      <c r="AC282" s="102" t="s">
        <v>2647</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2473</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4">
        <f>IFERROR(IF(PAC!$X283="F01 - CAPTAÇÃO DE RECURSO",1,""),"")</f>
        <v>1</v>
      </c>
      <c r="AY283" s="194" t="str">
        <f>IFERROR(IF(PAC!$X283="F02 - LICITAÇÃO",1,""),"")</f>
        <v/>
      </c>
      <c r="AZ283" s="123" t="str">
        <f>IFERROR(IF(PAC!$X$6:$X$581="F03 - EXECUÇÃO DO OBJETO",1,""),"")</f>
        <v/>
      </c>
      <c r="BA283" s="123" t="str">
        <f>IFERROR(IF(PAC!$X$6:$X$581="F04 - CONCLUÍDA",1,""),"")</f>
        <v/>
      </c>
      <c r="BB283" s="191">
        <f>IF(PAC!$R283&gt;0,0,PAC!$Q283)</f>
        <v>0</v>
      </c>
    </row>
    <row r="284" spans="1:54" s="1" customFormat="1" ht="168.75"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2470</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2482</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4" t="str">
        <f>IFERROR(IF(PAC!$X285="F01 - CAPTAÇÃO DE RECURSO",1,""),"")</f>
        <v/>
      </c>
      <c r="AY285" s="194" t="str">
        <f>IFERROR(IF(PAC!$X285="F02 - LICITAÇÃO",1,""),"")</f>
        <v/>
      </c>
      <c r="AZ285" s="123" t="str">
        <f>IFERROR(IF(PAC!$X$6:$X$581="F03 - EXECUÇÃO DO OBJETO",1,""),"")</f>
        <v/>
      </c>
      <c r="BA285" s="123">
        <f>IFERROR(IF(PAC!$X$6:$X$581="F04 - CONCLUÍDA",1,""),"")</f>
        <v>1</v>
      </c>
      <c r="BB285" s="191">
        <f>IF(PAC!$R285&gt;0,0,PAC!$Q285)</f>
        <v>0</v>
      </c>
    </row>
    <row r="286" spans="1:54" s="1" customFormat="1" ht="294"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2470</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2170</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2470</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2171</v>
      </c>
      <c r="AV287" s="120"/>
      <c r="AW287" s="119"/>
      <c r="AX287" s="194" t="str">
        <f>IFERROR(IF(PAC!$X287="F01 - CAPTAÇÃO DE RECURSO",1,""),"")</f>
        <v/>
      </c>
      <c r="AY287" s="194" t="str">
        <f>IFERROR(IF(PAC!$X287="F02 - LICITAÇÃO",1,""),"")</f>
        <v/>
      </c>
      <c r="AZ287" s="123">
        <f>IFERROR(IF(PAC!$X$6:$X$581="F03 - EXECUÇÃO DO OBJETO",1,""),"")</f>
        <v>1</v>
      </c>
      <c r="BA287" s="123" t="str">
        <f>IFERROR(IF(PAC!$X$6:$X$581="F04 - CONCLUÍDA",1,""),"")</f>
        <v/>
      </c>
      <c r="BB287" s="191">
        <f>IF(PAC!$R287&gt;0,0,PAC!$Q287)</f>
        <v>179422844.66</v>
      </c>
    </row>
    <row r="288" spans="1:54" s="1" customFormat="1" ht="168.75"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2469</v>
      </c>
      <c r="Z288" s="87"/>
      <c r="AA288" s="105"/>
      <c r="AB288" s="40"/>
      <c r="AC288" s="102" t="s">
        <v>2650</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2473</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4">
        <f>IFERROR(IF(PAC!$X289="F01 - CAPTAÇÃO DE RECURSO",1,""),"")</f>
        <v>1</v>
      </c>
      <c r="AY289" s="194" t="str">
        <f>IFERROR(IF(PAC!$X289="F02 - LICITAÇÃO",1,""),"")</f>
        <v/>
      </c>
      <c r="AZ289" s="123" t="str">
        <f>IFERROR(IF(PAC!$X$6:$X$581="F03 - EXECUÇÃO DO OBJETO",1,""),"")</f>
        <v/>
      </c>
      <c r="BA289" s="123" t="str">
        <f>IFERROR(IF(PAC!$X$6:$X$581="F04 - CONCLUÍDA",1,""),"")</f>
        <v/>
      </c>
      <c r="BB289" s="191">
        <f>IF(PAC!$R289&gt;0,0,PAC!$Q289)</f>
        <v>250000000</v>
      </c>
    </row>
    <row r="290" spans="1:54" s="1" customFormat="1" ht="409.5"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2485</v>
      </c>
      <c r="Z290" s="87"/>
      <c r="AA290" s="105"/>
      <c r="AB290" s="40"/>
      <c r="AC290" s="102" t="s">
        <v>2172</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2485</v>
      </c>
      <c r="Z291" s="118"/>
      <c r="AA291" s="119"/>
      <c r="AB291" s="115"/>
      <c r="AC291" s="114" t="s">
        <v>2173</v>
      </c>
      <c r="AD291" s="120"/>
      <c r="AE291" s="114" t="s">
        <v>2143</v>
      </c>
      <c r="AF291" s="115"/>
      <c r="AG291" s="115"/>
      <c r="AH291" s="115"/>
      <c r="AI291" s="115"/>
      <c r="AJ291" s="118"/>
      <c r="AK291" s="115"/>
      <c r="AL291" s="115"/>
      <c r="AM291" s="115"/>
      <c r="AN291" s="118"/>
      <c r="AO291" s="118"/>
      <c r="AP291" s="118"/>
      <c r="AQ291" s="118"/>
      <c r="AR291" s="121"/>
      <c r="AS291" s="121"/>
      <c r="AT291" s="114" t="s">
        <v>2174</v>
      </c>
      <c r="AU291" s="115" t="s">
        <v>1312</v>
      </c>
      <c r="AV291" s="120"/>
      <c r="AW291" s="119"/>
      <c r="AX291" s="194">
        <f>IFERROR(IF(PAC!$X291="F01 - CAPTAÇÃO DE RECURSO",1,""),"")</f>
        <v>1</v>
      </c>
      <c r="AY291" s="194" t="str">
        <f>IFERROR(IF(PAC!$X291="F02 - LICITAÇÃO",1,""),"")</f>
        <v/>
      </c>
      <c r="AZ291" s="123" t="str">
        <f>IFERROR(IF(PAC!$X$6:$X$581="F03 - EXECUÇÃO DO OBJETO",1,""),"")</f>
        <v/>
      </c>
      <c r="BA291" s="123" t="str">
        <f>IFERROR(IF(PAC!$X$6:$X$581="F04 - CONCLUÍDA",1,""),"")</f>
        <v/>
      </c>
      <c r="BB291" s="191">
        <f>IF(PAC!$R291&gt;0,0,PAC!$Q291)</f>
        <v>5000000</v>
      </c>
    </row>
    <row r="292" spans="1:54" s="1" customFormat="1" ht="273"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2473</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2810</v>
      </c>
      <c r="AU292" s="108" t="s">
        <v>2489</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customHeight="1" thickBot="1">
      <c r="A293" s="112">
        <f t="shared" si="4"/>
        <v>288</v>
      </c>
      <c r="B293" s="113">
        <v>2023</v>
      </c>
      <c r="C293" s="112" t="s">
        <v>605</v>
      </c>
      <c r="D293" s="112" t="s">
        <v>1011</v>
      </c>
      <c r="E293" s="114" t="s">
        <v>2310</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2481</v>
      </c>
      <c r="Z293" s="118"/>
      <c r="AA293" s="119">
        <v>57</v>
      </c>
      <c r="AB293" s="115" t="s">
        <v>1482</v>
      </c>
      <c r="AC293" s="125" t="s">
        <v>2490</v>
      </c>
      <c r="AD293" s="120">
        <v>46264</v>
      </c>
      <c r="AE293" s="114" t="s">
        <v>2036</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4">
        <f>IFERROR(IF(PAC!$X293="F01 - CAPTAÇÃO DE RECURSO",1,""),"")</f>
        <v>1</v>
      </c>
      <c r="AY293" s="194" t="str">
        <f>IFERROR(IF(PAC!$X293="F02 - LICITAÇÃO",1,""),"")</f>
        <v/>
      </c>
      <c r="AZ293" s="123" t="str">
        <f>IFERROR(IF(PAC!$X$6:$X$581="F03 - EXECUÇÃO DO OBJETO",1,""),"")</f>
        <v/>
      </c>
      <c r="BA293" s="123" t="str">
        <f>IFERROR(IF(PAC!$X$6:$X$581="F04 - CONCLUÍDA",1,""),"")</f>
        <v/>
      </c>
      <c r="BB293" s="191">
        <f>IF(PAC!$R293&gt;0,0,PAC!$Q293)</f>
        <v>495000000</v>
      </c>
    </row>
    <row r="294" spans="1:54" s="1" customFormat="1" ht="210" customHeight="1" thickBot="1">
      <c r="A294" s="88">
        <f t="shared" si="4"/>
        <v>289</v>
      </c>
      <c r="B294" s="101">
        <v>2023</v>
      </c>
      <c r="C294" s="88" t="s">
        <v>605</v>
      </c>
      <c r="D294" s="88" t="s">
        <v>1011</v>
      </c>
      <c r="E294" s="102" t="s">
        <v>2551</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2470</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2470</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4" t="str">
        <f>IFERROR(IF(PAC!$X295="F01 - CAPTAÇÃO DE RECURSO",1,""),"")</f>
        <v/>
      </c>
      <c r="AY295" s="194" t="str">
        <f>IFERROR(IF(PAC!$X295="F02 - LICITAÇÃO",1,""),"")</f>
        <v/>
      </c>
      <c r="AZ295" s="123">
        <f>IFERROR(IF(PAC!$X$6:$X$581="F03 - EXECUÇÃO DO OBJETO",1,""),"")</f>
        <v>1</v>
      </c>
      <c r="BA295" s="123" t="str">
        <f>IFERROR(IF(PAC!$X$6:$X$581="F04 - CONCLUÍDA",1,""),"")</f>
        <v/>
      </c>
      <c r="BB295" s="191">
        <f>IF(PAC!$R295&gt;0,0,PAC!$Q295)</f>
        <v>467970011.11000001</v>
      </c>
    </row>
    <row r="296" spans="1:54" s="1" customFormat="1" ht="210"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2552</v>
      </c>
      <c r="U296" s="103" t="s">
        <v>1562</v>
      </c>
      <c r="V296" s="103"/>
      <c r="W296" s="104">
        <v>60</v>
      </c>
      <c r="X296" s="104" t="s">
        <v>1694</v>
      </c>
      <c r="Y296" s="101" t="s">
        <v>2470</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2481</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4">
        <f>IFERROR(IF(PAC!$X297="F01 - CAPTAÇÃO DE RECURSO",1,""),"")</f>
        <v>1</v>
      </c>
      <c r="AY297" s="194" t="str">
        <f>IFERROR(IF(PAC!$X297="F02 - LICITAÇÃO",1,""),"")</f>
        <v/>
      </c>
      <c r="AZ297" s="123" t="str">
        <f>IFERROR(IF(PAC!$X$6:$X$581="F03 - EXECUÇÃO DO OBJETO",1,""),"")</f>
        <v/>
      </c>
      <c r="BA297" s="123" t="str">
        <f>IFERROR(IF(PAC!$X$6:$X$581="F04 - CONCLUÍDA",1,""),"")</f>
        <v/>
      </c>
      <c r="BB297" s="191">
        <f>IF(PAC!$R297&gt;0,0,PAC!$Q297)</f>
        <v>0</v>
      </c>
    </row>
    <row r="298" spans="1:54" s="1" customFormat="1" ht="378"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2473</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2553</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2329</v>
      </c>
      <c r="U299" s="116" t="s">
        <v>1572</v>
      </c>
      <c r="V299" s="116"/>
      <c r="W299" s="117">
        <v>18</v>
      </c>
      <c r="X299" s="117" t="s">
        <v>1490</v>
      </c>
      <c r="Y299" s="113" t="s">
        <v>2482</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4" t="str">
        <f>IFERROR(IF(PAC!$X299="F01 - CAPTAÇÃO DE RECURSO",1,""),"")</f>
        <v/>
      </c>
      <c r="AY299" s="194" t="str">
        <f>IFERROR(IF(PAC!$X299="F02 - LICITAÇÃO",1,""),"")</f>
        <v/>
      </c>
      <c r="AZ299" s="123" t="str">
        <f>IFERROR(IF(PAC!$X$6:$X$581="F03 - EXECUÇÃO DO OBJETO",1,""),"")</f>
        <v/>
      </c>
      <c r="BA299" s="123">
        <f>IFERROR(IF(PAC!$X$6:$X$581="F04 - CONCLUÍDA",1,""),"")</f>
        <v>1</v>
      </c>
      <c r="BB299" s="191">
        <f>IF(PAC!$R299&gt;0,0,PAC!$Q299)</f>
        <v>0</v>
      </c>
    </row>
    <row r="300" spans="1:54" s="1" customFormat="1" ht="252.75"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2470</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2037</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2470</v>
      </c>
      <c r="Z301" s="118"/>
      <c r="AA301" s="119">
        <v>35</v>
      </c>
      <c r="AB301" s="115" t="s">
        <v>1455</v>
      </c>
      <c r="AC301" s="115" t="s">
        <v>1806</v>
      </c>
      <c r="AD301" s="120"/>
      <c r="AE301" s="114" t="s">
        <v>1807</v>
      </c>
      <c r="AF301" s="115" t="s">
        <v>2149</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2033</v>
      </c>
      <c r="AU301" s="115" t="s">
        <v>1851</v>
      </c>
      <c r="AV301" s="120"/>
      <c r="AW301" s="119"/>
      <c r="AX301" s="194">
        <f>IFERROR(IF(PAC!$X301="F01 - CAPTAÇÃO DE RECURSO",1,""),"")</f>
        <v>1</v>
      </c>
      <c r="AY301" s="194" t="str">
        <f>IFERROR(IF(PAC!$X301="F02 - LICITAÇÃO",1,""),"")</f>
        <v/>
      </c>
      <c r="AZ301" s="123" t="str">
        <f>IFERROR(IF(PAC!$X$6:$X$581="F03 - EXECUÇÃO DO OBJETO",1,""),"")</f>
        <v/>
      </c>
      <c r="BA301" s="123" t="str">
        <f>IFERROR(IF(PAC!$X$6:$X$581="F04 - CONCLUÍDA",1,""),"")</f>
        <v/>
      </c>
      <c r="BB301" s="191">
        <f>IF(PAC!$R301&gt;0,0,PAC!$Q301)</f>
        <v>0</v>
      </c>
    </row>
    <row r="302" spans="1:54" s="1" customFormat="1" ht="126"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2480</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2480</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4">
        <f>IFERROR(IF(PAC!$X303="F01 - CAPTAÇÃO DE RECURSO",1,""),"")</f>
        <v>1</v>
      </c>
      <c r="AY303" s="194" t="str">
        <f>IFERROR(IF(PAC!$X303="F02 - LICITAÇÃO",1,""),"")</f>
        <v/>
      </c>
      <c r="AZ303" s="123" t="str">
        <f>IFERROR(IF(PAC!$X$6:$X$581="F03 - EXECUÇÃO DO OBJETO",1,""),"")</f>
        <v/>
      </c>
      <c r="BA303" s="123" t="str">
        <f>IFERROR(IF(PAC!$X$6:$X$581="F04 - CONCLUÍDA",1,""),"")</f>
        <v/>
      </c>
      <c r="BB303" s="191">
        <f>IF(PAC!$R303&gt;0,0,PAC!$Q303)</f>
        <v>0</v>
      </c>
    </row>
    <row r="304" spans="1:54" s="1" customFormat="1" ht="126"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2480</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2470</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4" t="str">
        <f>IFERROR(IF(PAC!$X305="F01 - CAPTAÇÃO DE RECURSO",1,""),"")</f>
        <v/>
      </c>
      <c r="AY305" s="194" t="str">
        <f>IFERROR(IF(PAC!$X305="F02 - LICITAÇÃO",1,""),"")</f>
        <v/>
      </c>
      <c r="AZ305" s="123">
        <f>IFERROR(IF(PAC!$X$6:$X$581="F03 - EXECUÇÃO DO OBJETO",1,""),"")</f>
        <v>1</v>
      </c>
      <c r="BA305" s="123" t="str">
        <f>IFERROR(IF(PAC!$X$6:$X$581="F04 - CONCLUÍDA",1,""),"")</f>
        <v/>
      </c>
      <c r="BB305" s="191">
        <f>IF(PAC!$R305&gt;0,0,PAC!$Q305)</f>
        <v>0</v>
      </c>
    </row>
    <row r="306" spans="1:70" s="1" customFormat="1" ht="177.75"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2470</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2320</v>
      </c>
      <c r="U307" s="116" t="s">
        <v>1572</v>
      </c>
      <c r="V307" s="116"/>
      <c r="W307" s="117">
        <v>20</v>
      </c>
      <c r="X307" s="117" t="s">
        <v>1694</v>
      </c>
      <c r="Y307" s="113" t="s">
        <v>2470</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2175</v>
      </c>
      <c r="AV307" s="120"/>
      <c r="AW307" s="119" t="s">
        <v>481</v>
      </c>
      <c r="AX307" s="194" t="str">
        <f>IFERROR(IF(PAC!$X307="F01 - CAPTAÇÃO DE RECURSO",1,""),"")</f>
        <v/>
      </c>
      <c r="AY307" s="194" t="str">
        <f>IFERROR(IF(PAC!$X307="F02 - LICITAÇÃO",1,""),"")</f>
        <v/>
      </c>
      <c r="AZ307" s="123">
        <f>IFERROR(IF(PAC!$X$6:$X$581="F03 - EXECUÇÃO DO OBJETO",1,""),"")</f>
        <v>1</v>
      </c>
      <c r="BA307" s="123" t="str">
        <f>IFERROR(IF(PAC!$X$6:$X$581="F04 - CONCLUÍDA",1,""),"")</f>
        <v/>
      </c>
      <c r="BB307" s="191">
        <f>IF(PAC!$R307&gt;0,0,PAC!$Q307)</f>
        <v>0</v>
      </c>
    </row>
    <row r="308" spans="1:70" s="1" customFormat="1" ht="147"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2602</v>
      </c>
      <c r="U308" s="103" t="s">
        <v>1570</v>
      </c>
      <c r="V308" s="103"/>
      <c r="W308" s="104">
        <v>8</v>
      </c>
      <c r="X308" s="104" t="s">
        <v>1418</v>
      </c>
      <c r="Y308" s="101" t="s">
        <v>2472</v>
      </c>
      <c r="Z308" s="87">
        <v>46265</v>
      </c>
      <c r="AA308" s="105"/>
      <c r="AB308" s="40" t="s">
        <v>1468</v>
      </c>
      <c r="AC308" s="40" t="s">
        <v>2696</v>
      </c>
      <c r="AD308" s="106">
        <v>46265</v>
      </c>
      <c r="AE308" s="102" t="s">
        <v>2467</v>
      </c>
      <c r="AF308" s="40" t="s">
        <v>2016</v>
      </c>
      <c r="AG308" s="40" t="s">
        <v>1426</v>
      </c>
      <c r="AH308" s="40" t="s">
        <v>977</v>
      </c>
      <c r="AI308" s="40"/>
      <c r="AJ308" s="87"/>
      <c r="AK308" s="40"/>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2603</v>
      </c>
      <c r="U309" s="116" t="s">
        <v>1570</v>
      </c>
      <c r="V309" s="116"/>
      <c r="W309" s="117">
        <v>8</v>
      </c>
      <c r="X309" s="117" t="s">
        <v>1418</v>
      </c>
      <c r="Y309" s="113" t="s">
        <v>2472</v>
      </c>
      <c r="Z309" s="118">
        <v>46265</v>
      </c>
      <c r="AA309" s="119"/>
      <c r="AB309" s="115" t="s">
        <v>1468</v>
      </c>
      <c r="AC309" s="115" t="s">
        <v>2699</v>
      </c>
      <c r="AD309" s="120">
        <v>46265</v>
      </c>
      <c r="AE309" s="114" t="s">
        <v>2467</v>
      </c>
      <c r="AF309" s="115" t="s">
        <v>2176</v>
      </c>
      <c r="AG309" s="115" t="s">
        <v>1427</v>
      </c>
      <c r="AH309" s="115" t="s">
        <v>977</v>
      </c>
      <c r="AI309" s="115"/>
      <c r="AJ309" s="118"/>
      <c r="AK309" s="115"/>
      <c r="AL309" s="115"/>
      <c r="AM309" s="115"/>
      <c r="AN309" s="118">
        <v>46149</v>
      </c>
      <c r="AO309" s="118">
        <v>46164</v>
      </c>
      <c r="AP309" s="118"/>
      <c r="AQ309" s="118"/>
      <c r="AR309" s="121"/>
      <c r="AS309" s="121"/>
      <c r="AT309" s="114" t="s">
        <v>2670</v>
      </c>
      <c r="AU309" s="122" t="s">
        <v>1438</v>
      </c>
      <c r="AV309" s="120"/>
      <c r="AW309" s="119"/>
      <c r="AX309" s="194" t="str">
        <f>IFERROR(IF(PAC!$X309="F01 - CAPTAÇÃO DE RECURSO",1,""),"")</f>
        <v/>
      </c>
      <c r="AY309" s="194">
        <f>IFERROR(IF(PAC!$X309="F02 - LICITAÇÃO",1,""),"")</f>
        <v>1</v>
      </c>
      <c r="AZ309" s="123" t="str">
        <f>IFERROR(IF(PAC!$X$6:$X$581="F03 - EXECUÇÃO DO OBJETO",1,""),"")</f>
        <v/>
      </c>
      <c r="BA309" s="123" t="str">
        <f>IFERROR(IF(PAC!$X$6:$X$581="F04 - CONCLUÍDA",1,""),"")</f>
        <v/>
      </c>
      <c r="BB309" s="191">
        <f>IF(PAC!$R309&gt;0,0,PAC!$Q309)</f>
        <v>0</v>
      </c>
    </row>
    <row r="310" spans="1:70" s="1" customFormat="1" ht="147"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2602</v>
      </c>
      <c r="U310" s="103" t="s">
        <v>1570</v>
      </c>
      <c r="V310" s="103"/>
      <c r="W310" s="104">
        <v>12</v>
      </c>
      <c r="X310" s="104" t="s">
        <v>1418</v>
      </c>
      <c r="Y310" s="101" t="s">
        <v>2472</v>
      </c>
      <c r="Z310" s="87">
        <v>46265</v>
      </c>
      <c r="AA310" s="105"/>
      <c r="AB310" s="40" t="s">
        <v>1468</v>
      </c>
      <c r="AC310" s="40" t="s">
        <v>2697</v>
      </c>
      <c r="AD310" s="106">
        <v>46265</v>
      </c>
      <c r="AE310" s="102" t="s">
        <v>2467</v>
      </c>
      <c r="AF310" s="40" t="s">
        <v>2017</v>
      </c>
      <c r="AG310" s="40" t="s">
        <v>1428</v>
      </c>
      <c r="AH310" s="40" t="s">
        <v>977</v>
      </c>
      <c r="AI310" s="40"/>
      <c r="AJ310" s="87"/>
      <c r="AK310" s="40"/>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2602</v>
      </c>
      <c r="U311" s="116" t="s">
        <v>1570</v>
      </c>
      <c r="V311" s="116"/>
      <c r="W311" s="117">
        <v>12</v>
      </c>
      <c r="X311" s="117" t="s">
        <v>1418</v>
      </c>
      <c r="Y311" s="113" t="s">
        <v>2472</v>
      </c>
      <c r="Z311" s="118">
        <v>46265</v>
      </c>
      <c r="AA311" s="119"/>
      <c r="AB311" s="115" t="s">
        <v>1468</v>
      </c>
      <c r="AC311" s="115" t="s">
        <v>2698</v>
      </c>
      <c r="AD311" s="120">
        <v>46265</v>
      </c>
      <c r="AE311" s="114" t="s">
        <v>2467</v>
      </c>
      <c r="AF311" s="115" t="s">
        <v>2018</v>
      </c>
      <c r="AG311" s="115" t="s">
        <v>1429</v>
      </c>
      <c r="AH311" s="115" t="s">
        <v>977</v>
      </c>
      <c r="AI311" s="115"/>
      <c r="AJ311" s="118"/>
      <c r="AK311" s="115"/>
      <c r="AL311" s="115"/>
      <c r="AM311" s="115"/>
      <c r="AN311" s="118">
        <v>46114</v>
      </c>
      <c r="AO311" s="118">
        <v>46140</v>
      </c>
      <c r="AP311" s="118"/>
      <c r="AQ311" s="118"/>
      <c r="AR311" s="121"/>
      <c r="AS311" s="121"/>
      <c r="AT311" s="114"/>
      <c r="AU311" s="122" t="s">
        <v>1440</v>
      </c>
      <c r="AV311" s="120"/>
      <c r="AW311" s="119"/>
      <c r="AX311" s="194" t="str">
        <f>IFERROR(IF(PAC!$X311="F01 - CAPTAÇÃO DE RECURSO",1,""),"")</f>
        <v/>
      </c>
      <c r="AY311" s="194">
        <f>IFERROR(IF(PAC!$X311="F02 - LICITAÇÃO",1,""),"")</f>
        <v>1</v>
      </c>
      <c r="AZ311" s="123" t="str">
        <f>IFERROR(IF(PAC!$X$6:$X$581="F03 - EXECUÇÃO DO OBJETO",1,""),"")</f>
        <v/>
      </c>
      <c r="BA311" s="123" t="str">
        <f>IFERROR(IF(PAC!$X$6:$X$581="F04 - CONCLUÍDA",1,""),"")</f>
        <v/>
      </c>
      <c r="BB311" s="191">
        <f>IF(PAC!$R311&gt;0,0,PAC!$Q311)</f>
        <v>0</v>
      </c>
    </row>
    <row r="312" spans="1:70" s="1" customFormat="1" ht="168"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2602</v>
      </c>
      <c r="U312" s="103" t="s">
        <v>1570</v>
      </c>
      <c r="V312" s="103"/>
      <c r="W312" s="104">
        <v>12</v>
      </c>
      <c r="X312" s="104" t="s">
        <v>1418</v>
      </c>
      <c r="Y312" s="101" t="s">
        <v>2472</v>
      </c>
      <c r="Z312" s="87">
        <v>46265</v>
      </c>
      <c r="AA312" s="105"/>
      <c r="AB312" s="40" t="s">
        <v>1468</v>
      </c>
      <c r="AC312" s="40" t="s">
        <v>2700</v>
      </c>
      <c r="AD312" s="106">
        <v>46265</v>
      </c>
      <c r="AE312" s="102" t="s">
        <v>2467</v>
      </c>
      <c r="AF312" s="40" t="s">
        <v>2022</v>
      </c>
      <c r="AG312" s="40" t="s">
        <v>1430</v>
      </c>
      <c r="AH312" s="40" t="s">
        <v>977</v>
      </c>
      <c r="AI312" s="40"/>
      <c r="AJ312" s="87"/>
      <c r="AK312" s="40"/>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2602</v>
      </c>
      <c r="U313" s="116" t="s">
        <v>1570</v>
      </c>
      <c r="V313" s="116"/>
      <c r="W313" s="117">
        <v>8</v>
      </c>
      <c r="X313" s="117" t="s">
        <v>1418</v>
      </c>
      <c r="Y313" s="113" t="s">
        <v>2472</v>
      </c>
      <c r="Z313" s="118">
        <v>46265</v>
      </c>
      <c r="AA313" s="119"/>
      <c r="AB313" s="115" t="s">
        <v>1468</v>
      </c>
      <c r="AC313" s="115" t="s">
        <v>2701</v>
      </c>
      <c r="AD313" s="120">
        <v>46265</v>
      </c>
      <c r="AE313" s="114" t="s">
        <v>2467</v>
      </c>
      <c r="AF313" s="115" t="s">
        <v>2019</v>
      </c>
      <c r="AG313" s="115" t="s">
        <v>1431</v>
      </c>
      <c r="AH313" s="115" t="s">
        <v>977</v>
      </c>
      <c r="AI313" s="115"/>
      <c r="AJ313" s="118"/>
      <c r="AK313" s="115"/>
      <c r="AL313" s="115"/>
      <c r="AM313" s="115"/>
      <c r="AN313" s="118">
        <v>46114</v>
      </c>
      <c r="AO313" s="118">
        <v>46141</v>
      </c>
      <c r="AP313" s="118"/>
      <c r="AQ313" s="118"/>
      <c r="AR313" s="121"/>
      <c r="AS313" s="121"/>
      <c r="AT313" s="114"/>
      <c r="AU313" s="122" t="s">
        <v>1442</v>
      </c>
      <c r="AV313" s="120"/>
      <c r="AW313" s="119"/>
      <c r="AX313" s="194" t="str">
        <f>IFERROR(IF(PAC!$X313="F01 - CAPTAÇÃO DE RECURSO",1,""),"")</f>
        <v/>
      </c>
      <c r="AY313" s="194">
        <f>IFERROR(IF(PAC!$X313="F02 - LICITAÇÃO",1,""),"")</f>
        <v>1</v>
      </c>
      <c r="AZ313" s="123" t="str">
        <f>IFERROR(IF(PAC!$X$6:$X$581="F03 - EXECUÇÃO DO OBJETO",1,""),"")</f>
        <v/>
      </c>
      <c r="BA313" s="123" t="str">
        <f>IFERROR(IF(PAC!$X$6:$X$581="F04 - CONCLUÍDA",1,""),"")</f>
        <v/>
      </c>
      <c r="BB313" s="191">
        <f>IF(PAC!$R313&gt;0,0,PAC!$Q313)</f>
        <v>0</v>
      </c>
    </row>
    <row r="314" spans="1:70" ht="230.25"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2602</v>
      </c>
      <c r="U314" s="103" t="s">
        <v>1570</v>
      </c>
      <c r="V314" s="103"/>
      <c r="W314" s="104">
        <v>8</v>
      </c>
      <c r="X314" s="104" t="s">
        <v>1418</v>
      </c>
      <c r="Y314" s="101" t="s">
        <v>2472</v>
      </c>
      <c r="Z314" s="87">
        <v>46265</v>
      </c>
      <c r="AA314" s="105"/>
      <c r="AB314" s="40" t="s">
        <v>1468</v>
      </c>
      <c r="AC314" s="40" t="s">
        <v>2702</v>
      </c>
      <c r="AD314" s="106">
        <v>46265</v>
      </c>
      <c r="AE314" s="102" t="s">
        <v>2467</v>
      </c>
      <c r="AF314" s="40" t="s">
        <v>2023</v>
      </c>
      <c r="AG314" s="40" t="s">
        <v>1432</v>
      </c>
      <c r="AH314" s="40" t="s">
        <v>977</v>
      </c>
      <c r="AI314" s="40"/>
      <c r="AJ314" s="87"/>
      <c r="AK314" s="40"/>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2602</v>
      </c>
      <c r="U315" s="116" t="s">
        <v>1570</v>
      </c>
      <c r="V315" s="116"/>
      <c r="W315" s="117">
        <v>12</v>
      </c>
      <c r="X315" s="117" t="s">
        <v>1418</v>
      </c>
      <c r="Y315" s="113" t="s">
        <v>2472</v>
      </c>
      <c r="Z315" s="118">
        <v>46265</v>
      </c>
      <c r="AA315" s="119"/>
      <c r="AB315" s="115" t="s">
        <v>1468</v>
      </c>
      <c r="AC315" s="115" t="s">
        <v>2703</v>
      </c>
      <c r="AD315" s="120">
        <v>46265</v>
      </c>
      <c r="AE315" s="114" t="s">
        <v>2467</v>
      </c>
      <c r="AF315" s="115" t="s">
        <v>2020</v>
      </c>
      <c r="AG315" s="115" t="s">
        <v>1433</v>
      </c>
      <c r="AH315" s="115" t="s">
        <v>977</v>
      </c>
      <c r="AI315" s="115"/>
      <c r="AJ315" s="118"/>
      <c r="AK315" s="115"/>
      <c r="AL315" s="115"/>
      <c r="AM315" s="115"/>
      <c r="AN315" s="118">
        <v>46114</v>
      </c>
      <c r="AO315" s="118">
        <v>46148</v>
      </c>
      <c r="AP315" s="118"/>
      <c r="AQ315" s="118"/>
      <c r="AR315" s="121"/>
      <c r="AS315" s="121"/>
      <c r="AT315" s="114"/>
      <c r="AU315" s="122" t="s">
        <v>1444</v>
      </c>
      <c r="AV315" s="120"/>
      <c r="AW315" s="119"/>
      <c r="AX315" s="194" t="str">
        <f>IFERROR(IF(PAC!$X315="F01 - CAPTAÇÃO DE RECURSO",1,""),"")</f>
        <v/>
      </c>
      <c r="AY315" s="194">
        <f>IFERROR(IF(PAC!$X315="F02 - LICITAÇÃO",1,""),"")</f>
        <v>1</v>
      </c>
      <c r="AZ315" s="123" t="str">
        <f>IFERROR(IF(PAC!$X$6:$X$581="F03 - EXECUÇÃO DO OBJETO",1,""),"")</f>
        <v/>
      </c>
      <c r="BA315" s="123" t="str">
        <f>IFERROR(IF(PAC!$X$6:$X$581="F04 - CONCLUÍDA",1,""),"")</f>
        <v/>
      </c>
      <c r="BB315" s="191">
        <f>IF(PAC!$R315&gt;0,0,PAC!$Q315)</f>
        <v>0</v>
      </c>
      <c r="BC315" s="61"/>
      <c r="BF315" s="61"/>
      <c r="BH315" s="61"/>
      <c r="BI315" s="61"/>
      <c r="BP315" s="61"/>
      <c r="BQ315" s="61"/>
      <c r="BR315" s="61"/>
    </row>
    <row r="316" spans="1:70" ht="339"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2603</v>
      </c>
      <c r="U316" s="103" t="s">
        <v>1570</v>
      </c>
      <c r="V316" s="103"/>
      <c r="W316" s="104">
        <v>12</v>
      </c>
      <c r="X316" s="104" t="s">
        <v>1418</v>
      </c>
      <c r="Y316" s="101" t="s">
        <v>2472</v>
      </c>
      <c r="Z316" s="87">
        <v>46265</v>
      </c>
      <c r="AA316" s="105"/>
      <c r="AB316" s="40" t="s">
        <v>1468</v>
      </c>
      <c r="AC316" s="40" t="s">
        <v>2704</v>
      </c>
      <c r="AD316" s="106">
        <v>46265</v>
      </c>
      <c r="AE316" s="102" t="s">
        <v>2467</v>
      </c>
      <c r="AF316" s="40" t="s">
        <v>2015</v>
      </c>
      <c r="AG316" s="40" t="s">
        <v>1434</v>
      </c>
      <c r="AH316" s="40" t="s">
        <v>977</v>
      </c>
      <c r="AI316" s="40"/>
      <c r="AJ316" s="87"/>
      <c r="AK316" s="40"/>
      <c r="AL316" s="40"/>
      <c r="AM316" s="40"/>
      <c r="AN316" s="87">
        <v>46114</v>
      </c>
      <c r="AO316" s="87">
        <v>46134</v>
      </c>
      <c r="AP316" s="87"/>
      <c r="AQ316" s="87"/>
      <c r="AR316" s="107"/>
      <c r="AS316" s="107"/>
      <c r="AT316" s="102" t="s">
        <v>2669</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2602</v>
      </c>
      <c r="U317" s="116" t="s">
        <v>1570</v>
      </c>
      <c r="V317" s="116"/>
      <c r="W317" s="117">
        <v>12</v>
      </c>
      <c r="X317" s="117" t="s">
        <v>1418</v>
      </c>
      <c r="Y317" s="113" t="s">
        <v>2472</v>
      </c>
      <c r="Z317" s="118">
        <v>46265</v>
      </c>
      <c r="AA317" s="119"/>
      <c r="AB317" s="115" t="s">
        <v>1468</v>
      </c>
      <c r="AC317" s="115" t="s">
        <v>2705</v>
      </c>
      <c r="AD317" s="120">
        <v>46265</v>
      </c>
      <c r="AE317" s="114" t="s">
        <v>2467</v>
      </c>
      <c r="AF317" s="115" t="s">
        <v>2021</v>
      </c>
      <c r="AG317" s="115" t="s">
        <v>1435</v>
      </c>
      <c r="AH317" s="115" t="s">
        <v>977</v>
      </c>
      <c r="AI317" s="115"/>
      <c r="AJ317" s="118"/>
      <c r="AK317" s="115"/>
      <c r="AL317" s="115"/>
      <c r="AM317" s="115"/>
      <c r="AN317" s="118">
        <v>46114</v>
      </c>
      <c r="AO317" s="118">
        <v>46163</v>
      </c>
      <c r="AP317" s="118"/>
      <c r="AQ317" s="118"/>
      <c r="AR317" s="121"/>
      <c r="AS317" s="121"/>
      <c r="AT317" s="114"/>
      <c r="AU317" s="122" t="s">
        <v>1443</v>
      </c>
      <c r="AV317" s="120"/>
      <c r="AW317" s="119"/>
      <c r="AX317" s="194" t="str">
        <f>IFERROR(IF(PAC!$X317="F01 - CAPTAÇÃO DE RECURSO",1,""),"")</f>
        <v/>
      </c>
      <c r="AY317" s="194">
        <f>IFERROR(IF(PAC!$X317="F02 - LICITAÇÃO",1,""),"")</f>
        <v>1</v>
      </c>
      <c r="AZ317" s="123" t="str">
        <f>IFERROR(IF(PAC!$X$6:$X$581="F03 - EXECUÇÃO DO OBJETO",1,""),"")</f>
        <v/>
      </c>
      <c r="BA317" s="123" t="str">
        <f>IFERROR(IF(PAC!$X$6:$X$581="F04 - CONCLUÍDA",1,""),"")</f>
        <v/>
      </c>
      <c r="BB317" s="191">
        <f>IF(PAC!$R317&gt;0,0,PAC!$Q317)</f>
        <v>0</v>
      </c>
      <c r="BC317" s="61"/>
      <c r="BF317" s="61"/>
      <c r="BH317" s="61"/>
      <c r="BI317" s="61"/>
      <c r="BP317" s="61"/>
      <c r="BQ317" s="61"/>
      <c r="BR317" s="61"/>
    </row>
    <row r="318" spans="1:70" ht="376.5"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2603</v>
      </c>
      <c r="U318" s="103" t="s">
        <v>1570</v>
      </c>
      <c r="V318" s="103"/>
      <c r="W318" s="104">
        <v>12</v>
      </c>
      <c r="X318" s="104" t="s">
        <v>1418</v>
      </c>
      <c r="Y318" s="101" t="s">
        <v>2472</v>
      </c>
      <c r="Z318" s="87">
        <v>46265</v>
      </c>
      <c r="AA318" s="105"/>
      <c r="AB318" s="40" t="s">
        <v>1468</v>
      </c>
      <c r="AC318" s="40" t="s">
        <v>2706</v>
      </c>
      <c r="AD318" s="106">
        <v>46265</v>
      </c>
      <c r="AE318" s="102" t="s">
        <v>2467</v>
      </c>
      <c r="AF318" s="40" t="s">
        <v>2303</v>
      </c>
      <c r="AG318" s="40" t="s">
        <v>1436</v>
      </c>
      <c r="AH318" s="40" t="s">
        <v>977</v>
      </c>
      <c r="AI318" s="40"/>
      <c r="AJ318" s="87"/>
      <c r="AK318" s="40"/>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2474</v>
      </c>
      <c r="Z319" s="118"/>
      <c r="AA319" s="119"/>
      <c r="AB319" s="115" t="s">
        <v>1456</v>
      </c>
      <c r="AC319" s="115" t="s">
        <v>2567</v>
      </c>
      <c r="AD319" s="120"/>
      <c r="AE319" s="114" t="s">
        <v>1937</v>
      </c>
      <c r="AF319" s="115" t="s">
        <v>1502</v>
      </c>
      <c r="AG319" s="115"/>
      <c r="AH319" s="115"/>
      <c r="AI319" s="115"/>
      <c r="AJ319" s="118"/>
      <c r="AK319" s="115"/>
      <c r="AL319" s="115"/>
      <c r="AM319" s="115"/>
      <c r="AN319" s="118"/>
      <c r="AO319" s="118"/>
      <c r="AP319" s="118"/>
      <c r="AQ319" s="118"/>
      <c r="AR319" s="121"/>
      <c r="AS319" s="121"/>
      <c r="AT319" s="114"/>
      <c r="AU319" s="122"/>
      <c r="AV319" s="120"/>
      <c r="AW319" s="119"/>
      <c r="AX319" s="194">
        <f>IFERROR(IF(PAC!$X319="F01 - CAPTAÇÃO DE RECURSO",1,""),"")</f>
        <v>1</v>
      </c>
      <c r="AY319" s="194" t="str">
        <f>IFERROR(IF(PAC!$X319="F02 - LICITAÇÃO",1,""),"")</f>
        <v/>
      </c>
      <c r="AZ319" s="123" t="str">
        <f>IFERROR(IF(PAC!$X$6:$X$581="F03 - EXECUÇÃO DO OBJETO",1,""),"")</f>
        <v/>
      </c>
      <c r="BA319" s="123" t="str">
        <f>IFERROR(IF(PAC!$X$6:$X$581="F04 - CONCLUÍDA",1,""),"")</f>
        <v/>
      </c>
      <c r="BB319" s="191">
        <f>IF(PAC!$R319&gt;0,0,PAC!$Q319)</f>
        <v>2800000</v>
      </c>
      <c r="BC319" s="61"/>
      <c r="BF319" s="61"/>
      <c r="BH319" s="61"/>
      <c r="BI319" s="61"/>
      <c r="BP319" s="61"/>
      <c r="BQ319" s="61"/>
      <c r="BR319" s="61"/>
    </row>
    <row r="320" spans="1:70" s="1" customFormat="1" ht="341.25"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2474</v>
      </c>
      <c r="Z320" s="87"/>
      <c r="AA320" s="105"/>
      <c r="AB320" s="40" t="s">
        <v>1456</v>
      </c>
      <c r="AC320" s="40" t="s">
        <v>2568</v>
      </c>
      <c r="AD320" s="106"/>
      <c r="AE320" s="102" t="s">
        <v>1937</v>
      </c>
      <c r="AF320" s="40" t="s">
        <v>1503</v>
      </c>
      <c r="AG320" s="40"/>
      <c r="AH320" s="40"/>
      <c r="AI320" s="40"/>
      <c r="AJ320" s="87"/>
      <c r="AK320" s="40"/>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2474</v>
      </c>
      <c r="Z321" s="118"/>
      <c r="AA321" s="119"/>
      <c r="AB321" s="115" t="s">
        <v>1457</v>
      </c>
      <c r="AC321" s="115" t="s">
        <v>2311</v>
      </c>
      <c r="AD321" s="120"/>
      <c r="AE321" s="114" t="s">
        <v>1937</v>
      </c>
      <c r="AF321" s="115" t="s">
        <v>1504</v>
      </c>
      <c r="AG321" s="115"/>
      <c r="AH321" s="115"/>
      <c r="AI321" s="115"/>
      <c r="AJ321" s="118"/>
      <c r="AK321" s="115"/>
      <c r="AL321" s="115"/>
      <c r="AM321" s="115"/>
      <c r="AN321" s="118"/>
      <c r="AO321" s="118"/>
      <c r="AP321" s="118"/>
      <c r="AQ321" s="118"/>
      <c r="AR321" s="121"/>
      <c r="AS321" s="121"/>
      <c r="AT321" s="114"/>
      <c r="AU321" s="122"/>
      <c r="AV321" s="120"/>
      <c r="AW321" s="119"/>
      <c r="AX321" s="194">
        <f>IFERROR(IF(PAC!$X321="F01 - CAPTAÇÃO DE RECURSO",1,""),"")</f>
        <v>1</v>
      </c>
      <c r="AY321" s="194" t="str">
        <f>IFERROR(IF(PAC!$X321="F02 - LICITAÇÃO",1,""),"")</f>
        <v/>
      </c>
      <c r="AZ321" s="123" t="str">
        <f>IFERROR(IF(PAC!$X$6:$X$581="F03 - EXECUÇÃO DO OBJETO",1,""),"")</f>
        <v/>
      </c>
      <c r="BA321" s="123" t="str">
        <f>IFERROR(IF(PAC!$X$6:$X$581="F04 - CONCLUÍDA",1,""),"")</f>
        <v/>
      </c>
      <c r="BB321" s="191">
        <f>IF(PAC!$R321&gt;0,0,PAC!$Q321)</f>
        <v>2800000</v>
      </c>
    </row>
    <row r="322" spans="1:54" s="1" customFormat="1" ht="336.75"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2474</v>
      </c>
      <c r="Z322" s="87"/>
      <c r="AA322" s="105"/>
      <c r="AB322" s="40" t="s">
        <v>1456</v>
      </c>
      <c r="AC322" s="40" t="s">
        <v>2569</v>
      </c>
      <c r="AD322" s="106"/>
      <c r="AE322" s="102" t="s">
        <v>1937</v>
      </c>
      <c r="AF322" s="40" t="s">
        <v>1505</v>
      </c>
      <c r="AG322" s="40"/>
      <c r="AH322" s="40"/>
      <c r="AI322" s="40"/>
      <c r="AJ322" s="87"/>
      <c r="AK322" s="40"/>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2470</v>
      </c>
      <c r="Z323" s="118">
        <v>47209</v>
      </c>
      <c r="AA323" s="119">
        <v>2</v>
      </c>
      <c r="AB323" s="115"/>
      <c r="AC323" s="115"/>
      <c r="AD323" s="120"/>
      <c r="AE323" s="114" t="s">
        <v>2385</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2685</v>
      </c>
      <c r="AU323" s="122" t="s">
        <v>2386</v>
      </c>
      <c r="AV323" s="120"/>
      <c r="AW323" s="119"/>
      <c r="AX323" s="194" t="str">
        <f>IFERROR(IF(PAC!$X323="F01 - CAPTAÇÃO DE RECURSO",1,""),"")</f>
        <v/>
      </c>
      <c r="AY323" s="194" t="str">
        <f>IFERROR(IF(PAC!$X323="F02 - LICITAÇÃO",1,""),"")</f>
        <v/>
      </c>
      <c r="AZ323" s="123">
        <f>IFERROR(IF(PAC!$X$6:$X$581="F03 - EXECUÇÃO DO OBJETO",1,""),"")</f>
        <v>1</v>
      </c>
      <c r="BA323" s="123" t="str">
        <f>IFERROR(IF(PAC!$X$6:$X$581="F04 - CONCLUÍDA",1,""),"")</f>
        <v/>
      </c>
      <c r="BB323" s="191">
        <f>IF(PAC!$R323&gt;0,0,PAC!$Q323)</f>
        <v>0</v>
      </c>
    </row>
    <row r="324" spans="1:54" s="1" customFormat="1" ht="409.5"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2472</v>
      </c>
      <c r="Z324" s="87"/>
      <c r="AA324" s="105"/>
      <c r="AB324" s="40"/>
      <c r="AC324" s="40" t="s">
        <v>2636</v>
      </c>
      <c r="AD324" s="106"/>
      <c r="AE324" s="102" t="s">
        <v>2233</v>
      </c>
      <c r="AF324" s="40" t="s">
        <v>554</v>
      </c>
      <c r="AG324" s="40" t="s">
        <v>2247</v>
      </c>
      <c r="AH324" s="40" t="s">
        <v>977</v>
      </c>
      <c r="AI324" s="40"/>
      <c r="AJ324" s="87"/>
      <c r="AK324" s="40" t="s">
        <v>1387</v>
      </c>
      <c r="AL324" s="40"/>
      <c r="AM324" s="40"/>
      <c r="AN324" s="87">
        <v>45818</v>
      </c>
      <c r="AO324" s="87">
        <v>46052</v>
      </c>
      <c r="AP324" s="87">
        <v>46081</v>
      </c>
      <c r="AQ324" s="87">
        <v>46082</v>
      </c>
      <c r="AR324" s="107"/>
      <c r="AS324" s="107"/>
      <c r="AT324" s="102" t="s">
        <v>2634</v>
      </c>
      <c r="AU324" s="108" t="s">
        <v>2635</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customHeight="1" thickBot="1">
      <c r="A325" s="112">
        <f t="shared" ref="A325:A388" si="5">ROW()-5</f>
        <v>320</v>
      </c>
      <c r="B325" s="113">
        <v>2023</v>
      </c>
      <c r="C325" s="112" t="s">
        <v>1495</v>
      </c>
      <c r="D325" s="112" t="s">
        <v>1010</v>
      </c>
      <c r="E325" s="114" t="s">
        <v>2259</v>
      </c>
      <c r="F325" s="112" t="s">
        <v>611</v>
      </c>
      <c r="G325" s="112" t="s">
        <v>1808</v>
      </c>
      <c r="H325" s="115" t="s">
        <v>1244</v>
      </c>
      <c r="I325" s="112" t="s">
        <v>603</v>
      </c>
      <c r="J325" s="112" t="s">
        <v>2258</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2476</v>
      </c>
      <c r="Z325" s="118"/>
      <c r="AA325" s="119"/>
      <c r="AB325" s="115" t="s">
        <v>1508</v>
      </c>
      <c r="AC325" s="115" t="s">
        <v>2287</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2177</v>
      </c>
      <c r="AU325" s="122" t="s">
        <v>2178</v>
      </c>
      <c r="AV325" s="120"/>
      <c r="AW325" s="119"/>
      <c r="AX325" s="194">
        <f>IFERROR(IF(PAC!$X325="F01 - CAPTAÇÃO DE RECURSO",1,""),"")</f>
        <v>1</v>
      </c>
      <c r="AY325" s="194" t="str">
        <f>IFERROR(IF(PAC!$X325="F02 - LICITAÇÃO",1,""),"")</f>
        <v/>
      </c>
      <c r="AZ325" s="123" t="str">
        <f>IFERROR(IF(PAC!$X$6:$X$581="F03 - EXECUÇÃO DO OBJETO",1,""),"")</f>
        <v/>
      </c>
      <c r="BA325" s="123" t="str">
        <f>IFERROR(IF(PAC!$X$6:$X$581="F04 - CONCLUÍDA",1,""),"")</f>
        <v/>
      </c>
      <c r="BB325" s="191">
        <f>IF(PAC!$R325&gt;0,0,PAC!$Q325)</f>
        <v>346500000</v>
      </c>
    </row>
    <row r="326" spans="1:54" s="1" customFormat="1" ht="336" customHeight="1" thickBot="1">
      <c r="A326" s="88">
        <f t="shared" si="5"/>
        <v>321</v>
      </c>
      <c r="B326" s="88">
        <v>2025</v>
      </c>
      <c r="C326" s="88" t="s">
        <v>1495</v>
      </c>
      <c r="D326" s="88" t="s">
        <v>1010</v>
      </c>
      <c r="E326" s="89" t="s">
        <v>2260</v>
      </c>
      <c r="F326" s="40" t="s">
        <v>611</v>
      </c>
      <c r="G326" s="40" t="s">
        <v>1410</v>
      </c>
      <c r="H326" s="88" t="s">
        <v>1244</v>
      </c>
      <c r="I326" s="88" t="s">
        <v>603</v>
      </c>
      <c r="J326" s="88" t="s">
        <v>2258</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2476</v>
      </c>
      <c r="Z326" s="87"/>
      <c r="AA326" s="105"/>
      <c r="AB326" s="40" t="s">
        <v>1508</v>
      </c>
      <c r="AC326" s="40" t="s">
        <v>2287</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2473</v>
      </c>
      <c r="Z327" s="142"/>
      <c r="AA327" s="143"/>
      <c r="AB327" s="137" t="s">
        <v>1463</v>
      </c>
      <c r="AC327" s="137" t="s">
        <v>2461</v>
      </c>
      <c r="AD327" s="144"/>
      <c r="AE327" s="145" t="s">
        <v>2422</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4">
        <f>IFERROR(IF(PAC!$X327="F01 - CAPTAÇÃO DE RECURSO",1,""),"")</f>
        <v>1</v>
      </c>
      <c r="AY327" s="194" t="str">
        <f>IFERROR(IF(PAC!$X327="F02 - LICITAÇÃO",1,""),"")</f>
        <v/>
      </c>
      <c r="AZ327" s="123" t="str">
        <f>IFERROR(IF(PAC!$X$6:$X$581="F03 - EXECUÇÃO DO OBJETO",1,""),"")</f>
        <v/>
      </c>
      <c r="BA327" s="123" t="str">
        <f>IFERROR(IF(PAC!$X$6:$X$581="F04 - CONCLUÍDA",1,""),"")</f>
        <v/>
      </c>
      <c r="BB327" s="191">
        <f>IF(PAC!$R327&gt;0,0,PAC!$Q327)</f>
        <v>800000</v>
      </c>
    </row>
    <row r="328" spans="1:54" s="1" customFormat="1" ht="336"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2472</v>
      </c>
      <c r="Z328" s="155"/>
      <c r="AA328" s="156"/>
      <c r="AB328" s="150" t="s">
        <v>1464</v>
      </c>
      <c r="AC328" s="150" t="s">
        <v>2387</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2366</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2424</v>
      </c>
      <c r="U329" s="140" t="s">
        <v>1570</v>
      </c>
      <c r="V329" s="140"/>
      <c r="W329" s="141">
        <v>9</v>
      </c>
      <c r="X329" s="141" t="s">
        <v>1418</v>
      </c>
      <c r="Y329" s="113" t="s">
        <v>2470</v>
      </c>
      <c r="Z329" s="142"/>
      <c r="AA329" s="143"/>
      <c r="AB329" s="137" t="s">
        <v>1472</v>
      </c>
      <c r="AC329" s="137" t="s">
        <v>2558</v>
      </c>
      <c r="AD329" s="144"/>
      <c r="AE329" s="136" t="s">
        <v>2423</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4" t="str">
        <f>IFERROR(IF(PAC!$X329="F01 - CAPTAÇÃO DE RECURSO",1,""),"")</f>
        <v/>
      </c>
      <c r="AY329" s="194">
        <f>IFERROR(IF(PAC!$X329="F02 - LICITAÇÃO",1,""),"")</f>
        <v>1</v>
      </c>
      <c r="AZ329" s="123" t="str">
        <f>IFERROR(IF(PAC!$X$6:$X$581="F03 - EXECUÇÃO DO OBJETO",1,""),"")</f>
        <v/>
      </c>
      <c r="BA329" s="123" t="str">
        <f>IFERROR(IF(PAC!$X$6:$X$581="F04 - CONCLUÍDA",1,""),"")</f>
        <v/>
      </c>
      <c r="BB329" s="191">
        <f>IF(PAC!$R329&gt;0,0,PAC!$Q329)</f>
        <v>0</v>
      </c>
    </row>
    <row r="330" spans="1:54" s="1" customFormat="1" ht="219"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2424</v>
      </c>
      <c r="U330" s="153" t="s">
        <v>1570</v>
      </c>
      <c r="V330" s="153"/>
      <c r="W330" s="154">
        <v>9</v>
      </c>
      <c r="X330" s="154" t="s">
        <v>1418</v>
      </c>
      <c r="Y330" s="101" t="s">
        <v>2470</v>
      </c>
      <c r="Z330" s="155"/>
      <c r="AA330" s="156"/>
      <c r="AB330" s="150" t="s">
        <v>1472</v>
      </c>
      <c r="AC330" s="150" t="s">
        <v>2558</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2425</v>
      </c>
      <c r="U331" s="140" t="s">
        <v>1570</v>
      </c>
      <c r="V331" s="140"/>
      <c r="W331" s="141">
        <v>9</v>
      </c>
      <c r="X331" s="141" t="s">
        <v>1418</v>
      </c>
      <c r="Y331" s="113" t="s">
        <v>2470</v>
      </c>
      <c r="Z331" s="142"/>
      <c r="AA331" s="143"/>
      <c r="AB331" s="137" t="s">
        <v>1472</v>
      </c>
      <c r="AC331" s="137" t="s">
        <v>2558</v>
      </c>
      <c r="AD331" s="144"/>
      <c r="AE331" s="136" t="s">
        <v>2559</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4" t="str">
        <f>IFERROR(IF(PAC!$X331="F01 - CAPTAÇÃO DE RECURSO",1,""),"")</f>
        <v/>
      </c>
      <c r="AY331" s="194">
        <f>IFERROR(IF(PAC!$X331="F02 - LICITAÇÃO",1,""),"")</f>
        <v>1</v>
      </c>
      <c r="AZ331" s="123" t="str">
        <f>IFERROR(IF(PAC!$X$6:$X$581="F03 - EXECUÇÃO DO OBJETO",1,""),"")</f>
        <v/>
      </c>
      <c r="BA331" s="123" t="str">
        <f>IFERROR(IF(PAC!$X$6:$X$581="F04 - CONCLUÍDA",1,""),"")</f>
        <v/>
      </c>
      <c r="BB331" s="191">
        <f>IF(PAC!$R331&gt;0,0,PAC!$Q331)</f>
        <v>0</v>
      </c>
    </row>
    <row r="332" spans="1:54" s="1" customFormat="1" ht="409.6"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2357</v>
      </c>
      <c r="U332" s="153" t="s">
        <v>1570</v>
      </c>
      <c r="V332" s="153"/>
      <c r="W332" s="154">
        <v>9</v>
      </c>
      <c r="X332" s="154" t="s">
        <v>1418</v>
      </c>
      <c r="Y332" s="101" t="s">
        <v>2470</v>
      </c>
      <c r="Z332" s="155"/>
      <c r="AA332" s="156"/>
      <c r="AB332" s="150" t="s">
        <v>1464</v>
      </c>
      <c r="AC332" s="150" t="s">
        <v>2558</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2345</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thickBot="1">
      <c r="A333" s="112">
        <f t="shared" si="5"/>
        <v>328</v>
      </c>
      <c r="B333" s="113">
        <v>2023</v>
      </c>
      <c r="C333" s="112" t="s">
        <v>605</v>
      </c>
      <c r="D333" s="112" t="s">
        <v>1010</v>
      </c>
      <c r="E333" s="114" t="s">
        <v>2439</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2328</v>
      </c>
      <c r="U333" s="116" t="s">
        <v>1570</v>
      </c>
      <c r="V333" s="116"/>
      <c r="W333" s="117">
        <v>28</v>
      </c>
      <c r="X333" s="117" t="s">
        <v>1694</v>
      </c>
      <c r="Y333" s="113" t="s">
        <v>2470</v>
      </c>
      <c r="Z333" s="118">
        <v>46902</v>
      </c>
      <c r="AA333" s="119"/>
      <c r="AB333" s="115" t="s">
        <v>1472</v>
      </c>
      <c r="AC333" s="160" t="s">
        <v>2637</v>
      </c>
      <c r="AD333" s="120"/>
      <c r="AE333" s="114" t="s">
        <v>2363</v>
      </c>
      <c r="AF333" s="115" t="s">
        <v>552</v>
      </c>
      <c r="AG333" s="115" t="s">
        <v>2430</v>
      </c>
      <c r="AH333" s="115" t="s">
        <v>977</v>
      </c>
      <c r="AI333" s="114"/>
      <c r="AJ333" s="118"/>
      <c r="AK333" s="115" t="s">
        <v>2359</v>
      </c>
      <c r="AL333" s="115"/>
      <c r="AM333" s="115"/>
      <c r="AN333" s="118">
        <v>45866</v>
      </c>
      <c r="AO333" s="118">
        <v>45930</v>
      </c>
      <c r="AP333" s="118">
        <v>45979</v>
      </c>
      <c r="AQ333" s="118">
        <v>46051</v>
      </c>
      <c r="AR333" s="121">
        <v>46902</v>
      </c>
      <c r="AS333" s="121">
        <v>46902</v>
      </c>
      <c r="AT333" s="114" t="s">
        <v>1421</v>
      </c>
      <c r="AU333" s="161" t="s">
        <v>1578</v>
      </c>
      <c r="AV333" s="120"/>
      <c r="AW333" s="119"/>
      <c r="AX333" s="194" t="str">
        <f>IFERROR(IF(PAC!$X333="F01 - CAPTAÇÃO DE RECURSO",1,""),"")</f>
        <v/>
      </c>
      <c r="AY333" s="194" t="str">
        <f>IFERROR(IF(PAC!$X333="F02 - LICITAÇÃO",1,""),"")</f>
        <v/>
      </c>
      <c r="AZ333" s="123">
        <f>IFERROR(IF(PAC!$X$6:$X$581="F03 - EXECUÇÃO DO OBJETO",1,""),"")</f>
        <v>1</v>
      </c>
      <c r="BA333" s="123" t="str">
        <f>IFERROR(IF(PAC!$X$6:$X$581="F04 - CONCLUÍDA",1,""),"")</f>
        <v/>
      </c>
      <c r="BB333" s="191">
        <f>IF(PAC!$R333&gt;0,0,PAC!$Q333)</f>
        <v>0</v>
      </c>
    </row>
    <row r="334" spans="1:54" s="1" customFormat="1" ht="192.75" customHeight="1" thickBot="1">
      <c r="A334" s="88">
        <f t="shared" si="5"/>
        <v>329</v>
      </c>
      <c r="B334" s="101">
        <v>2023</v>
      </c>
      <c r="C334" s="88" t="s">
        <v>605</v>
      </c>
      <c r="D334" s="88" t="s">
        <v>1010</v>
      </c>
      <c r="E334" s="102" t="s">
        <v>2440</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2321</v>
      </c>
      <c r="U334" s="103" t="s">
        <v>1570</v>
      </c>
      <c r="V334" s="103"/>
      <c r="W334" s="104">
        <v>20</v>
      </c>
      <c r="X334" s="104" t="s">
        <v>1694</v>
      </c>
      <c r="Y334" s="101" t="s">
        <v>2470</v>
      </c>
      <c r="Z334" s="87">
        <v>46822</v>
      </c>
      <c r="AA334" s="105"/>
      <c r="AB334" s="40" t="s">
        <v>1472</v>
      </c>
      <c r="AC334" s="162" t="s">
        <v>2416</v>
      </c>
      <c r="AD334" s="106"/>
      <c r="AE334" s="102" t="s">
        <v>2363</v>
      </c>
      <c r="AF334" s="40" t="s">
        <v>552</v>
      </c>
      <c r="AG334" s="40" t="s">
        <v>2362</v>
      </c>
      <c r="AH334" s="40" t="s">
        <v>977</v>
      </c>
      <c r="AI334" s="102"/>
      <c r="AJ334" s="87"/>
      <c r="AK334" s="40" t="s">
        <v>2360</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customHeight="1" thickBot="1">
      <c r="A335" s="112">
        <f t="shared" si="5"/>
        <v>330</v>
      </c>
      <c r="B335" s="113">
        <v>2023</v>
      </c>
      <c r="C335" s="112" t="s">
        <v>605</v>
      </c>
      <c r="D335" s="112" t="s">
        <v>1010</v>
      </c>
      <c r="E335" s="114" t="s">
        <v>2441</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2358</v>
      </c>
      <c r="U335" s="116" t="s">
        <v>1570</v>
      </c>
      <c r="V335" s="116"/>
      <c r="W335" s="117">
        <v>24</v>
      </c>
      <c r="X335" s="117" t="s">
        <v>1694</v>
      </c>
      <c r="Y335" s="113" t="s">
        <v>2470</v>
      </c>
      <c r="Z335" s="118">
        <v>46944</v>
      </c>
      <c r="AA335" s="119"/>
      <c r="AB335" s="115" t="s">
        <v>1472</v>
      </c>
      <c r="AC335" s="160" t="s">
        <v>2417</v>
      </c>
      <c r="AD335" s="120"/>
      <c r="AE335" s="114" t="s">
        <v>2363</v>
      </c>
      <c r="AF335" s="115" t="s">
        <v>552</v>
      </c>
      <c r="AG335" s="115" t="s">
        <v>2364</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4" t="str">
        <f>IFERROR(IF(PAC!$X335="F01 - CAPTAÇÃO DE RECURSO",1,""),"")</f>
        <v/>
      </c>
      <c r="AY335" s="194" t="str">
        <f>IFERROR(IF(PAC!$X335="F02 - LICITAÇÃO",1,""),"")</f>
        <v/>
      </c>
      <c r="AZ335" s="123">
        <f>IFERROR(IF(PAC!$X$6:$X$581="F03 - EXECUÇÃO DO OBJETO",1,""),"")</f>
        <v>1</v>
      </c>
      <c r="BA335" s="123" t="str">
        <f>IFERROR(IF(PAC!$X$6:$X$581="F04 - CONCLUÍDA",1,""),"")</f>
        <v/>
      </c>
      <c r="BB335" s="191">
        <f>IF(PAC!$R335&gt;0,0,PAC!$Q335)</f>
        <v>0</v>
      </c>
    </row>
    <row r="336" spans="1:54" s="1" customFormat="1" ht="105" customHeight="1" thickBot="1">
      <c r="A336" s="88">
        <f t="shared" si="5"/>
        <v>331</v>
      </c>
      <c r="B336" s="101">
        <v>2023</v>
      </c>
      <c r="C336" s="88" t="s">
        <v>605</v>
      </c>
      <c r="D336" s="88" t="s">
        <v>1010</v>
      </c>
      <c r="E336" s="102" t="s">
        <v>2442</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2328</v>
      </c>
      <c r="U336" s="103" t="s">
        <v>1570</v>
      </c>
      <c r="V336" s="103"/>
      <c r="W336" s="104">
        <v>28</v>
      </c>
      <c r="X336" s="104" t="s">
        <v>1694</v>
      </c>
      <c r="Y336" s="101" t="s">
        <v>2470</v>
      </c>
      <c r="Z336" s="87">
        <v>47067</v>
      </c>
      <c r="AA336" s="105"/>
      <c r="AB336" s="40" t="s">
        <v>1472</v>
      </c>
      <c r="AC336" s="162" t="s">
        <v>2426</v>
      </c>
      <c r="AD336" s="106"/>
      <c r="AE336" s="102" t="s">
        <v>2363</v>
      </c>
      <c r="AF336" s="40" t="s">
        <v>552</v>
      </c>
      <c r="AG336" s="40" t="s">
        <v>2365</v>
      </c>
      <c r="AH336" s="40" t="s">
        <v>977</v>
      </c>
      <c r="AI336" s="102"/>
      <c r="AJ336" s="87"/>
      <c r="AK336" s="40" t="s">
        <v>2361</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customHeight="1" thickBot="1">
      <c r="A337" s="112">
        <f t="shared" si="5"/>
        <v>332</v>
      </c>
      <c r="B337" s="113">
        <v>2023</v>
      </c>
      <c r="C337" s="112" t="s">
        <v>605</v>
      </c>
      <c r="D337" s="112" t="s">
        <v>1010</v>
      </c>
      <c r="E337" s="114" t="s">
        <v>2179</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2473</v>
      </c>
      <c r="Z337" s="118"/>
      <c r="AA337" s="119"/>
      <c r="AB337" s="115" t="s">
        <v>1485</v>
      </c>
      <c r="AC337" s="160" t="s">
        <v>2566</v>
      </c>
      <c r="AD337" s="120">
        <v>46295</v>
      </c>
      <c r="AE337" s="114" t="s">
        <v>1525</v>
      </c>
      <c r="AF337" s="115" t="s">
        <v>592</v>
      </c>
      <c r="AG337" s="115" t="s">
        <v>2147</v>
      </c>
      <c r="AH337" s="115"/>
      <c r="AI337" s="115"/>
      <c r="AJ337" s="118"/>
      <c r="AK337" s="115" t="s">
        <v>1065</v>
      </c>
      <c r="AL337" s="115"/>
      <c r="AM337" s="115"/>
      <c r="AN337" s="118"/>
      <c r="AO337" s="118"/>
      <c r="AP337" s="118"/>
      <c r="AQ337" s="118"/>
      <c r="AR337" s="121"/>
      <c r="AS337" s="121"/>
      <c r="AT337" s="114" t="s">
        <v>2565</v>
      </c>
      <c r="AU337" s="161" t="s">
        <v>1477</v>
      </c>
      <c r="AV337" s="120"/>
      <c r="AW337" s="119"/>
      <c r="AX337" s="194">
        <f>IFERROR(IF(PAC!$X337="F01 - CAPTAÇÃO DE RECURSO",1,""),"")</f>
        <v>1</v>
      </c>
      <c r="AY337" s="194" t="str">
        <f>IFERROR(IF(PAC!$X337="F02 - LICITAÇÃO",1,""),"")</f>
        <v/>
      </c>
      <c r="AZ337" s="123" t="str">
        <f>IFERROR(IF(PAC!$X$6:$X$581="F03 - EXECUÇÃO DO OBJETO",1,""),"")</f>
        <v/>
      </c>
      <c r="BA337" s="123" t="str">
        <f>IFERROR(IF(PAC!$X$6:$X$581="F04 - CONCLUÍDA",1,""),"")</f>
        <v/>
      </c>
      <c r="BB337" s="191">
        <f>IF(PAC!$R337&gt;0,0,PAC!$Q337)</f>
        <v>82389170.530000001</v>
      </c>
    </row>
    <row r="338" spans="1:54" s="1" customFormat="1" ht="409.5" customHeight="1" thickBot="1">
      <c r="A338" s="88">
        <f t="shared" si="5"/>
        <v>333</v>
      </c>
      <c r="B338" s="88">
        <v>2025</v>
      </c>
      <c r="C338" s="88" t="s">
        <v>605</v>
      </c>
      <c r="D338" s="88" t="s">
        <v>1010</v>
      </c>
      <c r="E338" s="102" t="s">
        <v>2180</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2476</v>
      </c>
      <c r="Z338" s="87"/>
      <c r="AA338" s="105"/>
      <c r="AB338" s="40" t="s">
        <v>1509</v>
      </c>
      <c r="AC338" s="40" t="s">
        <v>1941</v>
      </c>
      <c r="AD338" s="106">
        <v>46325</v>
      </c>
      <c r="AE338" s="102" t="s">
        <v>1316</v>
      </c>
      <c r="AF338" s="40" t="s">
        <v>839</v>
      </c>
      <c r="AG338" s="40"/>
      <c r="AH338" s="40"/>
      <c r="AI338" s="40"/>
      <c r="AJ338" s="87"/>
      <c r="AK338" s="40"/>
      <c r="AL338" s="40"/>
      <c r="AM338" s="40" t="s">
        <v>716</v>
      </c>
      <c r="AN338" s="87"/>
      <c r="AO338" s="87"/>
      <c r="AP338" s="87"/>
      <c r="AQ338" s="87"/>
      <c r="AR338" s="107"/>
      <c r="AS338" s="107"/>
      <c r="AT338" s="102" t="s">
        <v>2181</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customHeight="1" thickBot="1">
      <c r="A339" s="112">
        <f t="shared" si="5"/>
        <v>334</v>
      </c>
      <c r="B339" s="112">
        <v>2025</v>
      </c>
      <c r="C339" s="112" t="s">
        <v>605</v>
      </c>
      <c r="D339" s="112" t="s">
        <v>1010</v>
      </c>
      <c r="E339" s="114" t="s">
        <v>2182</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2476</v>
      </c>
      <c r="Z339" s="118"/>
      <c r="AA339" s="119"/>
      <c r="AB339" s="115" t="s">
        <v>1509</v>
      </c>
      <c r="AC339" s="115" t="s">
        <v>1941</v>
      </c>
      <c r="AD339" s="120">
        <v>46325</v>
      </c>
      <c r="AE339" s="114" t="s">
        <v>1316</v>
      </c>
      <c r="AF339" s="115" t="s">
        <v>840</v>
      </c>
      <c r="AG339" s="115"/>
      <c r="AH339" s="115"/>
      <c r="AI339" s="115"/>
      <c r="AJ339" s="118"/>
      <c r="AK339" s="115"/>
      <c r="AL339" s="115"/>
      <c r="AM339" s="115"/>
      <c r="AN339" s="118"/>
      <c r="AO339" s="118"/>
      <c r="AP339" s="118"/>
      <c r="AQ339" s="118"/>
      <c r="AR339" s="121"/>
      <c r="AS339" s="121"/>
      <c r="AT339" s="114" t="s">
        <v>2183</v>
      </c>
      <c r="AU339" s="122" t="s">
        <v>1394</v>
      </c>
      <c r="AV339" s="120"/>
      <c r="AW339" s="119" t="s">
        <v>1016</v>
      </c>
      <c r="AX339" s="194">
        <f>IFERROR(IF(PAC!$X339="F01 - CAPTAÇÃO DE RECURSO",1,""),"")</f>
        <v>1</v>
      </c>
      <c r="AY339" s="194" t="str">
        <f>IFERROR(IF(PAC!$X339="F02 - LICITAÇÃO",1,""),"")</f>
        <v/>
      </c>
      <c r="AZ339" s="123" t="str">
        <f>IFERROR(IF(PAC!$X$6:$X$581="F03 - EXECUÇÃO DO OBJETO",1,""),"")</f>
        <v/>
      </c>
      <c r="BA339" s="123" t="str">
        <f>IFERROR(IF(PAC!$X$6:$X$581="F04 - CONCLUÍDA",1,""),"")</f>
        <v/>
      </c>
      <c r="BB339" s="191">
        <f>IF(PAC!$R339&gt;0,0,PAC!$Q339)</f>
        <v>30687770.789999999</v>
      </c>
    </row>
    <row r="340" spans="1:54" s="1" customFormat="1" ht="273" customHeight="1" thickBot="1">
      <c r="A340" s="88">
        <f t="shared" si="5"/>
        <v>335</v>
      </c>
      <c r="B340" s="88">
        <v>2025</v>
      </c>
      <c r="C340" s="88" t="s">
        <v>605</v>
      </c>
      <c r="D340" s="88" t="s">
        <v>1010</v>
      </c>
      <c r="E340" s="102" t="s">
        <v>2184</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2476</v>
      </c>
      <c r="Z340" s="87"/>
      <c r="AA340" s="105"/>
      <c r="AB340" s="40" t="s">
        <v>1509</v>
      </c>
      <c r="AC340" s="40" t="s">
        <v>1941</v>
      </c>
      <c r="AD340" s="106">
        <v>46325</v>
      </c>
      <c r="AE340" s="102" t="s">
        <v>1316</v>
      </c>
      <c r="AF340" s="40" t="s">
        <v>841</v>
      </c>
      <c r="AG340" s="40"/>
      <c r="AH340" s="40"/>
      <c r="AI340" s="40"/>
      <c r="AJ340" s="87"/>
      <c r="AK340" s="40"/>
      <c r="AL340" s="40"/>
      <c r="AM340" s="40"/>
      <c r="AN340" s="87"/>
      <c r="AO340" s="87"/>
      <c r="AP340" s="87"/>
      <c r="AQ340" s="87"/>
      <c r="AR340" s="107"/>
      <c r="AS340" s="107"/>
      <c r="AT340" s="102" t="s">
        <v>2185</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customHeight="1" thickBot="1">
      <c r="A341" s="112">
        <f t="shared" si="5"/>
        <v>336</v>
      </c>
      <c r="B341" s="112">
        <v>2025</v>
      </c>
      <c r="C341" s="112" t="s">
        <v>605</v>
      </c>
      <c r="D341" s="112" t="s">
        <v>1010</v>
      </c>
      <c r="E341" s="114" t="s">
        <v>2186</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2476</v>
      </c>
      <c r="Z341" s="118"/>
      <c r="AA341" s="119"/>
      <c r="AB341" s="115" t="s">
        <v>1509</v>
      </c>
      <c r="AC341" s="115" t="s">
        <v>1941</v>
      </c>
      <c r="AD341" s="120">
        <v>46325</v>
      </c>
      <c r="AE341" s="114" t="s">
        <v>1316</v>
      </c>
      <c r="AF341" s="115" t="s">
        <v>842</v>
      </c>
      <c r="AG341" s="115"/>
      <c r="AH341" s="115"/>
      <c r="AI341" s="115"/>
      <c r="AJ341" s="118"/>
      <c r="AK341" s="115"/>
      <c r="AL341" s="115"/>
      <c r="AM341" s="115"/>
      <c r="AN341" s="118"/>
      <c r="AO341" s="118"/>
      <c r="AP341" s="118"/>
      <c r="AQ341" s="118"/>
      <c r="AR341" s="121"/>
      <c r="AS341" s="121"/>
      <c r="AT341" s="114" t="s">
        <v>1415</v>
      </c>
      <c r="AU341" s="122" t="s">
        <v>1413</v>
      </c>
      <c r="AV341" s="120"/>
      <c r="AW341" s="119" t="s">
        <v>1016</v>
      </c>
      <c r="AX341" s="194">
        <f>IFERROR(IF(PAC!$X341="F01 - CAPTAÇÃO DE RECURSO",1,""),"")</f>
        <v>1</v>
      </c>
      <c r="AY341" s="194" t="str">
        <f>IFERROR(IF(PAC!$X341="F02 - LICITAÇÃO",1,""),"")</f>
        <v/>
      </c>
      <c r="AZ341" s="123" t="str">
        <f>IFERROR(IF(PAC!$X$6:$X$581="F03 - EXECUÇÃO DO OBJETO",1,""),"")</f>
        <v/>
      </c>
      <c r="BA341" s="123" t="str">
        <f>IFERROR(IF(PAC!$X$6:$X$581="F04 - CONCLUÍDA",1,""),"")</f>
        <v/>
      </c>
      <c r="BB341" s="191">
        <f>IF(PAC!$R341&gt;0,0,PAC!$Q341)</f>
        <v>303900904.00999999</v>
      </c>
    </row>
    <row r="342" spans="1:54" s="1" customFormat="1" ht="211.5" customHeight="1" thickBot="1">
      <c r="A342" s="88">
        <f t="shared" si="5"/>
        <v>337</v>
      </c>
      <c r="B342" s="88">
        <v>2025</v>
      </c>
      <c r="C342" s="88" t="s">
        <v>605</v>
      </c>
      <c r="D342" s="88" t="s">
        <v>1010</v>
      </c>
      <c r="E342" s="102" t="s">
        <v>2187</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2476</v>
      </c>
      <c r="Z342" s="87"/>
      <c r="AA342" s="105"/>
      <c r="AB342" s="40" t="s">
        <v>1509</v>
      </c>
      <c r="AC342" s="40" t="s">
        <v>1941</v>
      </c>
      <c r="AD342" s="106">
        <v>46325</v>
      </c>
      <c r="AE342" s="102" t="s">
        <v>1316</v>
      </c>
      <c r="AF342" s="40" t="s">
        <v>843</v>
      </c>
      <c r="AG342" s="40"/>
      <c r="AH342" s="40"/>
      <c r="AI342" s="40"/>
      <c r="AJ342" s="87"/>
      <c r="AK342" s="40"/>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2486</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4">
        <f>IFERROR(IF(PAC!$X343="F01 - CAPTAÇÃO DE RECURSO",1,""),"")</f>
        <v>1</v>
      </c>
      <c r="AY343" s="194" t="str">
        <f>IFERROR(IF(PAC!$X343="F02 - LICITAÇÃO",1,""),"")</f>
        <v/>
      </c>
      <c r="AZ343" s="123" t="str">
        <f>IFERROR(IF(PAC!$X$6:$X$581="F03 - EXECUÇÃO DO OBJETO",1,""),"")</f>
        <v/>
      </c>
      <c r="BA343" s="123" t="str">
        <f>IFERROR(IF(PAC!$X$6:$X$581="F04 - CONCLUÍDA",1,""),"")</f>
        <v/>
      </c>
      <c r="BB343" s="191">
        <f>IF(PAC!$R343&gt;0,0,PAC!$Q343)</f>
        <v>0</v>
      </c>
    </row>
    <row r="344" spans="1:54" s="1" customFormat="1" ht="147" customHeight="1" thickBot="1">
      <c r="A344" s="88">
        <f t="shared" si="5"/>
        <v>339</v>
      </c>
      <c r="B344" s="88">
        <v>2025</v>
      </c>
      <c r="C344" s="88" t="s">
        <v>605</v>
      </c>
      <c r="D344" s="88" t="s">
        <v>1010</v>
      </c>
      <c r="E344" s="102" t="s">
        <v>2188</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2476</v>
      </c>
      <c r="Z344" s="87"/>
      <c r="AA344" s="105"/>
      <c r="AB344" s="40" t="s">
        <v>1509</v>
      </c>
      <c r="AC344" s="40" t="s">
        <v>1941</v>
      </c>
      <c r="AD344" s="106">
        <v>46325</v>
      </c>
      <c r="AE344" s="102" t="s">
        <v>1316</v>
      </c>
      <c r="AF344" s="40" t="s">
        <v>845</v>
      </c>
      <c r="AG344" s="40"/>
      <c r="AH344" s="40"/>
      <c r="AI344" s="40"/>
      <c r="AJ344" s="87"/>
      <c r="AK344" s="40"/>
      <c r="AL344" s="40"/>
      <c r="AM344" s="40" t="s">
        <v>716</v>
      </c>
      <c r="AN344" s="87"/>
      <c r="AO344" s="87"/>
      <c r="AP344" s="87"/>
      <c r="AQ344" s="87"/>
      <c r="AR344" s="107"/>
      <c r="AS344" s="107"/>
      <c r="AT344" s="128" t="s">
        <v>2189</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2486</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4">
        <f>IFERROR(IF(PAC!$X345="F01 - CAPTAÇÃO DE RECURSO",1,""),"")</f>
        <v>1</v>
      </c>
      <c r="AY345" s="194" t="str">
        <f>IFERROR(IF(PAC!$X345="F02 - LICITAÇÃO",1,""),"")</f>
        <v/>
      </c>
      <c r="AZ345" s="123" t="str">
        <f>IFERROR(IF(PAC!$X$6:$X$581="F03 - EXECUÇÃO DO OBJETO",1,""),"")</f>
        <v/>
      </c>
      <c r="BA345" s="123" t="str">
        <f>IFERROR(IF(PAC!$X$6:$X$581="F04 - CONCLUÍDA",1,""),"")</f>
        <v/>
      </c>
      <c r="BB345" s="191">
        <f>IF(PAC!$R345&gt;0,0,PAC!$Q345)</f>
        <v>0</v>
      </c>
    </row>
    <row r="346" spans="1:54" s="1" customFormat="1" ht="170.45" customHeight="1" thickBot="1">
      <c r="A346" s="88">
        <f t="shared" si="5"/>
        <v>341</v>
      </c>
      <c r="B346" s="88">
        <v>2025</v>
      </c>
      <c r="C346" s="88" t="s">
        <v>605</v>
      </c>
      <c r="D346" s="88" t="s">
        <v>1010</v>
      </c>
      <c r="E346" s="102" t="s">
        <v>2190</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2476</v>
      </c>
      <c r="Z346" s="87"/>
      <c r="AA346" s="105"/>
      <c r="AB346" s="40" t="s">
        <v>1509</v>
      </c>
      <c r="AC346" s="40" t="s">
        <v>1941</v>
      </c>
      <c r="AD346" s="106">
        <v>46325</v>
      </c>
      <c r="AE346" s="102" t="s">
        <v>1316</v>
      </c>
      <c r="AF346" s="40" t="s">
        <v>847</v>
      </c>
      <c r="AG346" s="40"/>
      <c r="AH346" s="40"/>
      <c r="AI346" s="40"/>
      <c r="AJ346" s="87"/>
      <c r="AK346" s="40"/>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2486</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4">
        <f>IFERROR(IF(PAC!$X347="F01 - CAPTAÇÃO DE RECURSO",1,""),"")</f>
        <v>1</v>
      </c>
      <c r="AY347" s="194" t="str">
        <f>IFERROR(IF(PAC!$X347="F02 - LICITAÇÃO",1,""),"")</f>
        <v/>
      </c>
      <c r="AZ347" s="123" t="str">
        <f>IFERROR(IF(PAC!$X$6:$X$581="F03 - EXECUÇÃO DO OBJETO",1,""),"")</f>
        <v/>
      </c>
      <c r="BA347" s="123" t="str">
        <f>IFERROR(IF(PAC!$X$6:$X$581="F04 - CONCLUÍDA",1,""),"")</f>
        <v/>
      </c>
      <c r="BB347" s="191">
        <f>IF(PAC!$R347&gt;0,0,PAC!$Q347)</f>
        <v>0</v>
      </c>
    </row>
    <row r="348" spans="1:54" s="1" customFormat="1" ht="84" customHeight="1" thickBot="1">
      <c r="A348" s="88">
        <f t="shared" si="5"/>
        <v>343</v>
      </c>
      <c r="B348" s="88">
        <v>2025</v>
      </c>
      <c r="C348" s="88" t="s">
        <v>605</v>
      </c>
      <c r="D348" s="88" t="s">
        <v>1010</v>
      </c>
      <c r="E348" s="102" t="s">
        <v>2191</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2476</v>
      </c>
      <c r="Z348" s="87"/>
      <c r="AA348" s="105"/>
      <c r="AB348" s="40" t="s">
        <v>1509</v>
      </c>
      <c r="AC348" s="40" t="s">
        <v>1941</v>
      </c>
      <c r="AD348" s="106">
        <v>46325</v>
      </c>
      <c r="AE348" s="102" t="s">
        <v>1316</v>
      </c>
      <c r="AF348" s="40" t="s">
        <v>889</v>
      </c>
      <c r="AG348" s="40"/>
      <c r="AH348" s="40"/>
      <c r="AI348" s="40"/>
      <c r="AJ348" s="87"/>
      <c r="AK348" s="40"/>
      <c r="AL348" s="40"/>
      <c r="AM348" s="40"/>
      <c r="AN348" s="87"/>
      <c r="AO348" s="87"/>
      <c r="AP348" s="87"/>
      <c r="AQ348" s="87"/>
      <c r="AR348" s="107"/>
      <c r="AS348" s="107"/>
      <c r="AT348" s="102" t="s">
        <v>2192</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customHeight="1" thickBot="1">
      <c r="A349" s="112">
        <f t="shared" si="5"/>
        <v>344</v>
      </c>
      <c r="B349" s="112">
        <v>2025</v>
      </c>
      <c r="C349" s="112" t="s">
        <v>605</v>
      </c>
      <c r="D349" s="112" t="s">
        <v>1010</v>
      </c>
      <c r="E349" s="114" t="s">
        <v>2193</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2476</v>
      </c>
      <c r="Z349" s="118"/>
      <c r="AA349" s="119"/>
      <c r="AB349" s="115" t="s">
        <v>1509</v>
      </c>
      <c r="AC349" s="115" t="s">
        <v>1941</v>
      </c>
      <c r="AD349" s="120">
        <v>46325</v>
      </c>
      <c r="AE349" s="114" t="s">
        <v>1316</v>
      </c>
      <c r="AF349" s="115" t="s">
        <v>910</v>
      </c>
      <c r="AG349" s="115"/>
      <c r="AH349" s="115"/>
      <c r="AI349" s="115"/>
      <c r="AJ349" s="118"/>
      <c r="AK349" s="115"/>
      <c r="AL349" s="115"/>
      <c r="AM349" s="115"/>
      <c r="AN349" s="118"/>
      <c r="AO349" s="118"/>
      <c r="AP349" s="118"/>
      <c r="AQ349" s="118"/>
      <c r="AR349" s="121"/>
      <c r="AS349" s="121"/>
      <c r="AT349" s="114" t="s">
        <v>1313</v>
      </c>
      <c r="AU349" s="122" t="s">
        <v>1394</v>
      </c>
      <c r="AV349" s="120"/>
      <c r="AW349" s="119"/>
      <c r="AX349" s="194">
        <f>IFERROR(IF(PAC!$X349="F01 - CAPTAÇÃO DE RECURSO",1,""),"")</f>
        <v>1</v>
      </c>
      <c r="AY349" s="194" t="str">
        <f>IFERROR(IF(PAC!$X349="F02 - LICITAÇÃO",1,""),"")</f>
        <v/>
      </c>
      <c r="AZ349" s="123" t="str">
        <f>IFERROR(IF(PAC!$X$6:$X$581="F03 - EXECUÇÃO DO OBJETO",1,""),"")</f>
        <v/>
      </c>
      <c r="BA349" s="123" t="str">
        <f>IFERROR(IF(PAC!$X$6:$X$581="F04 - CONCLUÍDA",1,""),"")</f>
        <v/>
      </c>
      <c r="BB349" s="191">
        <f>IF(PAC!$R349&gt;0,0,PAC!$Q349)</f>
        <v>17477437.449999999</v>
      </c>
    </row>
    <row r="350" spans="1:54" s="1" customFormat="1" ht="409.5"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2486</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customHeight="1" thickBot="1">
      <c r="A351" s="112">
        <f t="shared" si="5"/>
        <v>346</v>
      </c>
      <c r="B351" s="112">
        <v>2025</v>
      </c>
      <c r="C351" s="112" t="s">
        <v>605</v>
      </c>
      <c r="D351" s="112" t="s">
        <v>1010</v>
      </c>
      <c r="E351" s="114" t="s">
        <v>2194</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2476</v>
      </c>
      <c r="Z351" s="118"/>
      <c r="AA351" s="119"/>
      <c r="AB351" s="115" t="s">
        <v>1509</v>
      </c>
      <c r="AC351" s="115" t="s">
        <v>1941</v>
      </c>
      <c r="AD351" s="120">
        <v>46325</v>
      </c>
      <c r="AE351" s="114" t="s">
        <v>1316</v>
      </c>
      <c r="AF351" s="115" t="s">
        <v>941</v>
      </c>
      <c r="AG351" s="115"/>
      <c r="AH351" s="115"/>
      <c r="AI351" s="115"/>
      <c r="AJ351" s="118"/>
      <c r="AK351" s="115"/>
      <c r="AL351" s="115"/>
      <c r="AM351" s="115"/>
      <c r="AN351" s="118"/>
      <c r="AO351" s="118"/>
      <c r="AP351" s="118"/>
      <c r="AQ351" s="118"/>
      <c r="AR351" s="121"/>
      <c r="AS351" s="121"/>
      <c r="AT351" s="127" t="s">
        <v>2195</v>
      </c>
      <c r="AU351" s="122" t="s">
        <v>1394</v>
      </c>
      <c r="AV351" s="120"/>
      <c r="AW351" s="119" t="s">
        <v>707</v>
      </c>
      <c r="AX351" s="194">
        <f>IFERROR(IF(PAC!$X351="F01 - CAPTAÇÃO DE RECURSO",1,""),"")</f>
        <v>1</v>
      </c>
      <c r="AY351" s="194" t="str">
        <f>IFERROR(IF(PAC!$X351="F02 - LICITAÇÃO",1,""),"")</f>
        <v/>
      </c>
      <c r="AZ351" s="123" t="str">
        <f>IFERROR(IF(PAC!$X$6:$X$581="F03 - EXECUÇÃO DO OBJETO",1,""),"")</f>
        <v/>
      </c>
      <c r="BA351" s="123" t="str">
        <f>IFERROR(IF(PAC!$X$6:$X$581="F04 - CONCLUÍDA",1,""),"")</f>
        <v/>
      </c>
      <c r="BB351" s="191">
        <f>IF(PAC!$R351&gt;0,0,PAC!$Q351)</f>
        <v>51660454.010000005</v>
      </c>
    </row>
    <row r="352" spans="1:54" s="1" customFormat="1" ht="336" customHeight="1" thickBot="1">
      <c r="A352" s="88">
        <f t="shared" si="5"/>
        <v>347</v>
      </c>
      <c r="B352" s="88">
        <v>2025</v>
      </c>
      <c r="C352" s="88" t="s">
        <v>605</v>
      </c>
      <c r="D352" s="88" t="s">
        <v>1010</v>
      </c>
      <c r="E352" s="102" t="s">
        <v>2196</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2476</v>
      </c>
      <c r="Z352" s="87"/>
      <c r="AA352" s="105"/>
      <c r="AB352" s="40" t="s">
        <v>1509</v>
      </c>
      <c r="AC352" s="40" t="s">
        <v>1941</v>
      </c>
      <c r="AD352" s="106">
        <v>46325</v>
      </c>
      <c r="AE352" s="102" t="s">
        <v>1316</v>
      </c>
      <c r="AF352" s="40" t="s">
        <v>1000</v>
      </c>
      <c r="AG352" s="40"/>
      <c r="AH352" s="40"/>
      <c r="AI352" s="40"/>
      <c r="AJ352" s="87"/>
      <c r="AK352" s="40"/>
      <c r="AL352" s="40"/>
      <c r="AM352" s="40"/>
      <c r="AN352" s="87"/>
      <c r="AO352" s="87"/>
      <c r="AP352" s="87"/>
      <c r="AQ352" s="87"/>
      <c r="AR352" s="107"/>
      <c r="AS352" s="107"/>
      <c r="AT352" s="128" t="s">
        <v>2197</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customHeight="1" thickBot="1">
      <c r="A353" s="112">
        <f t="shared" si="5"/>
        <v>348</v>
      </c>
      <c r="B353" s="112">
        <v>2023</v>
      </c>
      <c r="C353" s="112" t="s">
        <v>605</v>
      </c>
      <c r="D353" s="112" t="s">
        <v>1010</v>
      </c>
      <c r="E353" s="130" t="s">
        <v>2662</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2473</v>
      </c>
      <c r="Z353" s="118">
        <v>46291</v>
      </c>
      <c r="AA353" s="119"/>
      <c r="AB353" s="115" t="s">
        <v>1463</v>
      </c>
      <c r="AC353" s="115" t="s">
        <v>2488</v>
      </c>
      <c r="AD353" s="120">
        <v>46291</v>
      </c>
      <c r="AE353" s="114" t="s">
        <v>2460</v>
      </c>
      <c r="AF353" s="115" t="s">
        <v>552</v>
      </c>
      <c r="AG353" s="115" t="s">
        <v>2459</v>
      </c>
      <c r="AH353" s="115"/>
      <c r="AI353" s="115"/>
      <c r="AJ353" s="118"/>
      <c r="AK353" s="115"/>
      <c r="AL353" s="115"/>
      <c r="AM353" s="115"/>
      <c r="AN353" s="118"/>
      <c r="AO353" s="118"/>
      <c r="AP353" s="118"/>
      <c r="AQ353" s="118"/>
      <c r="AR353" s="121"/>
      <c r="AS353" s="121"/>
      <c r="AT353" s="114"/>
      <c r="AU353" s="122"/>
      <c r="AV353" s="120"/>
      <c r="AW353" s="131"/>
      <c r="AX353" s="194">
        <f>IFERROR(IF(PAC!$X353="F01 - CAPTAÇÃO DE RECURSO",1,""),"")</f>
        <v>1</v>
      </c>
      <c r="AY353" s="194" t="str">
        <f>IFERROR(IF(PAC!$X353="F02 - LICITAÇÃO",1,""),"")</f>
        <v/>
      </c>
      <c r="AZ353" s="123" t="str">
        <f>IFERROR(IF(PAC!$X$6:$X$581="F03 - EXECUÇÃO DO OBJETO",1,""),"")</f>
        <v/>
      </c>
      <c r="BA353" s="123" t="str">
        <f>IFERROR(IF(PAC!$X$6:$X$581="F04 - CONCLUÍDA",1,""),"")</f>
        <v/>
      </c>
      <c r="BB353" s="191">
        <f>IF(PAC!$R353&gt;0,0,PAC!$Q353)</f>
        <v>8036837.5700000003</v>
      </c>
    </row>
    <row r="354" spans="1:54" s="1" customFormat="1" ht="239.25" customHeight="1" thickBot="1">
      <c r="A354" s="88">
        <f t="shared" si="5"/>
        <v>349</v>
      </c>
      <c r="B354" s="88">
        <v>2023</v>
      </c>
      <c r="C354" s="88" t="s">
        <v>605</v>
      </c>
      <c r="D354" s="88" t="s">
        <v>1010</v>
      </c>
      <c r="E354" s="89" t="s">
        <v>2556</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2472</v>
      </c>
      <c r="Z354" s="87">
        <v>46265</v>
      </c>
      <c r="AA354" s="105"/>
      <c r="AB354" s="40" t="s">
        <v>1464</v>
      </c>
      <c r="AC354" s="40" t="s">
        <v>2554</v>
      </c>
      <c r="AD354" s="106">
        <v>46265</v>
      </c>
      <c r="AE354" s="102" t="s">
        <v>2555</v>
      </c>
      <c r="AF354" s="40" t="s">
        <v>592</v>
      </c>
      <c r="AG354" s="40" t="s">
        <v>2147</v>
      </c>
      <c r="AH354" s="40"/>
      <c r="AI354" s="40"/>
      <c r="AJ354" s="87"/>
      <c r="AK354" s="40" t="s">
        <v>2557</v>
      </c>
      <c r="AL354" s="40"/>
      <c r="AM354" s="40"/>
      <c r="AN354" s="87">
        <v>46239</v>
      </c>
      <c r="AO354" s="87">
        <v>46265</v>
      </c>
      <c r="AP354" s="87"/>
      <c r="AQ354" s="87"/>
      <c r="AR354" s="107"/>
      <c r="AS354" s="107"/>
      <c r="AT354" s="102" t="s">
        <v>2579</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2482</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2198</v>
      </c>
      <c r="AV355" s="120"/>
      <c r="AW355" s="119" t="s">
        <v>481</v>
      </c>
      <c r="AX355" s="194" t="str">
        <f>IFERROR(IF(PAC!$X355="F01 - CAPTAÇÃO DE RECURSO",1,""),"")</f>
        <v/>
      </c>
      <c r="AY355" s="194" t="str">
        <f>IFERROR(IF(PAC!$X355="F02 - LICITAÇÃO",1,""),"")</f>
        <v/>
      </c>
      <c r="AZ355" s="123" t="str">
        <f>IFERROR(IF(PAC!$X$6:$X$581="F03 - EXECUÇÃO DO OBJETO",1,""),"")</f>
        <v/>
      </c>
      <c r="BA355" s="123">
        <f>IFERROR(IF(PAC!$X$6:$X$581="F04 - CONCLUÍDA",1,""),"")</f>
        <v>1</v>
      </c>
      <c r="BB355" s="191">
        <f>IF(PAC!$R355&gt;0,0,PAC!$Q355)</f>
        <v>0</v>
      </c>
    </row>
    <row r="356" spans="1:54" s="1" customFormat="1" ht="150"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2470</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2470</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2199</v>
      </c>
      <c r="AV357" s="120"/>
      <c r="AW357" s="119" t="s">
        <v>481</v>
      </c>
      <c r="AX357" s="194" t="str">
        <f>IFERROR(IF(PAC!$X357="F01 - CAPTAÇÃO DE RECURSO",1,""),"")</f>
        <v/>
      </c>
      <c r="AY357" s="194" t="str">
        <f>IFERROR(IF(PAC!$X357="F02 - LICITAÇÃO",1,""),"")</f>
        <v/>
      </c>
      <c r="AZ357" s="123">
        <f>IFERROR(IF(PAC!$X$6:$X$581="F03 - EXECUÇÃO DO OBJETO",1,""),"")</f>
        <v>1</v>
      </c>
      <c r="BA357" s="123" t="str">
        <f>IFERROR(IF(PAC!$X$6:$X$581="F04 - CONCLUÍDA",1,""),"")</f>
        <v/>
      </c>
      <c r="BB357" s="191">
        <f>IF(PAC!$R357&gt;0,0,PAC!$Q357)</f>
        <v>0</v>
      </c>
    </row>
    <row r="358" spans="1:54" s="1" customFormat="1" ht="408.95"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2034</v>
      </c>
      <c r="U358" s="103" t="s">
        <v>1564</v>
      </c>
      <c r="V358" s="103"/>
      <c r="W358" s="104">
        <v>12</v>
      </c>
      <c r="X358" s="104" t="s">
        <v>1418</v>
      </c>
      <c r="Y358" s="101" t="s">
        <v>2470</v>
      </c>
      <c r="Z358" s="87"/>
      <c r="AA358" s="105">
        <v>4</v>
      </c>
      <c r="AB358" s="40" t="s">
        <v>1469</v>
      </c>
      <c r="AC358" s="40" t="s">
        <v>2322</v>
      </c>
      <c r="AD358" s="106"/>
      <c r="AE358" s="164"/>
      <c r="AF358" s="40" t="s">
        <v>1845</v>
      </c>
      <c r="AG358" s="40" t="s">
        <v>1598</v>
      </c>
      <c r="AH358" s="40" t="s">
        <v>977</v>
      </c>
      <c r="AI358" s="40"/>
      <c r="AJ358" s="87"/>
      <c r="AK358" s="40" t="s">
        <v>2077</v>
      </c>
      <c r="AL358" s="40" t="s">
        <v>2081</v>
      </c>
      <c r="AM358" s="40" t="s">
        <v>715</v>
      </c>
      <c r="AN358" s="87">
        <v>46063</v>
      </c>
      <c r="AO358" s="87">
        <v>46120</v>
      </c>
      <c r="AP358" s="87">
        <v>46158</v>
      </c>
      <c r="AQ358" s="87">
        <v>46161</v>
      </c>
      <c r="AR358" s="107">
        <v>46526</v>
      </c>
      <c r="AS358" s="107">
        <v>46526</v>
      </c>
      <c r="AT358" s="102" t="s">
        <v>2323</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2301</v>
      </c>
      <c r="U359" s="116" t="s">
        <v>1570</v>
      </c>
      <c r="V359" s="116"/>
      <c r="W359" s="117">
        <v>10</v>
      </c>
      <c r="X359" s="117" t="s">
        <v>1418</v>
      </c>
      <c r="Y359" s="113" t="s">
        <v>2470</v>
      </c>
      <c r="Z359" s="118"/>
      <c r="AA359" s="119"/>
      <c r="AB359" s="115" t="s">
        <v>1469</v>
      </c>
      <c r="AC359" s="115" t="s">
        <v>2322</v>
      </c>
      <c r="AD359" s="120"/>
      <c r="AE359" s="165"/>
      <c r="AF359" s="115" t="s">
        <v>1846</v>
      </c>
      <c r="AG359" s="115" t="s">
        <v>1599</v>
      </c>
      <c r="AH359" s="115" t="s">
        <v>977</v>
      </c>
      <c r="AI359" s="115"/>
      <c r="AJ359" s="118"/>
      <c r="AK359" s="115" t="s">
        <v>2078</v>
      </c>
      <c r="AL359" s="115" t="s">
        <v>2082</v>
      </c>
      <c r="AM359" s="115" t="s">
        <v>716</v>
      </c>
      <c r="AN359" s="118">
        <v>46063</v>
      </c>
      <c r="AO359" s="118">
        <v>46171</v>
      </c>
      <c r="AP359" s="118">
        <v>46192</v>
      </c>
      <c r="AQ359" s="118">
        <v>46192</v>
      </c>
      <c r="AR359" s="121">
        <v>46557</v>
      </c>
      <c r="AS359" s="121">
        <v>46557</v>
      </c>
      <c r="AT359" s="114" t="s">
        <v>2324</v>
      </c>
      <c r="AU359" s="122"/>
      <c r="AV359" s="120"/>
      <c r="AW359" s="119" t="s">
        <v>481</v>
      </c>
      <c r="AX359" s="194" t="str">
        <f>IFERROR(IF(PAC!$X359="F01 - CAPTAÇÃO DE RECURSO",1,""),"")</f>
        <v/>
      </c>
      <c r="AY359" s="194">
        <f>IFERROR(IF(PAC!$X359="F02 - LICITAÇÃO",1,""),"")</f>
        <v>1</v>
      </c>
      <c r="AZ359" s="123" t="str">
        <f>IFERROR(IF(PAC!$X$6:$X$581="F03 - EXECUÇÃO DO OBJETO",1,""),"")</f>
        <v/>
      </c>
      <c r="BA359" s="123" t="str">
        <f>IFERROR(IF(PAC!$X$6:$X$581="F04 - CONCLUÍDA",1,""),"")</f>
        <v/>
      </c>
      <c r="BB359" s="191">
        <f>IF(PAC!$R359&gt;0,0,PAC!$Q359)</f>
        <v>0</v>
      </c>
    </row>
    <row r="360" spans="1:54" s="1" customFormat="1" ht="84.75"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2030</v>
      </c>
      <c r="U360" s="103" t="s">
        <v>1564</v>
      </c>
      <c r="V360" s="103"/>
      <c r="W360" s="104">
        <v>12</v>
      </c>
      <c r="X360" s="104" t="s">
        <v>1694</v>
      </c>
      <c r="Y360" s="101" t="s">
        <v>2470</v>
      </c>
      <c r="Z360" s="87">
        <v>46506</v>
      </c>
      <c r="AA360" s="105">
        <v>2.3199999999999998</v>
      </c>
      <c r="AB360" s="40" t="s">
        <v>1472</v>
      </c>
      <c r="AC360" s="40" t="s">
        <v>1492</v>
      </c>
      <c r="AD360" s="106"/>
      <c r="AE360" s="102"/>
      <c r="AF360" s="40" t="s">
        <v>1847</v>
      </c>
      <c r="AG360" s="40" t="s">
        <v>2091</v>
      </c>
      <c r="AH360" s="40" t="s">
        <v>977</v>
      </c>
      <c r="AI360" s="40"/>
      <c r="AJ360" s="87"/>
      <c r="AK360" s="40" t="s">
        <v>2032</v>
      </c>
      <c r="AL360" s="40" t="s">
        <v>2031</v>
      </c>
      <c r="AM360" s="40" t="s">
        <v>715</v>
      </c>
      <c r="AN360" s="87">
        <v>46063</v>
      </c>
      <c r="AO360" s="87">
        <v>46118</v>
      </c>
      <c r="AP360" s="87">
        <v>46141</v>
      </c>
      <c r="AQ360" s="87">
        <v>46141</v>
      </c>
      <c r="AR360" s="107">
        <v>46506</v>
      </c>
      <c r="AS360" s="107">
        <v>46506</v>
      </c>
      <c r="AT360" s="102" t="s">
        <v>2330</v>
      </c>
      <c r="AU360" s="40" t="s">
        <v>2331</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2470</v>
      </c>
      <c r="Z361" s="118">
        <v>46514</v>
      </c>
      <c r="AA361" s="119">
        <v>1.6</v>
      </c>
      <c r="AB361" s="115" t="s">
        <v>1472</v>
      </c>
      <c r="AC361" s="114" t="s">
        <v>2755</v>
      </c>
      <c r="AD361" s="120"/>
      <c r="AE361" s="114"/>
      <c r="AF361" s="115" t="s">
        <v>607</v>
      </c>
      <c r="AG361" s="115" t="s">
        <v>2575</v>
      </c>
      <c r="AH361" s="115" t="s">
        <v>977</v>
      </c>
      <c r="AI361" s="115"/>
      <c r="AJ361" s="118"/>
      <c r="AK361" s="115"/>
      <c r="AL361" s="115"/>
      <c r="AM361" s="115"/>
      <c r="AN361" s="118">
        <v>45887</v>
      </c>
      <c r="AO361" s="118">
        <v>45909</v>
      </c>
      <c r="AP361" s="118">
        <v>45965</v>
      </c>
      <c r="AQ361" s="118">
        <v>46119</v>
      </c>
      <c r="AR361" s="121">
        <v>46514</v>
      </c>
      <c r="AS361" s="121">
        <v>46514</v>
      </c>
      <c r="AT361" s="114" t="s">
        <v>2570</v>
      </c>
      <c r="AU361" s="127" t="s">
        <v>1402</v>
      </c>
      <c r="AV361" s="120"/>
      <c r="AW361" s="119"/>
      <c r="AX361" s="194" t="str">
        <f>IFERROR(IF(PAC!$X361="F01 - CAPTAÇÃO DE RECURSO",1,""),"")</f>
        <v/>
      </c>
      <c r="AY361" s="194" t="str">
        <f>IFERROR(IF(PAC!$X361="F02 - LICITAÇÃO",1,""),"")</f>
        <v/>
      </c>
      <c r="AZ361" s="123">
        <f>IFERROR(IF(PAC!$X$6:$X$581="F03 - EXECUÇÃO DO OBJETO",1,""),"")</f>
        <v>1</v>
      </c>
      <c r="BA361" s="123" t="str">
        <f>IFERROR(IF(PAC!$X$6:$X$581="F04 - CONCLUÍDA",1,""),"")</f>
        <v/>
      </c>
      <c r="BB361" s="191">
        <f>IF(PAC!$R361&gt;0,0,PAC!$Q361)</f>
        <v>0</v>
      </c>
    </row>
    <row r="362" spans="1:54" s="1" customFormat="1" ht="147.75"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2470</v>
      </c>
      <c r="Z362" s="87">
        <v>46514</v>
      </c>
      <c r="AA362" s="105">
        <v>1.76</v>
      </c>
      <c r="AB362" s="40" t="s">
        <v>1472</v>
      </c>
      <c r="AC362" s="102" t="s">
        <v>2755</v>
      </c>
      <c r="AD362" s="106"/>
      <c r="AE362" s="102"/>
      <c r="AF362" s="40" t="s">
        <v>607</v>
      </c>
      <c r="AG362" s="40" t="s">
        <v>2574</v>
      </c>
      <c r="AH362" s="40" t="s">
        <v>977</v>
      </c>
      <c r="AI362" s="40"/>
      <c r="AJ362" s="87"/>
      <c r="AK362" s="40"/>
      <c r="AL362" s="40"/>
      <c r="AM362" s="40"/>
      <c r="AN362" s="87">
        <v>45887</v>
      </c>
      <c r="AO362" s="87">
        <v>45909</v>
      </c>
      <c r="AP362" s="87">
        <v>45965</v>
      </c>
      <c r="AQ362" s="87">
        <v>46119</v>
      </c>
      <c r="AR362" s="107">
        <v>46514</v>
      </c>
      <c r="AS362" s="107">
        <v>46514</v>
      </c>
      <c r="AT362" s="102" t="s">
        <v>2571</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1419</v>
      </c>
      <c r="Y363" s="113" t="s">
        <v>2473</v>
      </c>
      <c r="Z363" s="118">
        <v>46262</v>
      </c>
      <c r="AA363" s="119"/>
      <c r="AB363" s="115" t="s">
        <v>1463</v>
      </c>
      <c r="AC363" s="114" t="s">
        <v>2638</v>
      </c>
      <c r="AD363" s="120">
        <v>46262</v>
      </c>
      <c r="AE363" s="114" t="s">
        <v>2051</v>
      </c>
      <c r="AF363" s="115" t="s">
        <v>609</v>
      </c>
      <c r="AG363" s="115" t="s">
        <v>2148</v>
      </c>
      <c r="AH363" s="115" t="s">
        <v>977</v>
      </c>
      <c r="AI363" s="115"/>
      <c r="AJ363" s="118"/>
      <c r="AK363" s="115"/>
      <c r="AL363" s="115"/>
      <c r="AM363" s="115"/>
      <c r="AN363" s="118"/>
      <c r="AO363" s="118"/>
      <c r="AP363" s="118"/>
      <c r="AQ363" s="118"/>
      <c r="AR363" s="121"/>
      <c r="AS363" s="121"/>
      <c r="AT363" s="114" t="s">
        <v>2572</v>
      </c>
      <c r="AU363" s="127" t="s">
        <v>1401</v>
      </c>
      <c r="AV363" s="120"/>
      <c r="AW363" s="119"/>
      <c r="AX363" s="194">
        <f>IFERROR(IF(PAC!$X363="F01 - CAPTAÇÃO DE RECURSO",1,""),"")</f>
        <v>1</v>
      </c>
      <c r="AY363" s="194" t="str">
        <f>IFERROR(IF(PAC!$X363="F02 - LICITAÇÃO",1,""),"")</f>
        <v/>
      </c>
      <c r="AZ363" s="123" t="str">
        <f>IFERROR(IF(PAC!$X$6:$X$581="F03 - EXECUÇÃO DO OBJETO",1,""),"")</f>
        <v/>
      </c>
      <c r="BA363" s="123" t="str">
        <f>IFERROR(IF(PAC!$X$6:$X$581="F04 - CONCLUÍDA",1,""),"")</f>
        <v/>
      </c>
      <c r="BB363" s="191">
        <f>IF(PAC!$R363&gt;0,0,PAC!$Q363)</f>
        <v>1000000</v>
      </c>
    </row>
    <row r="364" spans="1:54" s="1" customFormat="1" ht="147.75"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1419</v>
      </c>
      <c r="Y364" s="101" t="s">
        <v>2473</v>
      </c>
      <c r="Z364" s="87">
        <v>46262</v>
      </c>
      <c r="AA364" s="105"/>
      <c r="AB364" s="40" t="s">
        <v>1463</v>
      </c>
      <c r="AC364" s="102" t="s">
        <v>2639</v>
      </c>
      <c r="AD364" s="106">
        <v>46262</v>
      </c>
      <c r="AE364" s="102" t="s">
        <v>2051</v>
      </c>
      <c r="AF364" s="40" t="s">
        <v>608</v>
      </c>
      <c r="AG364" s="40" t="s">
        <v>2576</v>
      </c>
      <c r="AH364" s="40" t="s">
        <v>977</v>
      </c>
      <c r="AI364" s="40"/>
      <c r="AJ364" s="87"/>
      <c r="AK364" s="40"/>
      <c r="AL364" s="40"/>
      <c r="AM364" s="40"/>
      <c r="AN364" s="87"/>
      <c r="AO364" s="87"/>
      <c r="AP364" s="87"/>
      <c r="AQ364" s="87"/>
      <c r="AR364" s="107"/>
      <c r="AS364" s="107"/>
      <c r="AT364" s="102" t="s">
        <v>2573</v>
      </c>
      <c r="AU364" s="128" t="s">
        <v>1401</v>
      </c>
      <c r="AV364" s="106"/>
      <c r="AW364" s="105"/>
      <c r="AX364" s="109">
        <f>IFERROR(IF(PAC!$X364="F01 - CAPTAÇÃO DE RECURSO",1,""),"")</f>
        <v>1</v>
      </c>
      <c r="AY364" s="109" t="str">
        <f>IFERROR(IF(PAC!$X364="F02 - LICITAÇÃO",1,""),"")</f>
        <v/>
      </c>
      <c r="AZ364" s="110" t="str">
        <f>IFERROR(IF(PAC!$X$6:$X$581="F03 - EXECUÇÃO DO OBJETO",1,""),"")</f>
        <v/>
      </c>
      <c r="BA364" s="110" t="str">
        <f>IFERROR(IF(PAC!$X$6:$X$581="F04 - CONCLUÍDA",1,""),"")</f>
        <v/>
      </c>
      <c r="BB364" s="111">
        <f>IF(PAC!$R364&gt;0,0,PAC!$Q364)</f>
        <v>1000000</v>
      </c>
    </row>
    <row r="365" spans="1:54" s="1" customFormat="1" ht="147.75"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1419</v>
      </c>
      <c r="Y365" s="113" t="s">
        <v>2473</v>
      </c>
      <c r="Z365" s="118">
        <v>46262</v>
      </c>
      <c r="AA365" s="119"/>
      <c r="AB365" s="115" t="s">
        <v>1463</v>
      </c>
      <c r="AC365" s="114" t="s">
        <v>2639</v>
      </c>
      <c r="AD365" s="120">
        <v>46262</v>
      </c>
      <c r="AE365" s="114" t="s">
        <v>2051</v>
      </c>
      <c r="AF365" s="115" t="s">
        <v>608</v>
      </c>
      <c r="AG365" s="115" t="s">
        <v>2576</v>
      </c>
      <c r="AH365" s="115" t="s">
        <v>977</v>
      </c>
      <c r="AI365" s="115"/>
      <c r="AJ365" s="118"/>
      <c r="AK365" s="115"/>
      <c r="AL365" s="115"/>
      <c r="AM365" s="115"/>
      <c r="AN365" s="118"/>
      <c r="AO365" s="118"/>
      <c r="AP365" s="118"/>
      <c r="AQ365" s="118"/>
      <c r="AR365" s="121"/>
      <c r="AS365" s="121"/>
      <c r="AT365" s="114" t="s">
        <v>2573</v>
      </c>
      <c r="AU365" s="127" t="s">
        <v>1401</v>
      </c>
      <c r="AV365" s="120"/>
      <c r="AW365" s="119"/>
      <c r="AX365" s="194">
        <f>IFERROR(IF(PAC!$X365="F01 - CAPTAÇÃO DE RECURSO",1,""),"")</f>
        <v>1</v>
      </c>
      <c r="AY365" s="194" t="str">
        <f>IFERROR(IF(PAC!$X365="F02 - LICITAÇÃO",1,""),"")</f>
        <v/>
      </c>
      <c r="AZ365" s="123" t="str">
        <f>IFERROR(IF(PAC!$X$6:$X$581="F03 - EXECUÇÃO DO OBJETO",1,""),"")</f>
        <v/>
      </c>
      <c r="BA365" s="123" t="str">
        <f>IFERROR(IF(PAC!$X$6:$X$581="F04 - CONCLUÍDA",1,""),"")</f>
        <v/>
      </c>
      <c r="BB365" s="191">
        <f>IF(PAC!$R365&gt;0,0,PAC!$Q365)</f>
        <v>3000000</v>
      </c>
    </row>
    <row r="366" spans="1:54" s="1" customFormat="1" ht="147.75"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1419</v>
      </c>
      <c r="Y366" s="101" t="s">
        <v>2473</v>
      </c>
      <c r="Z366" s="87">
        <v>46262</v>
      </c>
      <c r="AA366" s="105"/>
      <c r="AB366" s="40" t="s">
        <v>1463</v>
      </c>
      <c r="AC366" s="102" t="s">
        <v>2639</v>
      </c>
      <c r="AD366" s="106">
        <v>46262</v>
      </c>
      <c r="AE366" s="102" t="s">
        <v>2051</v>
      </c>
      <c r="AF366" s="40" t="s">
        <v>608</v>
      </c>
      <c r="AG366" s="40" t="s">
        <v>2576</v>
      </c>
      <c r="AH366" s="40" t="s">
        <v>977</v>
      </c>
      <c r="AI366" s="40"/>
      <c r="AJ366" s="87"/>
      <c r="AK366" s="40"/>
      <c r="AL366" s="40"/>
      <c r="AM366" s="40"/>
      <c r="AN366" s="87"/>
      <c r="AO366" s="87"/>
      <c r="AP366" s="87"/>
      <c r="AQ366" s="87"/>
      <c r="AR366" s="107"/>
      <c r="AS366" s="107"/>
      <c r="AT366" s="102" t="s">
        <v>2573</v>
      </c>
      <c r="AU366" s="128" t="s">
        <v>1401</v>
      </c>
      <c r="AV366" s="106"/>
      <c r="AW366" s="105"/>
      <c r="AX366" s="109">
        <f>IFERROR(IF(PAC!$X366="F01 - CAPTAÇÃO DE RECURSO",1,""),"")</f>
        <v>1</v>
      </c>
      <c r="AY366" s="109" t="str">
        <f>IFERROR(IF(PAC!$X366="F02 - LICITAÇÃO",1,""),"")</f>
        <v/>
      </c>
      <c r="AZ366" s="110" t="str">
        <f>IFERROR(IF(PAC!$X$6:$X$581="F03 - EXECUÇÃO DO OBJETO",1,""),"")</f>
        <v/>
      </c>
      <c r="BA366" s="110" t="str">
        <f>IFERROR(IF(PAC!$X$6:$X$581="F04 - CONCLUÍDA",1,""),"")</f>
        <v/>
      </c>
      <c r="BB366" s="111">
        <f>IF(PAC!$R366&gt;0,0,PAC!$Q366)</f>
        <v>1270000</v>
      </c>
    </row>
    <row r="367" spans="1:54" s="1" customFormat="1" ht="147.75"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1419</v>
      </c>
      <c r="Y367" s="113" t="s">
        <v>2473</v>
      </c>
      <c r="Z367" s="118">
        <v>46262</v>
      </c>
      <c r="AA367" s="119"/>
      <c r="AB367" s="115" t="s">
        <v>1463</v>
      </c>
      <c r="AC367" s="114" t="s">
        <v>2639</v>
      </c>
      <c r="AD367" s="120">
        <v>46262</v>
      </c>
      <c r="AE367" s="114" t="s">
        <v>2051</v>
      </c>
      <c r="AF367" s="115" t="s">
        <v>608</v>
      </c>
      <c r="AG367" s="115" t="s">
        <v>2576</v>
      </c>
      <c r="AH367" s="115" t="s">
        <v>977</v>
      </c>
      <c r="AI367" s="115"/>
      <c r="AJ367" s="118"/>
      <c r="AK367" s="115"/>
      <c r="AL367" s="115"/>
      <c r="AM367" s="115"/>
      <c r="AN367" s="118"/>
      <c r="AO367" s="118"/>
      <c r="AP367" s="118"/>
      <c r="AQ367" s="118"/>
      <c r="AR367" s="121"/>
      <c r="AS367" s="121"/>
      <c r="AT367" s="114" t="s">
        <v>2573</v>
      </c>
      <c r="AU367" s="127" t="s">
        <v>1401</v>
      </c>
      <c r="AV367" s="120"/>
      <c r="AW367" s="119"/>
      <c r="AX367" s="194">
        <f>IFERROR(IF(PAC!$X367="F01 - CAPTAÇÃO DE RECURSO",1,""),"")</f>
        <v>1</v>
      </c>
      <c r="AY367" s="194" t="str">
        <f>IFERROR(IF(PAC!$X367="F02 - LICITAÇÃO",1,""),"")</f>
        <v/>
      </c>
      <c r="AZ367" s="123" t="str">
        <f>IFERROR(IF(PAC!$X$6:$X$581="F03 - EXECUÇÃO DO OBJETO",1,""),"")</f>
        <v/>
      </c>
      <c r="BA367" s="123" t="str">
        <f>IFERROR(IF(PAC!$X$6:$X$581="F04 - CONCLUÍDA",1,""),"")</f>
        <v/>
      </c>
      <c r="BB367" s="191">
        <f>IF(PAC!$R367&gt;0,0,PAC!$Q367)</f>
        <v>1950000</v>
      </c>
    </row>
    <row r="368" spans="1:54" s="1" customFormat="1" ht="249.95" customHeight="1" thickBot="1">
      <c r="A368" s="88">
        <f t="shared" si="5"/>
        <v>363</v>
      </c>
      <c r="B368" s="88">
        <v>2025</v>
      </c>
      <c r="C368" s="88" t="s">
        <v>610</v>
      </c>
      <c r="D368" s="88" t="s">
        <v>1010</v>
      </c>
      <c r="E368" s="89" t="s">
        <v>2289</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2473</v>
      </c>
      <c r="Z368" s="87"/>
      <c r="AA368" s="105"/>
      <c r="AB368" s="40"/>
      <c r="AC368" s="40" t="s">
        <v>2463</v>
      </c>
      <c r="AD368" s="106"/>
      <c r="AE368" s="102"/>
      <c r="AF368" s="40" t="s">
        <v>2290</v>
      </c>
      <c r="AG368" s="40" t="s">
        <v>2577</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2473</v>
      </c>
      <c r="Z369" s="118">
        <v>46263</v>
      </c>
      <c r="AA369" s="112"/>
      <c r="AB369" s="115" t="s">
        <v>1459</v>
      </c>
      <c r="AC369" s="166" t="s">
        <v>2243</v>
      </c>
      <c r="AD369" s="120"/>
      <c r="AE369" s="166" t="s">
        <v>2760</v>
      </c>
      <c r="AF369" s="112" t="s">
        <v>2200</v>
      </c>
      <c r="AG369" s="112" t="s">
        <v>1002</v>
      </c>
      <c r="AH369" s="115" t="s">
        <v>977</v>
      </c>
      <c r="AI369" s="167" t="s">
        <v>1506</v>
      </c>
      <c r="AJ369" s="120">
        <v>46263</v>
      </c>
      <c r="AK369" s="115" t="s">
        <v>1699</v>
      </c>
      <c r="AL369" s="115"/>
      <c r="AM369" s="112"/>
      <c r="AN369" s="118"/>
      <c r="AO369" s="118"/>
      <c r="AP369" s="118"/>
      <c r="AQ369" s="118"/>
      <c r="AR369" s="121"/>
      <c r="AS369" s="121"/>
      <c r="AT369" s="112" t="s">
        <v>2201</v>
      </c>
      <c r="AU369" s="112" t="s">
        <v>1412</v>
      </c>
      <c r="AV369" s="120"/>
      <c r="AW369" s="112"/>
      <c r="AX369" s="194">
        <f>IFERROR(IF(PAC!$X369="F01 - CAPTAÇÃO DE RECURSO",1,""),"")</f>
        <v>1</v>
      </c>
      <c r="AY369" s="194" t="str">
        <f>IFERROR(IF(PAC!$X369="F02 - LICITAÇÃO",1,""),"")</f>
        <v/>
      </c>
      <c r="AZ369" s="123" t="str">
        <f>IFERROR(IF(PAC!$X$6:$X$581="F03 - EXECUÇÃO DO OBJETO",1,""),"")</f>
        <v/>
      </c>
      <c r="BA369" s="123" t="str">
        <f>IFERROR(IF(PAC!$X$6:$X$581="F04 - CONCLUÍDA",1,""),"")</f>
        <v/>
      </c>
      <c r="BB369" s="191">
        <f>IF(PAC!$R369&gt;0,0,PAC!$Q369)</f>
        <v>2730026.2</v>
      </c>
    </row>
    <row r="370" spans="1:54" s="1" customFormat="1" ht="249.95"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2473</v>
      </c>
      <c r="Z370" s="87">
        <v>46263</v>
      </c>
      <c r="AA370" s="106"/>
      <c r="AB370" s="106" t="s">
        <v>1459</v>
      </c>
      <c r="AC370" s="168" t="s">
        <v>2243</v>
      </c>
      <c r="AD370" s="106"/>
      <c r="AE370" s="169" t="s">
        <v>2759</v>
      </c>
      <c r="AF370" s="106" t="s">
        <v>662</v>
      </c>
      <c r="AG370" s="106" t="s">
        <v>1001</v>
      </c>
      <c r="AH370" s="40" t="s">
        <v>977</v>
      </c>
      <c r="AI370" s="169" t="s">
        <v>1515</v>
      </c>
      <c r="AJ370" s="106">
        <v>46263</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2486</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4">
        <f>IFERROR(IF(PAC!$X371="F01 - CAPTAÇÃO DE RECURSO",1,""),"")</f>
        <v>1</v>
      </c>
      <c r="AY371" s="194" t="str">
        <f>IFERROR(IF(PAC!$X371="F02 - LICITAÇÃO",1,""),"")</f>
        <v/>
      </c>
      <c r="AZ371" s="123" t="str">
        <f>IFERROR(IF(PAC!$X$6:$X$581="F03 - EXECUÇÃO DO OBJETO",1,""),"")</f>
        <v/>
      </c>
      <c r="BA371" s="123" t="str">
        <f>IFERROR(IF(PAC!$X$6:$X$581="F04 - CONCLUÍDA",1,""),"")</f>
        <v/>
      </c>
      <c r="BB371" s="191">
        <f>IF(PAC!$R371&gt;0,0,PAC!$Q371)</f>
        <v>0</v>
      </c>
    </row>
    <row r="372" spans="1:54" s="1" customFormat="1" ht="249.95"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2486</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2472</v>
      </c>
      <c r="Z373" s="118"/>
      <c r="AA373" s="119">
        <v>0</v>
      </c>
      <c r="AB373" s="115" t="s">
        <v>1471</v>
      </c>
      <c r="AC373" s="122" t="s">
        <v>2542</v>
      </c>
      <c r="AD373" s="120"/>
      <c r="AE373" s="127" t="s">
        <v>1711</v>
      </c>
      <c r="AF373" s="115" t="s">
        <v>547</v>
      </c>
      <c r="AG373" s="115" t="s">
        <v>2156</v>
      </c>
      <c r="AH373" s="115"/>
      <c r="AI373" s="115"/>
      <c r="AJ373" s="118"/>
      <c r="AK373" s="115"/>
      <c r="AL373" s="115"/>
      <c r="AM373" s="115"/>
      <c r="AN373" s="118">
        <v>45840</v>
      </c>
      <c r="AO373" s="118">
        <v>46007</v>
      </c>
      <c r="AP373" s="118">
        <v>46086</v>
      </c>
      <c r="AQ373" s="118"/>
      <c r="AR373" s="121"/>
      <c r="AS373" s="121"/>
      <c r="AT373" s="125" t="s">
        <v>2541</v>
      </c>
      <c r="AU373" s="122" t="s">
        <v>1886</v>
      </c>
      <c r="AV373" s="120"/>
      <c r="AW373" s="119" t="s">
        <v>1651</v>
      </c>
      <c r="AX373" s="194" t="str">
        <f>IFERROR(IF(PAC!$X373="F01 - CAPTAÇÃO DE RECURSO",1,""),"")</f>
        <v/>
      </c>
      <c r="AY373" s="194">
        <f>IFERROR(IF(PAC!$X373="F02 - LICITAÇÃO",1,""),"")</f>
        <v>1</v>
      </c>
      <c r="AZ373" s="123" t="str">
        <f>IFERROR(IF(PAC!$X$6:$X$581="F03 - EXECUÇÃO DO OBJETO",1,""),"")</f>
        <v/>
      </c>
      <c r="BA373" s="123" t="str">
        <f>IFERROR(IF(PAC!$X$6:$X$581="F04 - CONCLUÍDA",1,""),"")</f>
        <v/>
      </c>
      <c r="BB373" s="191">
        <f>IF(PAC!$R373&gt;0,0,PAC!$Q373)</f>
        <v>0</v>
      </c>
    </row>
    <row r="374" spans="1:54" s="1" customFormat="1" ht="249.95"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2472</v>
      </c>
      <c r="Z374" s="87"/>
      <c r="AA374" s="105"/>
      <c r="AB374" s="40" t="s">
        <v>1464</v>
      </c>
      <c r="AC374" s="108" t="s">
        <v>2659</v>
      </c>
      <c r="AD374" s="106">
        <v>46321</v>
      </c>
      <c r="AE374" s="128" t="s">
        <v>2660</v>
      </c>
      <c r="AF374" s="40" t="s">
        <v>548</v>
      </c>
      <c r="AG374" s="40" t="s">
        <v>2155</v>
      </c>
      <c r="AH374" s="40"/>
      <c r="AI374" s="40"/>
      <c r="AJ374" s="87"/>
      <c r="AK374" s="40"/>
      <c r="AL374" s="40"/>
      <c r="AM374" s="40"/>
      <c r="AN374" s="87">
        <v>46247</v>
      </c>
      <c r="AO374" s="87">
        <v>46321</v>
      </c>
      <c r="AP374" s="87"/>
      <c r="AQ374" s="87"/>
      <c r="AR374" s="107"/>
      <c r="AS374" s="107"/>
      <c r="AT374" s="124" t="s">
        <v>2202</v>
      </c>
      <c r="AU374" s="128" t="s">
        <v>2661</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2132</v>
      </c>
      <c r="U375" s="116" t="s">
        <v>1573</v>
      </c>
      <c r="V375" s="116" t="s">
        <v>1764</v>
      </c>
      <c r="W375" s="117"/>
      <c r="X375" s="117" t="s">
        <v>1694</v>
      </c>
      <c r="Y375" s="113" t="s">
        <v>2470</v>
      </c>
      <c r="Z375" s="121">
        <v>47310</v>
      </c>
      <c r="AA375" s="119"/>
      <c r="AB375" s="115" t="s">
        <v>1472</v>
      </c>
      <c r="AC375" s="122" t="s">
        <v>2544</v>
      </c>
      <c r="AD375" s="120"/>
      <c r="AE375" s="127" t="s">
        <v>1472</v>
      </c>
      <c r="AF375" s="115" t="s">
        <v>549</v>
      </c>
      <c r="AG375" s="115" t="s">
        <v>2154</v>
      </c>
      <c r="AH375" s="115"/>
      <c r="AI375" s="115"/>
      <c r="AJ375" s="118"/>
      <c r="AK375" s="115"/>
      <c r="AL375" s="115"/>
      <c r="AM375" s="115"/>
      <c r="AN375" s="118">
        <v>46027</v>
      </c>
      <c r="AO375" s="118">
        <v>46100</v>
      </c>
      <c r="AP375" s="118">
        <v>46164</v>
      </c>
      <c r="AQ375" s="118">
        <v>46230</v>
      </c>
      <c r="AR375" s="121">
        <v>47310</v>
      </c>
      <c r="AS375" s="121">
        <v>47310</v>
      </c>
      <c r="AT375" s="125" t="s">
        <v>2543</v>
      </c>
      <c r="AU375" s="127" t="s">
        <v>2379</v>
      </c>
      <c r="AV375" s="120"/>
      <c r="AW375" s="119" t="s">
        <v>1651</v>
      </c>
      <c r="AX375" s="194" t="str">
        <f>IFERROR(IF(PAC!$X375="F01 - CAPTAÇÃO DE RECURSO",1,""),"")</f>
        <v/>
      </c>
      <c r="AY375" s="194" t="str">
        <f>IFERROR(IF(PAC!$X375="F02 - LICITAÇÃO",1,""),"")</f>
        <v/>
      </c>
      <c r="AZ375" s="123">
        <f>IFERROR(IF(PAC!$X$6:$X$581="F03 - EXECUÇÃO DO OBJETO",1,""),"")</f>
        <v>1</v>
      </c>
      <c r="BA375" s="123" t="str">
        <f>IFERROR(IF(PAC!$X$6:$X$581="F04 - CONCLUÍDA",1,""),"")</f>
        <v/>
      </c>
      <c r="BB375" s="191">
        <f>IF(PAC!$R375&gt;0,0,PAC!$Q375)</f>
        <v>0</v>
      </c>
    </row>
    <row r="376" spans="1:54" s="1" customFormat="1" ht="249.95"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2376</v>
      </c>
      <c r="U376" s="103" t="s">
        <v>1573</v>
      </c>
      <c r="V376" s="103" t="s">
        <v>1764</v>
      </c>
      <c r="W376" s="104"/>
      <c r="X376" s="104" t="s">
        <v>1694</v>
      </c>
      <c r="Y376" s="101" t="s">
        <v>2470</v>
      </c>
      <c r="Z376" s="107">
        <v>47254</v>
      </c>
      <c r="AA376" s="105">
        <v>0</v>
      </c>
      <c r="AB376" s="40" t="s">
        <v>1472</v>
      </c>
      <c r="AC376" s="108" t="s">
        <v>2266</v>
      </c>
      <c r="AD376" s="107">
        <v>47254</v>
      </c>
      <c r="AE376" s="128" t="s">
        <v>1472</v>
      </c>
      <c r="AF376" s="40" t="s">
        <v>550</v>
      </c>
      <c r="AG376" s="40" t="s">
        <v>2153</v>
      </c>
      <c r="AH376" s="40"/>
      <c r="AI376" s="40"/>
      <c r="AJ376" s="87"/>
      <c r="AK376" s="40"/>
      <c r="AL376" s="40"/>
      <c r="AM376" s="40"/>
      <c r="AN376" s="87">
        <v>45835</v>
      </c>
      <c r="AO376" s="87">
        <v>45908</v>
      </c>
      <c r="AP376" s="87">
        <v>46007</v>
      </c>
      <c r="AQ376" s="87">
        <v>46174</v>
      </c>
      <c r="AR376" s="107">
        <v>47254</v>
      </c>
      <c r="AS376" s="107">
        <v>47254</v>
      </c>
      <c r="AT376" s="124" t="s">
        <v>2375</v>
      </c>
      <c r="AU376" s="40" t="s">
        <v>2374</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2472</v>
      </c>
      <c r="Z377" s="118"/>
      <c r="AA377" s="119">
        <v>0</v>
      </c>
      <c r="AB377" s="115" t="s">
        <v>1471</v>
      </c>
      <c r="AC377" s="122" t="s">
        <v>2377</v>
      </c>
      <c r="AD377" s="120"/>
      <c r="AE377" s="127" t="s">
        <v>1711</v>
      </c>
      <c r="AF377" s="115" t="s">
        <v>551</v>
      </c>
      <c r="AG377" s="115" t="s">
        <v>2152</v>
      </c>
      <c r="AH377" s="115"/>
      <c r="AI377" s="115"/>
      <c r="AJ377" s="118"/>
      <c r="AK377" s="115"/>
      <c r="AL377" s="115"/>
      <c r="AM377" s="115"/>
      <c r="AN377" s="118">
        <v>45931</v>
      </c>
      <c r="AO377" s="118">
        <v>46049</v>
      </c>
      <c r="AP377" s="118">
        <v>46092</v>
      </c>
      <c r="AQ377" s="118"/>
      <c r="AR377" s="121"/>
      <c r="AS377" s="121"/>
      <c r="AT377" s="125" t="s">
        <v>2497</v>
      </c>
      <c r="AU377" s="122" t="s">
        <v>1891</v>
      </c>
      <c r="AV377" s="120"/>
      <c r="AW377" s="119" t="s">
        <v>1651</v>
      </c>
      <c r="AX377" s="194" t="str">
        <f>IFERROR(IF(PAC!$X377="F01 - CAPTAÇÃO DE RECURSO",1,""),"")</f>
        <v/>
      </c>
      <c r="AY377" s="194">
        <f>IFERROR(IF(PAC!$X377="F02 - LICITAÇÃO",1,""),"")</f>
        <v>1</v>
      </c>
      <c r="AZ377" s="123" t="str">
        <f>IFERROR(IF(PAC!$X$6:$X$581="F03 - EXECUÇÃO DO OBJETO",1,""),"")</f>
        <v/>
      </c>
      <c r="BA377" s="123" t="str">
        <f>IFERROR(IF(PAC!$X$6:$X$581="F04 - CONCLUÍDA",1,""),"")</f>
        <v/>
      </c>
      <c r="BB377" s="191">
        <f>IF(PAC!$R377&gt;0,0,PAC!$Q377)</f>
        <v>0</v>
      </c>
    </row>
    <row r="378" spans="1:54" s="1" customFormat="1" ht="249.95"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2472</v>
      </c>
      <c r="Z378" s="87"/>
      <c r="AA378" s="105">
        <v>0</v>
      </c>
      <c r="AB378" s="40" t="s">
        <v>1468</v>
      </c>
      <c r="AC378" s="108" t="s">
        <v>2267</v>
      </c>
      <c r="AD378" s="106"/>
      <c r="AE378" s="108" t="s">
        <v>1930</v>
      </c>
      <c r="AF378" s="40" t="s">
        <v>580</v>
      </c>
      <c r="AG378" s="40" t="s">
        <v>2609</v>
      </c>
      <c r="AH378" s="40" t="s">
        <v>977</v>
      </c>
      <c r="AI378" s="40"/>
      <c r="AJ378" s="87">
        <v>46669</v>
      </c>
      <c r="AK378" s="40"/>
      <c r="AL378" s="40"/>
      <c r="AM378" s="40"/>
      <c r="AN378" s="87">
        <v>45940</v>
      </c>
      <c r="AO378" s="87">
        <v>46013</v>
      </c>
      <c r="AP378" s="87">
        <v>46111</v>
      </c>
      <c r="AQ378" s="87"/>
      <c r="AR378" s="107"/>
      <c r="AS378" s="107"/>
      <c r="AT378" s="108" t="s">
        <v>2378</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2470</v>
      </c>
      <c r="Z379" s="121">
        <v>46569</v>
      </c>
      <c r="AA379" s="119">
        <v>18</v>
      </c>
      <c r="AB379" s="115" t="s">
        <v>1472</v>
      </c>
      <c r="AC379" s="122" t="s">
        <v>2130</v>
      </c>
      <c r="AD379" s="121">
        <v>46569</v>
      </c>
      <c r="AE379" s="127" t="s">
        <v>1296</v>
      </c>
      <c r="AF379" s="115" t="s">
        <v>587</v>
      </c>
      <c r="AG379" s="115" t="s">
        <v>2610</v>
      </c>
      <c r="AH379" s="115" t="s">
        <v>977</v>
      </c>
      <c r="AI379" s="115"/>
      <c r="AJ379" s="118">
        <v>46495</v>
      </c>
      <c r="AK379" s="115"/>
      <c r="AL379" s="115"/>
      <c r="AM379" s="115"/>
      <c r="AN379" s="118">
        <v>45750</v>
      </c>
      <c r="AO379" s="118">
        <v>45824</v>
      </c>
      <c r="AP379" s="118">
        <v>45888</v>
      </c>
      <c r="AQ379" s="118">
        <v>46029</v>
      </c>
      <c r="AR379" s="121">
        <v>46569</v>
      </c>
      <c r="AS379" s="121">
        <v>46569</v>
      </c>
      <c r="AT379" s="125" t="s">
        <v>2539</v>
      </c>
      <c r="AU379" s="122" t="s">
        <v>2372</v>
      </c>
      <c r="AV379" s="120"/>
      <c r="AW379" s="119" t="s">
        <v>1651</v>
      </c>
      <c r="AX379" s="194" t="str">
        <f>IFERROR(IF(PAC!$X379="F01 - CAPTAÇÃO DE RECURSO",1,""),"")</f>
        <v/>
      </c>
      <c r="AY379" s="194" t="str">
        <f>IFERROR(IF(PAC!$X379="F02 - LICITAÇÃO",1,""),"")</f>
        <v/>
      </c>
      <c r="AZ379" s="123">
        <f>IFERROR(IF(PAC!$X$6:$X$581="F03 - EXECUÇÃO DO OBJETO",1,""),"")</f>
        <v>1</v>
      </c>
      <c r="BA379" s="123" t="str">
        <f>IFERROR(IF(PAC!$X$6:$X$581="F04 - CONCLUÍDA",1,""),"")</f>
        <v/>
      </c>
      <c r="BB379" s="191">
        <f>IF(PAC!$R379&gt;0,0,PAC!$Q379)</f>
        <v>0</v>
      </c>
    </row>
    <row r="380" spans="1:54" s="1" customFormat="1" ht="249.95"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2472</v>
      </c>
      <c r="Z380" s="87"/>
      <c r="AA380" s="105"/>
      <c r="AB380" s="40" t="s">
        <v>1465</v>
      </c>
      <c r="AC380" s="108" t="s">
        <v>2648</v>
      </c>
      <c r="AD380" s="106"/>
      <c r="AE380" s="128" t="s">
        <v>2268</v>
      </c>
      <c r="AF380" s="40" t="s">
        <v>588</v>
      </c>
      <c r="AG380" s="40" t="s">
        <v>2611</v>
      </c>
      <c r="AH380" s="40" t="s">
        <v>977</v>
      </c>
      <c r="AI380" s="40"/>
      <c r="AJ380" s="87">
        <v>47226</v>
      </c>
      <c r="AK380" s="40"/>
      <c r="AL380" s="40"/>
      <c r="AM380" s="40"/>
      <c r="AN380" s="87">
        <v>46020</v>
      </c>
      <c r="AO380" s="87">
        <v>46244</v>
      </c>
      <c r="AP380" s="87"/>
      <c r="AQ380" s="87"/>
      <c r="AR380" s="107"/>
      <c r="AS380" s="107"/>
      <c r="AT380" s="124"/>
      <c r="AU380" s="108" t="s">
        <v>2649</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2470</v>
      </c>
      <c r="Z381" s="118"/>
      <c r="AA381" s="119">
        <v>46</v>
      </c>
      <c r="AB381" s="115" t="s">
        <v>1467</v>
      </c>
      <c r="AC381" s="115" t="s">
        <v>2464</v>
      </c>
      <c r="AD381" s="120"/>
      <c r="AE381" s="127" t="s">
        <v>1894</v>
      </c>
      <c r="AF381" s="115" t="s">
        <v>589</v>
      </c>
      <c r="AG381" s="115" t="s">
        <v>2612</v>
      </c>
      <c r="AH381" s="115" t="s">
        <v>977</v>
      </c>
      <c r="AI381" s="115"/>
      <c r="AJ381" s="118">
        <v>47226</v>
      </c>
      <c r="AK381" s="115"/>
      <c r="AL381" s="115"/>
      <c r="AM381" s="115"/>
      <c r="AN381" s="118">
        <v>45633</v>
      </c>
      <c r="AO381" s="118">
        <v>45712</v>
      </c>
      <c r="AP381" s="118">
        <v>45791</v>
      </c>
      <c r="AQ381" s="118">
        <v>45873</v>
      </c>
      <c r="AR381" s="121">
        <v>46953</v>
      </c>
      <c r="AS381" s="121">
        <v>46953</v>
      </c>
      <c r="AT381" s="125" t="s">
        <v>2536</v>
      </c>
      <c r="AU381" s="122" t="s">
        <v>2371</v>
      </c>
      <c r="AV381" s="120"/>
      <c r="AW381" s="119" t="s">
        <v>1651</v>
      </c>
      <c r="AX381" s="194" t="str">
        <f>IFERROR(IF(PAC!$X381="F01 - CAPTAÇÃO DE RECURSO",1,""),"")</f>
        <v/>
      </c>
      <c r="AY381" s="194">
        <f>IFERROR(IF(PAC!$X381="F02 - LICITAÇÃO",1,""),"")</f>
        <v>1</v>
      </c>
      <c r="AZ381" s="123" t="str">
        <f>IFERROR(IF(PAC!$X$6:$X$581="F03 - EXECUÇÃO DO OBJETO",1,""),"")</f>
        <v/>
      </c>
      <c r="BA381" s="123" t="str">
        <f>IFERROR(IF(PAC!$X$6:$X$581="F04 - CONCLUÍDA",1,""),"")</f>
        <v/>
      </c>
      <c r="BB381" s="191">
        <f>IF(PAC!$R381&gt;0,0,PAC!$Q381)</f>
        <v>0</v>
      </c>
    </row>
    <row r="382" spans="1:54" s="1" customFormat="1" ht="249.95"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2470</v>
      </c>
      <c r="Z382" s="107">
        <v>46928</v>
      </c>
      <c r="AA382" s="105">
        <v>13</v>
      </c>
      <c r="AB382" s="40" t="s">
        <v>1472</v>
      </c>
      <c r="AC382" s="108" t="s">
        <v>2131</v>
      </c>
      <c r="AD382" s="107">
        <v>46928</v>
      </c>
      <c r="AE382" s="128" t="s">
        <v>1296</v>
      </c>
      <c r="AF382" s="40" t="s">
        <v>590</v>
      </c>
      <c r="AG382" s="40" t="s">
        <v>2613</v>
      </c>
      <c r="AH382" s="40" t="s">
        <v>977</v>
      </c>
      <c r="AI382" s="40"/>
      <c r="AJ382" s="87">
        <v>47035</v>
      </c>
      <c r="AK382" s="40"/>
      <c r="AL382" s="40"/>
      <c r="AM382" s="40"/>
      <c r="AN382" s="87">
        <v>45737</v>
      </c>
      <c r="AO382" s="87">
        <v>45806</v>
      </c>
      <c r="AP382" s="87">
        <v>45889</v>
      </c>
      <c r="AQ382" s="87">
        <v>46028</v>
      </c>
      <c r="AR382" s="107">
        <v>46928</v>
      </c>
      <c r="AS382" s="107">
        <v>46928</v>
      </c>
      <c r="AT382" s="124" t="s">
        <v>2540</v>
      </c>
      <c r="AU382" s="108" t="s">
        <v>2373</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2476</v>
      </c>
      <c r="Z383" s="118"/>
      <c r="AA383" s="119"/>
      <c r="AB383" s="115" t="s">
        <v>1509</v>
      </c>
      <c r="AC383" s="115" t="s">
        <v>2505</v>
      </c>
      <c r="AD383" s="120">
        <v>46325</v>
      </c>
      <c r="AE383" s="114" t="s">
        <v>2028</v>
      </c>
      <c r="AF383" s="115" t="s">
        <v>855</v>
      </c>
      <c r="AG383" s="115"/>
      <c r="AH383" s="115"/>
      <c r="AI383" s="115"/>
      <c r="AJ383" s="118"/>
      <c r="AK383" s="115"/>
      <c r="AL383" s="115"/>
      <c r="AM383" s="115"/>
      <c r="AN383" s="118">
        <v>46266</v>
      </c>
      <c r="AO383" s="118"/>
      <c r="AP383" s="118"/>
      <c r="AQ383" s="118"/>
      <c r="AR383" s="121"/>
      <c r="AS383" s="121"/>
      <c r="AT383" s="166" t="s">
        <v>2510</v>
      </c>
      <c r="AU383" s="115" t="s">
        <v>1753</v>
      </c>
      <c r="AV383" s="120"/>
      <c r="AW383" s="131" t="s">
        <v>1609</v>
      </c>
      <c r="AX383" s="194">
        <f>IFERROR(IF(PAC!$X383="F01 - CAPTAÇÃO DE RECURSO",1,""),"")</f>
        <v>1</v>
      </c>
      <c r="AY383" s="194" t="str">
        <f>IFERROR(IF(PAC!$X383="F02 - LICITAÇÃO",1,""),"")</f>
        <v/>
      </c>
      <c r="AZ383" s="123" t="str">
        <f>IFERROR(IF(PAC!$X$6:$X$581="F03 - EXECUÇÃO DO OBJETO",1,""),"")</f>
        <v/>
      </c>
      <c r="BA383" s="123" t="str">
        <f>IFERROR(IF(PAC!$X$6:$X$581="F04 - CONCLUÍDA",1,""),"")</f>
        <v/>
      </c>
      <c r="BB383" s="191">
        <f>IF(PAC!$R383&gt;0,0,PAC!$Q383)</f>
        <v>36979032.549999997</v>
      </c>
    </row>
    <row r="384" spans="1:54" s="1" customFormat="1" ht="249.95"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2476</v>
      </c>
      <c r="Z384" s="87"/>
      <c r="AA384" s="105"/>
      <c r="AB384" s="40" t="s">
        <v>1509</v>
      </c>
      <c r="AC384" s="40" t="s">
        <v>2512</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2511</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1010</v>
      </c>
      <c r="E385" s="114" t="s">
        <v>2314</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2472</v>
      </c>
      <c r="Z385" s="118"/>
      <c r="AA385" s="119"/>
      <c r="AB385" s="115" t="s">
        <v>1509</v>
      </c>
      <c r="AC385" s="115" t="s">
        <v>2315</v>
      </c>
      <c r="AD385" s="120">
        <v>46325</v>
      </c>
      <c r="AE385" s="114" t="s">
        <v>2316</v>
      </c>
      <c r="AF385" s="115" t="s">
        <v>857</v>
      </c>
      <c r="AG385" s="115"/>
      <c r="AH385" s="115"/>
      <c r="AI385" s="115"/>
      <c r="AJ385" s="118"/>
      <c r="AK385" s="115"/>
      <c r="AL385" s="115"/>
      <c r="AM385" s="115"/>
      <c r="AN385" s="118">
        <v>46192</v>
      </c>
      <c r="AO385" s="118">
        <v>46268</v>
      </c>
      <c r="AP385" s="118"/>
      <c r="AQ385" s="118"/>
      <c r="AR385" s="121"/>
      <c r="AS385" s="121"/>
      <c r="AT385" s="166" t="s">
        <v>2317</v>
      </c>
      <c r="AU385" s="115" t="s">
        <v>2390</v>
      </c>
      <c r="AV385" s="120"/>
      <c r="AW385" s="112" t="s">
        <v>1610</v>
      </c>
      <c r="AX385" s="194">
        <f>IFERROR(IF(PAC!$X385="F01 - CAPTAÇÃO DE RECURSO",1,""),"")</f>
        <v>1</v>
      </c>
      <c r="AY385" s="194" t="str">
        <f>IFERROR(IF(PAC!$X385="F02 - LICITAÇÃO",1,""),"")</f>
        <v/>
      </c>
      <c r="AZ385" s="123" t="str">
        <f>IFERROR(IF(PAC!$X$6:$X$581="F03 - EXECUÇÃO DO OBJETO",1,""),"")</f>
        <v/>
      </c>
      <c r="BA385" s="123" t="str">
        <f>IFERROR(IF(PAC!$X$6:$X$581="F04 - CONCLUÍDA",1,""),"")</f>
        <v/>
      </c>
      <c r="BB385" s="191">
        <f>IF(PAC!$R385&gt;0,0,PAC!$Q385)</f>
        <v>178947368.41999999</v>
      </c>
    </row>
    <row r="386" spans="1:54" s="1" customFormat="1" ht="249.95" customHeight="1" thickBot="1">
      <c r="A386" s="88">
        <f t="shared" si="5"/>
        <v>381</v>
      </c>
      <c r="B386" s="88">
        <v>2025</v>
      </c>
      <c r="C386" s="88" t="s">
        <v>605</v>
      </c>
      <c r="D386" s="88" t="s">
        <v>1010</v>
      </c>
      <c r="E386" s="102" t="s">
        <v>2494</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2472</v>
      </c>
      <c r="Z386" s="87"/>
      <c r="AA386" s="105"/>
      <c r="AB386" s="40" t="s">
        <v>1509</v>
      </c>
      <c r="AC386" s="40" t="s">
        <v>2514</v>
      </c>
      <c r="AD386" s="106">
        <v>46325</v>
      </c>
      <c r="AE386" s="102" t="s">
        <v>2028</v>
      </c>
      <c r="AF386" s="40" t="s">
        <v>858</v>
      </c>
      <c r="AG386" s="40"/>
      <c r="AH386" s="40"/>
      <c r="AI386" s="40"/>
      <c r="AJ386" s="87"/>
      <c r="AK386" s="40"/>
      <c r="AL386" s="40"/>
      <c r="AM386" s="40"/>
      <c r="AN386" s="87">
        <v>46233</v>
      </c>
      <c r="AO386" s="87">
        <v>46275</v>
      </c>
      <c r="AP386" s="87"/>
      <c r="AQ386" s="87"/>
      <c r="AR386" s="107"/>
      <c r="AS386" s="107"/>
      <c r="AT386" s="168" t="s">
        <v>2513</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2473</v>
      </c>
      <c r="Z387" s="118"/>
      <c r="AA387" s="119"/>
      <c r="AB387" s="115" t="s">
        <v>1509</v>
      </c>
      <c r="AC387" s="115" t="s">
        <v>2391</v>
      </c>
      <c r="AD387" s="120">
        <v>46325</v>
      </c>
      <c r="AE387" s="114" t="s">
        <v>2028</v>
      </c>
      <c r="AF387" s="115" t="s">
        <v>859</v>
      </c>
      <c r="AG387" s="115"/>
      <c r="AH387" s="115"/>
      <c r="AI387" s="115"/>
      <c r="AJ387" s="118"/>
      <c r="AK387" s="115"/>
      <c r="AL387" s="115"/>
      <c r="AM387" s="115" t="s">
        <v>716</v>
      </c>
      <c r="AN387" s="118">
        <v>46266</v>
      </c>
      <c r="AO387" s="118"/>
      <c r="AP387" s="118"/>
      <c r="AQ387" s="118"/>
      <c r="AR387" s="121"/>
      <c r="AS387" s="121"/>
      <c r="AT387" s="166" t="s">
        <v>2515</v>
      </c>
      <c r="AU387" s="115" t="s">
        <v>1753</v>
      </c>
      <c r="AV387" s="120"/>
      <c r="AW387" s="131" t="s">
        <v>1610</v>
      </c>
      <c r="AX387" s="194">
        <f>IFERROR(IF(PAC!$X387="F01 - CAPTAÇÃO DE RECURSO",1,""),"")</f>
        <v>1</v>
      </c>
      <c r="AY387" s="194" t="str">
        <f>IFERROR(IF(PAC!$X387="F02 - LICITAÇÃO",1,""),"")</f>
        <v/>
      </c>
      <c r="AZ387" s="123" t="str">
        <f>IFERROR(IF(PAC!$X$6:$X$581="F03 - EXECUÇÃO DO OBJETO",1,""),"")</f>
        <v/>
      </c>
      <c r="BA387" s="123" t="str">
        <f>IFERROR(IF(PAC!$X$6:$X$581="F04 - CONCLUÍDA",1,""),"")</f>
        <v/>
      </c>
      <c r="BB387" s="191">
        <f>IF(PAC!$R387&gt;0,0,PAC!$Q387)</f>
        <v>42902681.090000004</v>
      </c>
    </row>
    <row r="388" spans="1:54" s="1" customFormat="1" ht="249.95"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2476</v>
      </c>
      <c r="Z388" s="87"/>
      <c r="AA388" s="105"/>
      <c r="AB388" s="40" t="s">
        <v>1509</v>
      </c>
      <c r="AC388" s="40" t="s">
        <v>2393</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2392</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2476</v>
      </c>
      <c r="Z389" s="118"/>
      <c r="AA389" s="119"/>
      <c r="AB389" s="115" t="s">
        <v>1509</v>
      </c>
      <c r="AC389" s="115" t="s">
        <v>2395</v>
      </c>
      <c r="AD389" s="120">
        <v>46325</v>
      </c>
      <c r="AE389" s="114" t="s">
        <v>1946</v>
      </c>
      <c r="AF389" s="115" t="s">
        <v>861</v>
      </c>
      <c r="AG389" s="115"/>
      <c r="AH389" s="115"/>
      <c r="AI389" s="115"/>
      <c r="AJ389" s="118"/>
      <c r="AK389" s="115"/>
      <c r="AL389" s="115"/>
      <c r="AM389" s="115" t="s">
        <v>716</v>
      </c>
      <c r="AN389" s="118">
        <v>46296</v>
      </c>
      <c r="AO389" s="118"/>
      <c r="AP389" s="118"/>
      <c r="AQ389" s="118"/>
      <c r="AR389" s="121"/>
      <c r="AS389" s="121"/>
      <c r="AT389" s="166" t="s">
        <v>2394</v>
      </c>
      <c r="AU389" s="115" t="s">
        <v>1753</v>
      </c>
      <c r="AV389" s="120"/>
      <c r="AW389" s="131" t="s">
        <v>1610</v>
      </c>
      <c r="AX389" s="194">
        <f>IFERROR(IF(PAC!$X389="F01 - CAPTAÇÃO DE RECURSO",1,""),"")</f>
        <v>1</v>
      </c>
      <c r="AY389" s="194" t="str">
        <f>IFERROR(IF(PAC!$X389="F02 - LICITAÇÃO",1,""),"")</f>
        <v/>
      </c>
      <c r="AZ389" s="123" t="str">
        <f>IFERROR(IF(PAC!$X$6:$X$581="F03 - EXECUÇÃO DO OBJETO",1,""),"")</f>
        <v/>
      </c>
      <c r="BA389" s="123" t="str">
        <f>IFERROR(IF(PAC!$X$6:$X$581="F04 - CONCLUÍDA",1,""),"")</f>
        <v/>
      </c>
      <c r="BB389" s="191">
        <f>IF(PAC!$R389&gt;0,0,PAC!$Q389)</f>
        <v>133260893.79000001</v>
      </c>
    </row>
    <row r="390" spans="1:54" s="1" customFormat="1" ht="249.95"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2476</v>
      </c>
      <c r="Z390" s="87"/>
      <c r="AA390" s="105"/>
      <c r="AB390" s="40" t="s">
        <v>1509</v>
      </c>
      <c r="AC390" s="40" t="s">
        <v>2397</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2396</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2476</v>
      </c>
      <c r="Z391" s="118"/>
      <c r="AA391" s="119"/>
      <c r="AB391" s="115" t="s">
        <v>1509</v>
      </c>
      <c r="AC391" s="119" t="s">
        <v>2500</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2516</v>
      </c>
      <c r="AU391" s="115" t="s">
        <v>1753</v>
      </c>
      <c r="AV391" s="120"/>
      <c r="AW391" s="112" t="s">
        <v>2492</v>
      </c>
      <c r="AX391" s="194">
        <f>IFERROR(IF(PAC!$X391="F01 - CAPTAÇÃO DE RECURSO",1,""),"")</f>
        <v>1</v>
      </c>
      <c r="AY391" s="194" t="str">
        <f>IFERROR(IF(PAC!$X391="F02 - LICITAÇÃO",1,""),"")</f>
        <v/>
      </c>
      <c r="AZ391" s="123" t="str">
        <f>IFERROR(IF(PAC!$X$6:$X$581="F03 - EXECUÇÃO DO OBJETO",1,""),"")</f>
        <v/>
      </c>
      <c r="BA391" s="123" t="str">
        <f>IFERROR(IF(PAC!$X$6:$X$581="F04 - CONCLUÍDA",1,""),"")</f>
        <v/>
      </c>
      <c r="BB391" s="191">
        <f>IF(PAC!$R391&gt;0,0,PAC!$Q391)</f>
        <v>384210526.31999999</v>
      </c>
    </row>
    <row r="392" spans="1:54" s="1" customFormat="1" ht="249.95"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2476</v>
      </c>
      <c r="Z392" s="87"/>
      <c r="AA392" s="105"/>
      <c r="AB392" s="40" t="s">
        <v>1509</v>
      </c>
      <c r="AC392" s="40" t="s">
        <v>2400</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2399</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2473</v>
      </c>
      <c r="Z393" s="118"/>
      <c r="AA393" s="119"/>
      <c r="AB393" s="115" t="s">
        <v>1509</v>
      </c>
      <c r="AC393" s="115" t="s">
        <v>2402</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2401</v>
      </c>
      <c r="AU393" s="115" t="s">
        <v>1753</v>
      </c>
      <c r="AV393" s="120"/>
      <c r="AW393" s="131" t="s">
        <v>1610</v>
      </c>
      <c r="AX393" s="194">
        <f>IFERROR(IF(PAC!$X393="F01 - CAPTAÇÃO DE RECURSO",1,""),"")</f>
        <v>1</v>
      </c>
      <c r="AY393" s="194" t="str">
        <f>IFERROR(IF(PAC!$X393="F02 - LICITAÇÃO",1,""),"")</f>
        <v/>
      </c>
      <c r="AZ393" s="123" t="str">
        <f>IFERROR(IF(PAC!$X$6:$X$581="F03 - EXECUÇÃO DO OBJETO",1,""),"")</f>
        <v/>
      </c>
      <c r="BA393" s="123" t="str">
        <f>IFERROR(IF(PAC!$X$6:$X$581="F04 - CONCLUÍDA",1,""),"")</f>
        <v/>
      </c>
      <c r="BB393" s="191">
        <f>IF(PAC!$R393&gt;0,0,PAC!$Q393)</f>
        <v>37832089.469999999</v>
      </c>
    </row>
    <row r="394" spans="1:54" s="1" customFormat="1" ht="249.95"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2476</v>
      </c>
      <c r="Z394" s="87"/>
      <c r="AA394" s="105"/>
      <c r="AB394" s="40" t="s">
        <v>1509</v>
      </c>
      <c r="AC394" s="40" t="s">
        <v>2404</v>
      </c>
      <c r="AD394" s="106">
        <v>46325</v>
      </c>
      <c r="AE394" s="102" t="s">
        <v>1946</v>
      </c>
      <c r="AF394" s="40" t="s">
        <v>866</v>
      </c>
      <c r="AG394" s="40"/>
      <c r="AH394" s="40"/>
      <c r="AI394" s="40"/>
      <c r="AJ394" s="87"/>
      <c r="AK394" s="40"/>
      <c r="AL394" s="40"/>
      <c r="AM394" s="40"/>
      <c r="AN394" s="87">
        <v>46631</v>
      </c>
      <c r="AO394" s="87"/>
      <c r="AP394" s="87"/>
      <c r="AQ394" s="87"/>
      <c r="AR394" s="107"/>
      <c r="AS394" s="107"/>
      <c r="AT394" s="102" t="s">
        <v>2403</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2476</v>
      </c>
      <c r="Z395" s="118"/>
      <c r="AA395" s="119"/>
      <c r="AB395" s="115" t="s">
        <v>1509</v>
      </c>
      <c r="AC395" s="115" t="s">
        <v>2406</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2405</v>
      </c>
      <c r="AU395" s="115" t="s">
        <v>1753</v>
      </c>
      <c r="AV395" s="120"/>
      <c r="AW395" s="131" t="s">
        <v>1610</v>
      </c>
      <c r="AX395" s="194">
        <f>IFERROR(IF(PAC!$X395="F01 - CAPTAÇÃO DE RECURSO",1,""),"")</f>
        <v>1</v>
      </c>
      <c r="AY395" s="194" t="str">
        <f>IFERROR(IF(PAC!$X395="F02 - LICITAÇÃO",1,""),"")</f>
        <v/>
      </c>
      <c r="AZ395" s="123" t="str">
        <f>IFERROR(IF(PAC!$X$6:$X$581="F03 - EXECUÇÃO DO OBJETO",1,""),"")</f>
        <v/>
      </c>
      <c r="BA395" s="123" t="str">
        <f>IFERROR(IF(PAC!$X$6:$X$581="F04 - CONCLUÍDA",1,""),"")</f>
        <v/>
      </c>
      <c r="BB395" s="191">
        <f>IF(PAC!$R395&gt;0,0,PAC!$Q395)</f>
        <v>65977963.920000002</v>
      </c>
    </row>
    <row r="396" spans="1:54" s="1" customFormat="1" ht="249.95"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2476</v>
      </c>
      <c r="Z396" s="87"/>
      <c r="AA396" s="105"/>
      <c r="AB396" s="40" t="s">
        <v>1509</v>
      </c>
      <c r="AC396" s="40" t="s">
        <v>2518</v>
      </c>
      <c r="AD396" s="106">
        <v>46325</v>
      </c>
      <c r="AE396" s="102" t="s">
        <v>1945</v>
      </c>
      <c r="AF396" s="40" t="s">
        <v>896</v>
      </c>
      <c r="AG396" s="40"/>
      <c r="AH396" s="40"/>
      <c r="AI396" s="40"/>
      <c r="AJ396" s="87"/>
      <c r="AK396" s="40"/>
      <c r="AL396" s="40"/>
      <c r="AM396" s="40"/>
      <c r="AN396" s="87">
        <v>46537</v>
      </c>
      <c r="AO396" s="87"/>
      <c r="AP396" s="87"/>
      <c r="AQ396" s="87"/>
      <c r="AR396" s="107"/>
      <c r="AS396" s="107"/>
      <c r="AT396" s="102" t="s">
        <v>2517</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2472</v>
      </c>
      <c r="Z397" s="118"/>
      <c r="AA397" s="119"/>
      <c r="AB397" s="115" t="s">
        <v>1509</v>
      </c>
      <c r="AC397" s="115" t="s">
        <v>2312</v>
      </c>
      <c r="AD397" s="120">
        <v>46325</v>
      </c>
      <c r="AE397" s="114" t="s">
        <v>2028</v>
      </c>
      <c r="AF397" s="115" t="s">
        <v>897</v>
      </c>
      <c r="AG397" s="115"/>
      <c r="AH397" s="115"/>
      <c r="AI397" s="115"/>
      <c r="AJ397" s="118"/>
      <c r="AK397" s="115"/>
      <c r="AL397" s="115"/>
      <c r="AM397" s="115"/>
      <c r="AN397" s="118">
        <v>46183</v>
      </c>
      <c r="AO397" s="118">
        <v>46261</v>
      </c>
      <c r="AP397" s="118"/>
      <c r="AQ397" s="118"/>
      <c r="AR397" s="121"/>
      <c r="AS397" s="121"/>
      <c r="AT397" s="114" t="s">
        <v>2407</v>
      </c>
      <c r="AU397" s="115" t="s">
        <v>2313</v>
      </c>
      <c r="AV397" s="120"/>
      <c r="AW397" s="131" t="s">
        <v>1610</v>
      </c>
      <c r="AX397" s="194">
        <f>IFERROR(IF(PAC!$X397="F01 - CAPTAÇÃO DE RECURSO",1,""),"")</f>
        <v>1</v>
      </c>
      <c r="AY397" s="194" t="str">
        <f>IFERROR(IF(PAC!$X397="F02 - LICITAÇÃO",1,""),"")</f>
        <v/>
      </c>
      <c r="AZ397" s="123" t="str">
        <f>IFERROR(IF(PAC!$X$6:$X$581="F03 - EXECUÇÃO DO OBJETO",1,""),"")</f>
        <v/>
      </c>
      <c r="BA397" s="123" t="str">
        <f>IFERROR(IF(PAC!$X$6:$X$581="F04 - CONCLUÍDA",1,""),"")</f>
        <v/>
      </c>
      <c r="BB397" s="191">
        <f>IF(PAC!$R397&gt;0,0,PAC!$Q397)</f>
        <v>200160000</v>
      </c>
    </row>
    <row r="398" spans="1:54" s="1" customFormat="1" ht="350.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2476</v>
      </c>
      <c r="Z398" s="87"/>
      <c r="AA398" s="105"/>
      <c r="AB398" s="40" t="s">
        <v>1509</v>
      </c>
      <c r="AC398" s="40" t="s">
        <v>2520</v>
      </c>
      <c r="AD398" s="106">
        <v>46325</v>
      </c>
      <c r="AE398" s="102" t="s">
        <v>2272</v>
      </c>
      <c r="AF398" s="40" t="s">
        <v>898</v>
      </c>
      <c r="AG398" s="40"/>
      <c r="AH398" s="40"/>
      <c r="AI398" s="40"/>
      <c r="AJ398" s="87"/>
      <c r="AK398" s="40"/>
      <c r="AL398" s="40"/>
      <c r="AM398" s="40"/>
      <c r="AN398" s="87">
        <v>46356</v>
      </c>
      <c r="AO398" s="87"/>
      <c r="AP398" s="87"/>
      <c r="AQ398" s="87"/>
      <c r="AR398" s="107"/>
      <c r="AS398" s="107"/>
      <c r="AT398" s="168" t="s">
        <v>2519</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2476</v>
      </c>
      <c r="Z399" s="118"/>
      <c r="AA399" s="119"/>
      <c r="AB399" s="115" t="s">
        <v>1509</v>
      </c>
      <c r="AC399" s="119" t="s">
        <v>2409</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2408</v>
      </c>
      <c r="AU399" s="115" t="s">
        <v>1753</v>
      </c>
      <c r="AV399" s="120"/>
      <c r="AW399" s="131" t="s">
        <v>1610</v>
      </c>
      <c r="AX399" s="194">
        <f>IFERROR(IF(PAC!$X399="F01 - CAPTAÇÃO DE RECURSO",1,""),"")</f>
        <v>1</v>
      </c>
      <c r="AY399" s="194" t="str">
        <f>IFERROR(IF(PAC!$X399="F02 - LICITAÇÃO",1,""),"")</f>
        <v/>
      </c>
      <c r="AZ399" s="123" t="str">
        <f>IFERROR(IF(PAC!$X$6:$X$581="F03 - EXECUÇÃO DO OBJETO",1,""),"")</f>
        <v/>
      </c>
      <c r="BA399" s="123" t="str">
        <f>IFERROR(IF(PAC!$X$6:$X$581="F04 - CONCLUÍDA",1,""),"")</f>
        <v/>
      </c>
      <c r="BB399" s="191">
        <f>IF(PAC!$R399&gt;0,0,PAC!$Q399)</f>
        <v>37634690.399999999</v>
      </c>
    </row>
    <row r="400" spans="1:54" s="1" customFormat="1" ht="350.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2654</v>
      </c>
      <c r="U400" s="103" t="s">
        <v>594</v>
      </c>
      <c r="V400" s="103" t="s">
        <v>1764</v>
      </c>
      <c r="W400" s="104">
        <v>36</v>
      </c>
      <c r="X400" s="104" t="s">
        <v>1419</v>
      </c>
      <c r="Y400" s="101" t="s">
        <v>2472</v>
      </c>
      <c r="Z400" s="87"/>
      <c r="AA400" s="105"/>
      <c r="AB400" s="40" t="s">
        <v>1509</v>
      </c>
      <c r="AC400" s="40" t="s">
        <v>2653</v>
      </c>
      <c r="AD400" s="106">
        <v>46325</v>
      </c>
      <c r="AE400" s="102" t="s">
        <v>2028</v>
      </c>
      <c r="AF400" s="40" t="s">
        <v>900</v>
      </c>
      <c r="AG400" s="40"/>
      <c r="AH400" s="40"/>
      <c r="AI400" s="40"/>
      <c r="AJ400" s="87"/>
      <c r="AK400" s="40"/>
      <c r="AL400" s="40"/>
      <c r="AM400" s="40"/>
      <c r="AN400" s="87">
        <v>46037</v>
      </c>
      <c r="AO400" s="87">
        <v>46114</v>
      </c>
      <c r="AP400" s="87">
        <v>46245</v>
      </c>
      <c r="AQ400" s="87"/>
      <c r="AR400" s="107"/>
      <c r="AS400" s="107"/>
      <c r="AT400" s="102" t="s">
        <v>2655</v>
      </c>
      <c r="AU400" s="40" t="s">
        <v>2656</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2476</v>
      </c>
      <c r="Z401" s="118"/>
      <c r="AA401" s="119"/>
      <c r="AB401" s="115" t="s">
        <v>1509</v>
      </c>
      <c r="AC401" s="115" t="s">
        <v>2411</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2410</v>
      </c>
      <c r="AU401" s="115" t="s">
        <v>1753</v>
      </c>
      <c r="AV401" s="120"/>
      <c r="AW401" s="131" t="s">
        <v>1610</v>
      </c>
      <c r="AX401" s="194">
        <f>IFERROR(IF(PAC!$X401="F01 - CAPTAÇÃO DE RECURSO",1,""),"")</f>
        <v>1</v>
      </c>
      <c r="AY401" s="194" t="str">
        <f>IFERROR(IF(PAC!$X401="F02 - LICITAÇÃO",1,""),"")</f>
        <v/>
      </c>
      <c r="AZ401" s="123" t="str">
        <f>IFERROR(IF(PAC!$X$6:$X$581="F03 - EXECUÇÃO DO OBJETO",1,""),"")</f>
        <v/>
      </c>
      <c r="BA401" s="123" t="str">
        <f>IFERROR(IF(PAC!$X$6:$X$581="F04 - CONCLUÍDA",1,""),"")</f>
        <v/>
      </c>
      <c r="BB401" s="191">
        <f>IF(PAC!$R401&gt;0,0,PAC!$Q401)</f>
        <v>96110094.680000007</v>
      </c>
    </row>
    <row r="402" spans="1:54" s="1" customFormat="1" ht="350.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2476</v>
      </c>
      <c r="Z402" s="87"/>
      <c r="AA402" s="105"/>
      <c r="AB402" s="40" t="s">
        <v>1509</v>
      </c>
      <c r="AC402" s="40" t="s">
        <v>2406</v>
      </c>
      <c r="AD402" s="106">
        <v>46325</v>
      </c>
      <c r="AE402" s="102" t="s">
        <v>1945</v>
      </c>
      <c r="AF402" s="40" t="s">
        <v>902</v>
      </c>
      <c r="AG402" s="40"/>
      <c r="AH402" s="40"/>
      <c r="AI402" s="40"/>
      <c r="AJ402" s="87"/>
      <c r="AK402" s="40"/>
      <c r="AL402" s="40"/>
      <c r="AM402" s="40"/>
      <c r="AN402" s="87">
        <v>46569</v>
      </c>
      <c r="AO402" s="87"/>
      <c r="AP402" s="87"/>
      <c r="AQ402" s="87"/>
      <c r="AR402" s="107"/>
      <c r="AS402" s="107"/>
      <c r="AT402" s="102" t="s">
        <v>2412</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2476</v>
      </c>
      <c r="Z403" s="118"/>
      <c r="AA403" s="119"/>
      <c r="AB403" s="115" t="s">
        <v>1509</v>
      </c>
      <c r="AC403" s="115" t="s">
        <v>2398</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2413</v>
      </c>
      <c r="AU403" s="115" t="s">
        <v>1753</v>
      </c>
      <c r="AV403" s="120"/>
      <c r="AW403" s="131" t="s">
        <v>1610</v>
      </c>
      <c r="AX403" s="194">
        <f>IFERROR(IF(PAC!$X403="F01 - CAPTAÇÃO DE RECURSO",1,""),"")</f>
        <v>1</v>
      </c>
      <c r="AY403" s="194" t="str">
        <f>IFERROR(IF(PAC!$X403="F02 - LICITAÇÃO",1,""),"")</f>
        <v/>
      </c>
      <c r="AZ403" s="123" t="str">
        <f>IFERROR(IF(PAC!$X$6:$X$581="F03 - EXECUÇÃO DO OBJETO",1,""),"")</f>
        <v/>
      </c>
      <c r="BA403" s="123" t="str">
        <f>IFERROR(IF(PAC!$X$6:$X$581="F04 - CONCLUÍDA",1,""),"")</f>
        <v/>
      </c>
      <c r="BB403" s="191">
        <f>IF(PAC!$R403&gt;0,0,PAC!$Q403)</f>
        <v>161338680.93000001</v>
      </c>
    </row>
    <row r="404" spans="1:54" s="1" customFormat="1" ht="350.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2476</v>
      </c>
      <c r="Z404" s="87"/>
      <c r="AA404" s="105"/>
      <c r="AB404" s="40" t="s">
        <v>1509</v>
      </c>
      <c r="AC404" s="40" t="s">
        <v>2522</v>
      </c>
      <c r="AD404" s="106">
        <v>46325</v>
      </c>
      <c r="AE404" s="102" t="s">
        <v>1945</v>
      </c>
      <c r="AF404" s="40" t="s">
        <v>904</v>
      </c>
      <c r="AG404" s="40"/>
      <c r="AH404" s="40"/>
      <c r="AI404" s="40"/>
      <c r="AJ404" s="87"/>
      <c r="AK404" s="40"/>
      <c r="AL404" s="40"/>
      <c r="AM404" s="40"/>
      <c r="AN404" s="87">
        <v>46357</v>
      </c>
      <c r="AO404" s="87"/>
      <c r="AP404" s="87"/>
      <c r="AQ404" s="87"/>
      <c r="AR404" s="107"/>
      <c r="AS404" s="107"/>
      <c r="AT404" s="102" t="s">
        <v>2521</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2476</v>
      </c>
      <c r="Z405" s="118"/>
      <c r="AA405" s="119"/>
      <c r="AB405" s="115" t="s">
        <v>1509</v>
      </c>
      <c r="AC405" s="113" t="s">
        <v>2415</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2414</v>
      </c>
      <c r="AU405" s="115" t="s">
        <v>1753</v>
      </c>
      <c r="AV405" s="120"/>
      <c r="AW405" s="131" t="s">
        <v>1610</v>
      </c>
      <c r="AX405" s="194">
        <f>IFERROR(IF(PAC!$X405="F01 - CAPTAÇÃO DE RECURSO",1,""),"")</f>
        <v>1</v>
      </c>
      <c r="AY405" s="194" t="str">
        <f>IFERROR(IF(PAC!$X405="F02 - LICITAÇÃO",1,""),"")</f>
        <v/>
      </c>
      <c r="AZ405" s="123" t="str">
        <f>IFERROR(IF(PAC!$X$6:$X$581="F03 - EXECUÇÃO DO OBJETO",1,""),"")</f>
        <v/>
      </c>
      <c r="BA405" s="123" t="str">
        <f>IFERROR(IF(PAC!$X$6:$X$581="F04 - CONCLUÍDA",1,""),"")</f>
        <v/>
      </c>
      <c r="BB405" s="191">
        <f>IF(PAC!$R405&gt;0,0,PAC!$Q405)</f>
        <v>140684669.16</v>
      </c>
    </row>
    <row r="406" spans="1:54" s="1" customFormat="1" ht="249.95"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2476</v>
      </c>
      <c r="Z406" s="87"/>
      <c r="AA406" s="105"/>
      <c r="AB406" s="40" t="s">
        <v>1509</v>
      </c>
      <c r="AC406" s="40" t="s">
        <v>2409</v>
      </c>
      <c r="AD406" s="106">
        <v>46325</v>
      </c>
      <c r="AE406" s="102" t="s">
        <v>1945</v>
      </c>
      <c r="AF406" s="40" t="s">
        <v>912</v>
      </c>
      <c r="AG406" s="40"/>
      <c r="AH406" s="40"/>
      <c r="AI406" s="40"/>
      <c r="AJ406" s="87"/>
      <c r="AK406" s="40"/>
      <c r="AL406" s="40"/>
      <c r="AM406" s="40"/>
      <c r="AN406" s="87">
        <v>46419</v>
      </c>
      <c r="AO406" s="87"/>
      <c r="AP406" s="87"/>
      <c r="AQ406" s="87"/>
      <c r="AR406" s="107"/>
      <c r="AS406" s="107"/>
      <c r="AT406" s="102" t="s">
        <v>2418</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2476</v>
      </c>
      <c r="Z407" s="118"/>
      <c r="AA407" s="119"/>
      <c r="AB407" s="115" t="s">
        <v>1509</v>
      </c>
      <c r="AC407" s="117" t="s">
        <v>2420</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2419</v>
      </c>
      <c r="AU407" s="115" t="s">
        <v>1753</v>
      </c>
      <c r="AV407" s="120"/>
      <c r="AW407" s="131" t="s">
        <v>1610</v>
      </c>
      <c r="AX407" s="194">
        <f>IFERROR(IF(PAC!$X407="F01 - CAPTAÇÃO DE RECURSO",1,""),"")</f>
        <v>1</v>
      </c>
      <c r="AY407" s="194" t="str">
        <f>IFERROR(IF(PAC!$X407="F02 - LICITAÇÃO",1,""),"")</f>
        <v/>
      </c>
      <c r="AZ407" s="123" t="str">
        <f>IFERROR(IF(PAC!$X$6:$X$581="F03 - EXECUÇÃO DO OBJETO",1,""),"")</f>
        <v/>
      </c>
      <c r="BA407" s="123" t="str">
        <f>IFERROR(IF(PAC!$X$6:$X$581="F04 - CONCLUÍDA",1,""),"")</f>
        <v/>
      </c>
      <c r="BB407" s="191">
        <f>IF(PAC!$R407&gt;0,0,PAC!$Q407)</f>
        <v>93366307.420000002</v>
      </c>
    </row>
    <row r="408" spans="1:54" s="1" customFormat="1" ht="249.95"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2478</v>
      </c>
      <c r="Z408" s="87"/>
      <c r="AA408" s="105"/>
      <c r="AB408" s="40"/>
      <c r="AC408" s="40" t="s">
        <v>2084</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2486</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4">
        <f>IFERROR(IF(PAC!$X409="F01 - CAPTAÇÃO DE RECURSO",1,""),"")</f>
        <v>1</v>
      </c>
      <c r="AY409" s="194" t="str">
        <f>IFERROR(IF(PAC!$X409="F02 - LICITAÇÃO",1,""),"")</f>
        <v/>
      </c>
      <c r="AZ409" s="123" t="str">
        <f>IFERROR(IF(PAC!$X$6:$X$581="F03 - EXECUÇÃO DO OBJETO",1,""),"")</f>
        <v/>
      </c>
      <c r="BA409" s="123" t="str">
        <f>IFERROR(IF(PAC!$X$6:$X$581="F04 - CONCLUÍDA",1,""),"")</f>
        <v/>
      </c>
      <c r="BB409" s="191">
        <f>IF(PAC!$R409&gt;0,0,PAC!$Q409)</f>
        <v>0</v>
      </c>
    </row>
    <row r="410" spans="1:54" s="1" customFormat="1" ht="249.95"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2486</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2476</v>
      </c>
      <c r="Z411" s="118"/>
      <c r="AA411" s="119"/>
      <c r="AB411" s="115" t="s">
        <v>1509</v>
      </c>
      <c r="AC411" s="115" t="s">
        <v>2524</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2523</v>
      </c>
      <c r="AU411" s="115" t="s">
        <v>1753</v>
      </c>
      <c r="AV411" s="120"/>
      <c r="AW411" s="131" t="s">
        <v>1610</v>
      </c>
      <c r="AX411" s="194">
        <f>IFERROR(IF(PAC!$X411="F01 - CAPTAÇÃO DE RECURSO",1,""),"")</f>
        <v>1</v>
      </c>
      <c r="AY411" s="194" t="str">
        <f>IFERROR(IF(PAC!$X411="F02 - LICITAÇÃO",1,""),"")</f>
        <v/>
      </c>
      <c r="AZ411" s="123" t="str">
        <f>IFERROR(IF(PAC!$X$6:$X$581="F03 - EXECUÇÃO DO OBJETO",1,""),"")</f>
        <v/>
      </c>
      <c r="BA411" s="123" t="str">
        <f>IFERROR(IF(PAC!$X$6:$X$581="F04 - CONCLUÍDA",1,""),"")</f>
        <v/>
      </c>
      <c r="BB411" s="191">
        <f>IF(PAC!$R411&gt;0,0,PAC!$Q411)</f>
        <v>45815368.420000002</v>
      </c>
    </row>
    <row r="412" spans="1:54" s="1" customFormat="1" ht="249.95"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2473</v>
      </c>
      <c r="Z412" s="87"/>
      <c r="AA412" s="105"/>
      <c r="AB412" s="40" t="s">
        <v>1463</v>
      </c>
      <c r="AC412" s="105" t="s">
        <v>2563</v>
      </c>
      <c r="AD412" s="106"/>
      <c r="AE412" s="105"/>
      <c r="AF412" s="40" t="s">
        <v>1533</v>
      </c>
      <c r="AG412" s="40" t="s">
        <v>2249</v>
      </c>
      <c r="AH412" s="40"/>
      <c r="AI412" s="40"/>
      <c r="AJ412" s="87"/>
      <c r="AK412" s="40"/>
      <c r="AL412" s="40"/>
      <c r="AM412" s="40"/>
      <c r="AN412" s="87">
        <v>46478</v>
      </c>
      <c r="AO412" s="87"/>
      <c r="AP412" s="87"/>
      <c r="AQ412" s="87"/>
      <c r="AR412" s="107"/>
      <c r="AS412" s="107"/>
      <c r="AT412" s="102" t="s">
        <v>1750</v>
      </c>
      <c r="AU412" s="40" t="s">
        <v>2546</v>
      </c>
      <c r="AV412" s="106"/>
      <c r="AW412" s="105" t="s">
        <v>2564</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2470</v>
      </c>
      <c r="Z413" s="118">
        <v>46697</v>
      </c>
      <c r="AA413" s="119">
        <v>1</v>
      </c>
      <c r="AB413" s="115" t="s">
        <v>1472</v>
      </c>
      <c r="AC413" s="122" t="s">
        <v>2276</v>
      </c>
      <c r="AD413" s="120">
        <v>46697</v>
      </c>
      <c r="AE413" s="115" t="s">
        <v>1296</v>
      </c>
      <c r="AF413" s="115" t="s">
        <v>1534</v>
      </c>
      <c r="AG413" s="115" t="s">
        <v>2253</v>
      </c>
      <c r="AH413" s="115"/>
      <c r="AI413" s="115"/>
      <c r="AJ413" s="118"/>
      <c r="AK413" s="115"/>
      <c r="AL413" s="115"/>
      <c r="AM413" s="115"/>
      <c r="AN413" s="118">
        <v>44855</v>
      </c>
      <c r="AO413" s="118">
        <v>44924</v>
      </c>
      <c r="AP413" s="118">
        <v>45705</v>
      </c>
      <c r="AQ413" s="118">
        <v>45984</v>
      </c>
      <c r="AR413" s="121">
        <v>46697</v>
      </c>
      <c r="AS413" s="121">
        <v>46697</v>
      </c>
      <c r="AT413" s="114" t="s">
        <v>1747</v>
      </c>
      <c r="AU413" s="114" t="s">
        <v>2547</v>
      </c>
      <c r="AV413" s="120"/>
      <c r="AW413" s="119" t="s">
        <v>1610</v>
      </c>
      <c r="AX413" s="194" t="str">
        <f>IFERROR(IF(PAC!$X413="F01 - CAPTAÇÃO DE RECURSO",1,""),"")</f>
        <v/>
      </c>
      <c r="AY413" s="194" t="str">
        <f>IFERROR(IF(PAC!$X413="F02 - LICITAÇÃO",1,""),"")</f>
        <v/>
      </c>
      <c r="AZ413" s="123">
        <f>IFERROR(IF(PAC!$X$6:$X$581="F03 - EXECUÇÃO DO OBJETO",1,""),"")</f>
        <v>1</v>
      </c>
      <c r="BA413" s="123" t="str">
        <f>IFERROR(IF(PAC!$X$6:$X$581="F04 - CONCLUÍDA",1,""),"")</f>
        <v/>
      </c>
      <c r="BB413" s="191">
        <f>IF(PAC!$R413&gt;0,0,PAC!$Q413)</f>
        <v>0</v>
      </c>
    </row>
    <row r="414" spans="1:54" s="1" customFormat="1" ht="249.95"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2471</v>
      </c>
      <c r="Z414" s="87"/>
      <c r="AA414" s="105">
        <v>0</v>
      </c>
      <c r="AB414" s="105" t="s">
        <v>1471</v>
      </c>
      <c r="AC414" s="40" t="s">
        <v>2548</v>
      </c>
      <c r="AD414" s="106"/>
      <c r="AE414" s="40" t="s">
        <v>1296</v>
      </c>
      <c r="AF414" s="40" t="s">
        <v>1535</v>
      </c>
      <c r="AG414" s="40" t="s">
        <v>2250</v>
      </c>
      <c r="AH414" s="40"/>
      <c r="AI414" s="40"/>
      <c r="AJ414" s="87"/>
      <c r="AK414" s="40"/>
      <c r="AL414" s="40"/>
      <c r="AM414" s="40"/>
      <c r="AN414" s="87">
        <v>45813</v>
      </c>
      <c r="AO414" s="87">
        <v>45883</v>
      </c>
      <c r="AP414" s="87">
        <v>45993</v>
      </c>
      <c r="AQ414" s="87"/>
      <c r="AR414" s="107"/>
      <c r="AS414" s="107"/>
      <c r="AT414" s="126" t="s">
        <v>2550</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2473</v>
      </c>
      <c r="Z415" s="118"/>
      <c r="AA415" s="119"/>
      <c r="AB415" s="115" t="s">
        <v>1463</v>
      </c>
      <c r="AC415" s="122" t="s">
        <v>2530</v>
      </c>
      <c r="AD415" s="120">
        <v>46266</v>
      </c>
      <c r="AE415" s="115" t="s">
        <v>2274</v>
      </c>
      <c r="AF415" s="115" t="s">
        <v>1536</v>
      </c>
      <c r="AG415" s="115" t="s">
        <v>2252</v>
      </c>
      <c r="AH415" s="115"/>
      <c r="AI415" s="115"/>
      <c r="AJ415" s="118"/>
      <c r="AK415" s="115"/>
      <c r="AL415" s="115"/>
      <c r="AM415" s="115"/>
      <c r="AN415" s="118">
        <v>46356</v>
      </c>
      <c r="AO415" s="118"/>
      <c r="AP415" s="118"/>
      <c r="AQ415" s="118"/>
      <c r="AR415" s="121"/>
      <c r="AS415" s="121"/>
      <c r="AT415" s="114" t="s">
        <v>1741</v>
      </c>
      <c r="AU415" s="115" t="s">
        <v>2529</v>
      </c>
      <c r="AV415" s="120"/>
      <c r="AW415" s="119" t="s">
        <v>1610</v>
      </c>
      <c r="AX415" s="194" t="str">
        <f>IFERROR(IF(PAC!$X415="F01 - CAPTAÇÃO DE RECURSO",1,""),"")</f>
        <v/>
      </c>
      <c r="AY415" s="194">
        <f>IFERROR(IF(PAC!$X415="F02 - LICITAÇÃO",1,""),"")</f>
        <v>1</v>
      </c>
      <c r="AZ415" s="123" t="str">
        <f>IFERROR(IF(PAC!$X$6:$X$581="F03 - EXECUÇÃO DO OBJETO",1,""),"")</f>
        <v/>
      </c>
      <c r="BA415" s="123" t="str">
        <f>IFERROR(IF(PAC!$X$6:$X$581="F04 - CONCLUÍDA",1,""),"")</f>
        <v/>
      </c>
      <c r="BB415" s="191">
        <f>IF(PAC!$R415&gt;0,0,PAC!$Q415)</f>
        <v>140751524.96000001</v>
      </c>
    </row>
    <row r="416" spans="1:54" s="1" customFormat="1" ht="249.95"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2486</v>
      </c>
      <c r="Z416" s="87"/>
      <c r="AA416" s="105"/>
      <c r="AB416" s="40"/>
      <c r="AC416" s="40" t="s">
        <v>2049</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2486</v>
      </c>
      <c r="Z417" s="118"/>
      <c r="AA417" s="119"/>
      <c r="AB417" s="115"/>
      <c r="AC417" s="115" t="s">
        <v>2048</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4">
        <f>IFERROR(IF(PAC!$X417="F01 - CAPTAÇÃO DE RECURSO",1,""),"")</f>
        <v>1</v>
      </c>
      <c r="AY417" s="194" t="str">
        <f>IFERROR(IF(PAC!$X417="F02 - LICITAÇÃO",1,""),"")</f>
        <v/>
      </c>
      <c r="AZ417" s="123" t="str">
        <f>IFERROR(IF(PAC!$X$6:$X$581="F03 - EXECUÇÃO DO OBJETO",1,""),"")</f>
        <v/>
      </c>
      <c r="BA417" s="123" t="str">
        <f>IFERROR(IF(PAC!$X$6:$X$581="F04 - CONCLUÍDA",1,""),"")</f>
        <v/>
      </c>
      <c r="BB417" s="191">
        <f>IF(PAC!$R417&gt;0,0,PAC!$Q417)</f>
        <v>0</v>
      </c>
    </row>
    <row r="418" spans="1:54" s="1" customFormat="1" ht="249.95"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2486</v>
      </c>
      <c r="Z418" s="87"/>
      <c r="AA418" s="105"/>
      <c r="AB418" s="40"/>
      <c r="AC418" s="40" t="s">
        <v>2049</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2486</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4">
        <f>IFERROR(IF(PAC!$X419="F01 - CAPTAÇÃO DE RECURSO",1,""),"")</f>
        <v>1</v>
      </c>
      <c r="AY419" s="194" t="str">
        <f>IFERROR(IF(PAC!$X419="F02 - LICITAÇÃO",1,""),"")</f>
        <v/>
      </c>
      <c r="AZ419" s="123" t="str">
        <f>IFERROR(IF(PAC!$X$6:$X$581="F03 - EXECUÇÃO DO OBJETO",1,""),"")</f>
        <v/>
      </c>
      <c r="BA419" s="123" t="str">
        <f>IFERROR(IF(PAC!$X$6:$X$581="F04 - CONCLUÍDA",1,""),"")</f>
        <v/>
      </c>
      <c r="BB419" s="191">
        <f>IF(PAC!$R419&gt;0,0,PAC!$Q419)</f>
        <v>0</v>
      </c>
    </row>
    <row r="420" spans="1:54" s="1" customFormat="1" ht="350.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2486</v>
      </c>
      <c r="Z420" s="87"/>
      <c r="AA420" s="105"/>
      <c r="AB420" s="40"/>
      <c r="AC420" s="40" t="s">
        <v>2049</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2473</v>
      </c>
      <c r="Z421" s="117"/>
      <c r="AA421" s="117"/>
      <c r="AB421" s="117" t="s">
        <v>1463</v>
      </c>
      <c r="AC421" s="115" t="s">
        <v>2319</v>
      </c>
      <c r="AD421" s="120"/>
      <c r="AE421" s="115" t="s">
        <v>1883</v>
      </c>
      <c r="AF421" s="115" t="s">
        <v>1535</v>
      </c>
      <c r="AG421" s="115" t="s">
        <v>2250</v>
      </c>
      <c r="AH421" s="115"/>
      <c r="AI421" s="115"/>
      <c r="AJ421" s="118"/>
      <c r="AK421" s="115"/>
      <c r="AL421" s="115"/>
      <c r="AM421" s="115"/>
      <c r="AN421" s="118">
        <v>46447</v>
      </c>
      <c r="AO421" s="118"/>
      <c r="AP421" s="118"/>
      <c r="AQ421" s="118"/>
      <c r="AR421" s="121"/>
      <c r="AS421" s="121"/>
      <c r="AT421" s="114" t="s">
        <v>1740</v>
      </c>
      <c r="AU421" s="115" t="s">
        <v>2421</v>
      </c>
      <c r="AV421" s="120"/>
      <c r="AW421" s="112" t="s">
        <v>1884</v>
      </c>
      <c r="AX421" s="194" t="str">
        <f>IFERROR(IF(PAC!$X421="F01 - CAPTAÇÃO DE RECURSO",1,""),"")</f>
        <v/>
      </c>
      <c r="AY421" s="194">
        <f>IFERROR(IF(PAC!$X421="F02 - LICITAÇÃO",1,""),"")</f>
        <v>1</v>
      </c>
      <c r="AZ421" s="123" t="str">
        <f>IFERROR(IF(PAC!$X$6:$X$581="F03 - EXECUÇÃO DO OBJETO",1,""),"")</f>
        <v/>
      </c>
      <c r="BA421" s="123" t="str">
        <f>IFERROR(IF(PAC!$X$6:$X$581="F04 - CONCLUÍDA",1,""),"")</f>
        <v/>
      </c>
      <c r="BB421" s="191">
        <f>IF(PAC!$R421&gt;0,0,PAC!$Q421)</f>
        <v>47430504.019999988</v>
      </c>
    </row>
    <row r="422" spans="1:54" s="1" customFormat="1" ht="408.95" customHeight="1" thickBot="1">
      <c r="A422" s="88">
        <f t="shared" si="7"/>
        <v>417</v>
      </c>
      <c r="B422" s="88">
        <v>2026</v>
      </c>
      <c r="C422" s="88" t="s">
        <v>605</v>
      </c>
      <c r="D422" s="88" t="s">
        <v>1010</v>
      </c>
      <c r="E422" s="89" t="s">
        <v>2456</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2480</v>
      </c>
      <c r="Z422" s="87"/>
      <c r="AA422" s="105"/>
      <c r="AB422" s="40"/>
      <c r="AC422" s="40" t="s">
        <v>2457</v>
      </c>
      <c r="AD422" s="106"/>
      <c r="AE422" s="102" t="s">
        <v>1288</v>
      </c>
      <c r="AF422" s="40" t="s">
        <v>2453</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1010</v>
      </c>
      <c r="E423" s="130" t="s">
        <v>2458</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2479</v>
      </c>
      <c r="Z423" s="118"/>
      <c r="AA423" s="119"/>
      <c r="AB423" s="115"/>
      <c r="AC423" s="115" t="s">
        <v>2533</v>
      </c>
      <c r="AD423" s="120"/>
      <c r="AE423" s="114" t="s">
        <v>1288</v>
      </c>
      <c r="AF423" s="115" t="s">
        <v>2454</v>
      </c>
      <c r="AG423" s="115"/>
      <c r="AH423" s="115"/>
      <c r="AI423" s="115"/>
      <c r="AJ423" s="118"/>
      <c r="AK423" s="115"/>
      <c r="AL423" s="115"/>
      <c r="AM423" s="115"/>
      <c r="AN423" s="118"/>
      <c r="AO423" s="118"/>
      <c r="AP423" s="118"/>
      <c r="AQ423" s="118"/>
      <c r="AR423" s="121"/>
      <c r="AS423" s="121"/>
      <c r="AT423" s="114"/>
      <c r="AU423" s="122"/>
      <c r="AV423" s="120"/>
      <c r="AW423" s="131"/>
      <c r="AX423" s="194">
        <f>IFERROR(IF(PAC!$X423="F01 - CAPTAÇÃO DE RECURSO",1,""),"")</f>
        <v>1</v>
      </c>
      <c r="AY423" s="194" t="str">
        <f>IFERROR(IF(PAC!$X423="F02 - LICITAÇÃO",1,""),"")</f>
        <v/>
      </c>
      <c r="AZ423" s="123" t="str">
        <f>IFERROR(IF(PAC!$X$6:$X$581="F03 - EXECUÇÃO DO OBJETO",1,""),"")</f>
        <v/>
      </c>
      <c r="BA423" s="123" t="str">
        <f>IFERROR(IF(PAC!$X$6:$X$581="F04 - CONCLUÍDA",1,""),"")</f>
        <v/>
      </c>
      <c r="BB423" s="191">
        <f>IF(PAC!$R423&gt;0,0,PAC!$Q423)</f>
        <v>0</v>
      </c>
    </row>
    <row r="424" spans="1:54" s="1" customFormat="1" ht="249.95"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2479</v>
      </c>
      <c r="Z424" s="87"/>
      <c r="AA424" s="105"/>
      <c r="AB424" s="40"/>
      <c r="AC424" s="40" t="s">
        <v>2533</v>
      </c>
      <c r="AD424" s="106"/>
      <c r="AE424" s="102" t="s">
        <v>1288</v>
      </c>
      <c r="AF424" s="40" t="s">
        <v>2455</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2470</v>
      </c>
      <c r="Z425" s="118">
        <v>46495</v>
      </c>
      <c r="AA425" s="119">
        <v>17.84</v>
      </c>
      <c r="AB425" s="115" t="s">
        <v>1472</v>
      </c>
      <c r="AC425" s="114" t="s">
        <v>1296</v>
      </c>
      <c r="AD425" s="120">
        <v>46495</v>
      </c>
      <c r="AE425" s="127" t="s">
        <v>1296</v>
      </c>
      <c r="AF425" s="115" t="s">
        <v>522</v>
      </c>
      <c r="AG425" s="115" t="s">
        <v>2614</v>
      </c>
      <c r="AH425" s="115" t="s">
        <v>977</v>
      </c>
      <c r="AI425" s="115"/>
      <c r="AJ425" s="118">
        <v>46739</v>
      </c>
      <c r="AK425" s="115"/>
      <c r="AL425" s="115"/>
      <c r="AM425" s="115"/>
      <c r="AN425" s="118">
        <v>45813</v>
      </c>
      <c r="AO425" s="118">
        <v>45839</v>
      </c>
      <c r="AP425" s="118">
        <v>45939</v>
      </c>
      <c r="AQ425" s="118">
        <v>46128</v>
      </c>
      <c r="AR425" s="121">
        <v>46495</v>
      </c>
      <c r="AS425" s="121">
        <v>46495</v>
      </c>
      <c r="AT425" s="125" t="s">
        <v>2204</v>
      </c>
      <c r="AU425" s="114" t="s">
        <v>2205</v>
      </c>
      <c r="AV425" s="120"/>
      <c r="AW425" s="131" t="s">
        <v>1610</v>
      </c>
      <c r="AX425" s="194" t="str">
        <f>IFERROR(IF(PAC!$X425="F01 - CAPTAÇÃO DE RECURSO",1,""),"")</f>
        <v/>
      </c>
      <c r="AY425" s="194" t="str">
        <f>IFERROR(IF(PAC!$X425="F02 - LICITAÇÃO",1,""),"")</f>
        <v/>
      </c>
      <c r="AZ425" s="123">
        <f>IFERROR(IF(PAC!$X$6:$X$581="F03 - EXECUÇÃO DO OBJETO",1,""),"")</f>
        <v>1</v>
      </c>
      <c r="BA425" s="123" t="str">
        <f>IFERROR(IF(PAC!$X$6:$X$581="F04 - CONCLUÍDA",1,""),"")</f>
        <v/>
      </c>
      <c r="BB425" s="191">
        <f>IF(PAC!$R425&gt;0,0,PAC!$Q425)</f>
        <v>0</v>
      </c>
    </row>
    <row r="426" spans="1:54" s="1" customFormat="1" ht="249.95"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2472</v>
      </c>
      <c r="Z426" s="87"/>
      <c r="AA426" s="105"/>
      <c r="AB426" s="40" t="s">
        <v>1468</v>
      </c>
      <c r="AC426" s="126" t="s">
        <v>2671</v>
      </c>
      <c r="AD426" s="106"/>
      <c r="AE426" s="128" t="s">
        <v>2561</v>
      </c>
      <c r="AF426" s="40" t="s">
        <v>523</v>
      </c>
      <c r="AG426" s="40" t="s">
        <v>2615</v>
      </c>
      <c r="AH426" s="40" t="s">
        <v>977</v>
      </c>
      <c r="AI426" s="40"/>
      <c r="AJ426" s="87">
        <v>46739</v>
      </c>
      <c r="AK426" s="40"/>
      <c r="AL426" s="40"/>
      <c r="AM426" s="40"/>
      <c r="AN426" s="87">
        <v>45734</v>
      </c>
      <c r="AO426" s="87">
        <v>45789</v>
      </c>
      <c r="AP426" s="87">
        <v>46170</v>
      </c>
      <c r="AQ426" s="87"/>
      <c r="AR426" s="107"/>
      <c r="AS426" s="107"/>
      <c r="AT426" s="124" t="s">
        <v>2206</v>
      </c>
      <c r="AU426" s="102" t="s">
        <v>2139</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2470</v>
      </c>
      <c r="Z427" s="118">
        <v>46419</v>
      </c>
      <c r="AA427" s="119">
        <v>27.47</v>
      </c>
      <c r="AB427" s="119" t="s">
        <v>1472</v>
      </c>
      <c r="AC427" s="133" t="s">
        <v>1296</v>
      </c>
      <c r="AD427" s="120">
        <v>46419</v>
      </c>
      <c r="AE427" s="174" t="s">
        <v>1472</v>
      </c>
      <c r="AF427" s="115" t="s">
        <v>524</v>
      </c>
      <c r="AG427" s="115" t="s">
        <v>2616</v>
      </c>
      <c r="AH427" s="115" t="s">
        <v>977</v>
      </c>
      <c r="AI427" s="115"/>
      <c r="AJ427" s="118">
        <v>46739</v>
      </c>
      <c r="AK427" s="115"/>
      <c r="AL427" s="115"/>
      <c r="AM427" s="115"/>
      <c r="AN427" s="118">
        <v>45807</v>
      </c>
      <c r="AO427" s="118">
        <v>45841</v>
      </c>
      <c r="AP427" s="118">
        <v>45903</v>
      </c>
      <c r="AQ427" s="118">
        <v>46050</v>
      </c>
      <c r="AR427" s="121">
        <v>46419</v>
      </c>
      <c r="AS427" s="121">
        <v>46419</v>
      </c>
      <c r="AT427" s="125" t="s">
        <v>2207</v>
      </c>
      <c r="AU427" s="114" t="s">
        <v>2208</v>
      </c>
      <c r="AV427" s="120"/>
      <c r="AW427" s="131" t="s">
        <v>1611</v>
      </c>
      <c r="AX427" s="194" t="str">
        <f>IFERROR(IF(PAC!$X427="F01 - CAPTAÇÃO DE RECURSO",1,""),"")</f>
        <v/>
      </c>
      <c r="AY427" s="194" t="str">
        <f>IFERROR(IF(PAC!$X427="F02 - LICITAÇÃO",1,""),"")</f>
        <v/>
      </c>
      <c r="AZ427" s="123">
        <f>IFERROR(IF(PAC!$X$6:$X$581="F03 - EXECUÇÃO DO OBJETO",1,""),"")</f>
        <v>1</v>
      </c>
      <c r="BA427" s="123" t="str">
        <f>IFERROR(IF(PAC!$X$6:$X$581="F04 - CONCLUÍDA",1,""),"")</f>
        <v/>
      </c>
      <c r="BB427" s="191">
        <f>IF(PAC!$R427&gt;0,0,PAC!$Q427)</f>
        <v>0</v>
      </c>
    </row>
    <row r="428" spans="1:54" s="1" customFormat="1" ht="249.95"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2470</v>
      </c>
      <c r="Z428" s="87">
        <v>46333</v>
      </c>
      <c r="AA428" s="105">
        <v>29.08</v>
      </c>
      <c r="AB428" s="40" t="s">
        <v>1472</v>
      </c>
      <c r="AC428" s="124" t="s">
        <v>1296</v>
      </c>
      <c r="AD428" s="106">
        <v>46333</v>
      </c>
      <c r="AE428" s="128" t="s">
        <v>1492</v>
      </c>
      <c r="AF428" s="40" t="s">
        <v>526</v>
      </c>
      <c r="AG428" s="40" t="s">
        <v>2617</v>
      </c>
      <c r="AH428" s="40" t="s">
        <v>977</v>
      </c>
      <c r="AI428" s="40"/>
      <c r="AJ428" s="87">
        <v>46739</v>
      </c>
      <c r="AK428" s="40"/>
      <c r="AL428" s="40"/>
      <c r="AM428" s="40"/>
      <c r="AN428" s="87">
        <v>45734</v>
      </c>
      <c r="AO428" s="87">
        <v>45784</v>
      </c>
      <c r="AP428" s="87">
        <v>45882</v>
      </c>
      <c r="AQ428" s="87">
        <v>45996</v>
      </c>
      <c r="AR428" s="107">
        <v>46213</v>
      </c>
      <c r="AS428" s="107">
        <v>46333</v>
      </c>
      <c r="AT428" s="124" t="s">
        <v>2209</v>
      </c>
      <c r="AU428" s="102" t="s">
        <v>2210</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2470</v>
      </c>
      <c r="Z429" s="121">
        <v>46297</v>
      </c>
      <c r="AA429" s="119">
        <v>12.21</v>
      </c>
      <c r="AB429" s="115" t="s">
        <v>1472</v>
      </c>
      <c r="AC429" s="114" t="s">
        <v>2119</v>
      </c>
      <c r="AD429" s="120">
        <v>46297</v>
      </c>
      <c r="AE429" s="127" t="s">
        <v>1472</v>
      </c>
      <c r="AF429" s="115" t="s">
        <v>527</v>
      </c>
      <c r="AG429" s="115" t="s">
        <v>2618</v>
      </c>
      <c r="AH429" s="115" t="s">
        <v>977</v>
      </c>
      <c r="AI429" s="115"/>
      <c r="AJ429" s="118">
        <v>46739</v>
      </c>
      <c r="AK429" s="115"/>
      <c r="AL429" s="115"/>
      <c r="AM429" s="115"/>
      <c r="AN429" s="118">
        <v>45737</v>
      </c>
      <c r="AO429" s="118">
        <v>45789</v>
      </c>
      <c r="AP429" s="118">
        <v>45903</v>
      </c>
      <c r="AQ429" s="118">
        <v>46050</v>
      </c>
      <c r="AR429" s="121">
        <v>46297</v>
      </c>
      <c r="AS429" s="121">
        <v>46297</v>
      </c>
      <c r="AT429" s="125" t="s">
        <v>2211</v>
      </c>
      <c r="AU429" s="114" t="s">
        <v>2212</v>
      </c>
      <c r="AV429" s="120"/>
      <c r="AW429" s="131" t="s">
        <v>1610</v>
      </c>
      <c r="AX429" s="194" t="str">
        <f>IFERROR(IF(PAC!$X429="F01 - CAPTAÇÃO DE RECURSO",1,""),"")</f>
        <v/>
      </c>
      <c r="AY429" s="194" t="str">
        <f>IFERROR(IF(PAC!$X429="F02 - LICITAÇÃO",1,""),"")</f>
        <v/>
      </c>
      <c r="AZ429" s="123">
        <f>IFERROR(IF(PAC!$X$6:$X$581="F03 - EXECUÇÃO DO OBJETO",1,""),"")</f>
        <v>1</v>
      </c>
      <c r="BA429" s="123" t="str">
        <f>IFERROR(IF(PAC!$X$6:$X$581="F04 - CONCLUÍDA",1,""),"")</f>
        <v/>
      </c>
      <c r="BB429" s="191">
        <f>IF(PAC!$R429&gt;0,0,PAC!$Q429)</f>
        <v>0</v>
      </c>
    </row>
    <row r="430" spans="1:54" s="1" customFormat="1" ht="249.95"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2470</v>
      </c>
      <c r="Z430" s="107">
        <v>46297</v>
      </c>
      <c r="AA430" s="105">
        <v>65.03</v>
      </c>
      <c r="AB430" s="105" t="s">
        <v>1472</v>
      </c>
      <c r="AC430" s="175" t="s">
        <v>1296</v>
      </c>
      <c r="AD430" s="106">
        <v>46297</v>
      </c>
      <c r="AE430" s="175" t="s">
        <v>1472</v>
      </c>
      <c r="AF430" s="40" t="s">
        <v>519</v>
      </c>
      <c r="AG430" s="40" t="s">
        <v>2619</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2213</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2470</v>
      </c>
      <c r="Z431" s="118">
        <v>46414</v>
      </c>
      <c r="AA431" s="119">
        <v>16.23</v>
      </c>
      <c r="AB431" s="115" t="s">
        <v>1472</v>
      </c>
      <c r="AC431" s="122" t="s">
        <v>1296</v>
      </c>
      <c r="AD431" s="118">
        <v>46414</v>
      </c>
      <c r="AE431" s="127" t="s">
        <v>1296</v>
      </c>
      <c r="AF431" s="115" t="s">
        <v>520</v>
      </c>
      <c r="AG431" s="115" t="s">
        <v>2620</v>
      </c>
      <c r="AH431" s="115" t="s">
        <v>977</v>
      </c>
      <c r="AI431" s="115"/>
      <c r="AJ431" s="118">
        <v>46739</v>
      </c>
      <c r="AK431" s="115"/>
      <c r="AL431" s="115"/>
      <c r="AM431" s="115"/>
      <c r="AN431" s="118">
        <v>45734</v>
      </c>
      <c r="AO431" s="118">
        <v>45785</v>
      </c>
      <c r="AP431" s="118">
        <v>45860</v>
      </c>
      <c r="AQ431" s="118">
        <v>45987</v>
      </c>
      <c r="AR431" s="121">
        <v>46234</v>
      </c>
      <c r="AS431" s="118">
        <v>46414</v>
      </c>
      <c r="AT431" s="125" t="s">
        <v>2214</v>
      </c>
      <c r="AU431" s="114" t="s">
        <v>2215</v>
      </c>
      <c r="AV431" s="120"/>
      <c r="AW431" s="131" t="s">
        <v>1610</v>
      </c>
      <c r="AX431" s="194" t="str">
        <f>IFERROR(IF(PAC!$X431="F01 - CAPTAÇÃO DE RECURSO",1,""),"")</f>
        <v/>
      </c>
      <c r="AY431" s="194" t="str">
        <f>IFERROR(IF(PAC!$X431="F02 - LICITAÇÃO",1,""),"")</f>
        <v/>
      </c>
      <c r="AZ431" s="123">
        <f>IFERROR(IF(PAC!$X$6:$X$581="F03 - EXECUÇÃO DO OBJETO",1,""),"")</f>
        <v>1</v>
      </c>
      <c r="BA431" s="123" t="str">
        <f>IFERROR(IF(PAC!$X$6:$X$581="F04 - CONCLUÍDA",1,""),"")</f>
        <v/>
      </c>
      <c r="BB431" s="191">
        <f>IF(PAC!$R431&gt;0,0,PAC!$Q431)</f>
        <v>0</v>
      </c>
    </row>
    <row r="432" spans="1:54" s="1" customFormat="1" ht="249.95"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2470</v>
      </c>
      <c r="Z432" s="87">
        <v>46393</v>
      </c>
      <c r="AA432" s="105">
        <v>67.88</v>
      </c>
      <c r="AB432" s="40" t="s">
        <v>1472</v>
      </c>
      <c r="AC432" s="108" t="s">
        <v>1296</v>
      </c>
      <c r="AD432" s="87">
        <v>46393</v>
      </c>
      <c r="AE432" s="128" t="s">
        <v>1492</v>
      </c>
      <c r="AF432" s="40" t="s">
        <v>521</v>
      </c>
      <c r="AG432" s="40" t="s">
        <v>2621</v>
      </c>
      <c r="AH432" s="40" t="s">
        <v>977</v>
      </c>
      <c r="AI432" s="40"/>
      <c r="AJ432" s="87">
        <v>46739</v>
      </c>
      <c r="AK432" s="40"/>
      <c r="AL432" s="40"/>
      <c r="AM432" s="40"/>
      <c r="AN432" s="87">
        <v>45757</v>
      </c>
      <c r="AO432" s="87">
        <v>45841</v>
      </c>
      <c r="AP432" s="87">
        <v>45903</v>
      </c>
      <c r="AQ432" s="87">
        <v>45996</v>
      </c>
      <c r="AR432" s="107">
        <v>46243</v>
      </c>
      <c r="AS432" s="87">
        <v>46393</v>
      </c>
      <c r="AT432" s="124" t="s">
        <v>2216</v>
      </c>
      <c r="AU432" s="102" t="s">
        <v>2217</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2470</v>
      </c>
      <c r="Z433" s="121">
        <v>46393</v>
      </c>
      <c r="AA433" s="119">
        <v>55.92</v>
      </c>
      <c r="AB433" s="115" t="s">
        <v>1472</v>
      </c>
      <c r="AC433" s="122" t="s">
        <v>1296</v>
      </c>
      <c r="AD433" s="121">
        <v>46393</v>
      </c>
      <c r="AE433" s="127" t="s">
        <v>1492</v>
      </c>
      <c r="AF433" s="115" t="s">
        <v>525</v>
      </c>
      <c r="AG433" s="115" t="s">
        <v>2622</v>
      </c>
      <c r="AH433" s="115" t="s">
        <v>977</v>
      </c>
      <c r="AI433" s="115"/>
      <c r="AJ433" s="118">
        <v>46739</v>
      </c>
      <c r="AK433" s="115"/>
      <c r="AL433" s="115"/>
      <c r="AM433" s="115"/>
      <c r="AN433" s="118">
        <v>45807</v>
      </c>
      <c r="AO433" s="118">
        <v>45838</v>
      </c>
      <c r="AP433" s="118">
        <v>45903</v>
      </c>
      <c r="AQ433" s="118">
        <v>45996</v>
      </c>
      <c r="AR433" s="121">
        <v>46243</v>
      </c>
      <c r="AS433" s="121">
        <v>46393</v>
      </c>
      <c r="AT433" s="125" t="s">
        <v>2218</v>
      </c>
      <c r="AU433" s="114" t="s">
        <v>2219</v>
      </c>
      <c r="AV433" s="120"/>
      <c r="AW433" s="131" t="s">
        <v>1610</v>
      </c>
      <c r="AX433" s="194" t="str">
        <f>IFERROR(IF(PAC!$X433="F01 - CAPTAÇÃO DE RECURSO",1,""),"")</f>
        <v/>
      </c>
      <c r="AY433" s="194" t="str">
        <f>IFERROR(IF(PAC!$X433="F02 - LICITAÇÃO",1,""),"")</f>
        <v/>
      </c>
      <c r="AZ433" s="123">
        <f>IFERROR(IF(PAC!$X$6:$X$581="F03 - EXECUÇÃO DO OBJETO",1,""),"")</f>
        <v>1</v>
      </c>
      <c r="BA433" s="123" t="str">
        <f>IFERROR(IF(PAC!$X$6:$X$581="F04 - CONCLUÍDA",1,""),"")</f>
        <v/>
      </c>
      <c r="BB433" s="191">
        <f>IF(PAC!$R433&gt;0,0,PAC!$Q433)</f>
        <v>0</v>
      </c>
    </row>
    <row r="434" spans="1:54" s="1" customFormat="1" ht="249.95"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1419</v>
      </c>
      <c r="Y434" s="101" t="s">
        <v>2473</v>
      </c>
      <c r="Z434" s="87"/>
      <c r="AA434" s="105"/>
      <c r="AB434" s="40" t="s">
        <v>1463</v>
      </c>
      <c r="AC434" s="40" t="s">
        <v>2578</v>
      </c>
      <c r="AD434" s="106"/>
      <c r="AE434" s="102" t="s">
        <v>2274</v>
      </c>
      <c r="AF434" s="40" t="s">
        <v>1793</v>
      </c>
      <c r="AG434" s="40" t="s">
        <v>1965</v>
      </c>
      <c r="AH434" s="40" t="s">
        <v>977</v>
      </c>
      <c r="AI434" s="40"/>
      <c r="AJ434" s="87"/>
      <c r="AK434" s="40"/>
      <c r="AL434" s="40"/>
      <c r="AM434" s="40"/>
      <c r="AN434" s="87"/>
      <c r="AO434" s="87"/>
      <c r="AP434" s="87"/>
      <c r="AQ434" s="87"/>
      <c r="AR434" s="107"/>
      <c r="AS434" s="107"/>
      <c r="AT434" s="102"/>
      <c r="AU434" s="124"/>
      <c r="AV434" s="106"/>
      <c r="AW434" s="88" t="s">
        <v>1616</v>
      </c>
      <c r="AX434" s="109">
        <f>IFERROR(IF(PAC!$X434="F01 - CAPTAÇÃO DE RECURSO",1,""),"")</f>
        <v>1</v>
      </c>
      <c r="AY434" s="109" t="str">
        <f>IFERROR(IF(PAC!$X434="F02 - LICITAÇÃO",1,""),"")</f>
        <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2476</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c r="AU435" s="125" t="s">
        <v>1939</v>
      </c>
      <c r="AV435" s="120"/>
      <c r="AW435" s="112" t="s">
        <v>1616</v>
      </c>
      <c r="AX435" s="194">
        <f>IFERROR(IF(PAC!$X435="F01 - CAPTAÇÃO DE RECURSO",1,""),"")</f>
        <v>1</v>
      </c>
      <c r="AY435" s="194" t="str">
        <f>IFERROR(IF(PAC!$X435="F02 - LICITAÇÃO",1,""),"")</f>
        <v/>
      </c>
      <c r="AZ435" s="123" t="str">
        <f>IFERROR(IF(PAC!$X$6:$X$581="F03 - EXECUÇÃO DO OBJETO",1,""),"")</f>
        <v/>
      </c>
      <c r="BA435" s="123" t="str">
        <f>IFERROR(IF(PAC!$X$6:$X$581="F04 - CONCLUÍDA",1,""),"")</f>
        <v/>
      </c>
      <c r="BB435" s="191">
        <f>IF(PAC!$R435&gt;0,0,PAC!$Q435)</f>
        <v>0</v>
      </c>
    </row>
    <row r="436" spans="1:54" s="1" customFormat="1" ht="249.95"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2473</v>
      </c>
      <c r="Z436" s="87"/>
      <c r="AA436" s="105"/>
      <c r="AB436" s="40" t="s">
        <v>1457</v>
      </c>
      <c r="AC436" s="40" t="s">
        <v>1931</v>
      </c>
      <c r="AD436" s="106">
        <v>46265</v>
      </c>
      <c r="AE436" s="102" t="s">
        <v>2127</v>
      </c>
      <c r="AF436" s="40" t="s">
        <v>1794</v>
      </c>
      <c r="AG436" s="40" t="s">
        <v>1966</v>
      </c>
      <c r="AH436" s="40" t="s">
        <v>1974</v>
      </c>
      <c r="AI436" s="40" t="s">
        <v>2664</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2473</v>
      </c>
      <c r="Z437" s="118"/>
      <c r="AA437" s="119"/>
      <c r="AB437" s="115" t="s">
        <v>1457</v>
      </c>
      <c r="AC437" s="115" t="s">
        <v>2667</v>
      </c>
      <c r="AD437" s="120">
        <v>46265</v>
      </c>
      <c r="AE437" s="114" t="s">
        <v>2127</v>
      </c>
      <c r="AF437" s="115" t="s">
        <v>1795</v>
      </c>
      <c r="AG437" s="115" t="s">
        <v>1967</v>
      </c>
      <c r="AH437" s="115" t="s">
        <v>1974</v>
      </c>
      <c r="AI437" s="115" t="s">
        <v>2762</v>
      </c>
      <c r="AJ437" s="118">
        <v>46335</v>
      </c>
      <c r="AK437" s="115"/>
      <c r="AL437" s="115"/>
      <c r="AM437" s="115"/>
      <c r="AN437" s="118"/>
      <c r="AO437" s="118"/>
      <c r="AP437" s="118"/>
      <c r="AQ437" s="118"/>
      <c r="AR437" s="121"/>
      <c r="AS437" s="121"/>
      <c r="AT437" s="114"/>
      <c r="AU437" s="125"/>
      <c r="AV437" s="120"/>
      <c r="AW437" s="131" t="s">
        <v>1613</v>
      </c>
      <c r="AX437" s="194">
        <f>IFERROR(IF(PAC!$X437="F01 - CAPTAÇÃO DE RECURSO",1,""),"")</f>
        <v>1</v>
      </c>
      <c r="AY437" s="194" t="str">
        <f>IFERROR(IF(PAC!$X437="F02 - LICITAÇÃO",1,""),"")</f>
        <v/>
      </c>
      <c r="AZ437" s="123" t="str">
        <f>IFERROR(IF(PAC!$X$6:$X$581="F03 - EXECUÇÃO DO OBJETO",1,""),"")</f>
        <v/>
      </c>
      <c r="BA437" s="123" t="str">
        <f>IFERROR(IF(PAC!$X$6:$X$581="F04 - CONCLUÍDA",1,""),"")</f>
        <v/>
      </c>
      <c r="BB437" s="191">
        <f>IF(PAC!$R437&gt;0,0,PAC!$Q437)</f>
        <v>32981004.170000002</v>
      </c>
    </row>
    <row r="438" spans="1:54" s="1" customFormat="1" ht="249.95"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2473</v>
      </c>
      <c r="Z438" s="87"/>
      <c r="AA438" s="105"/>
      <c r="AB438" s="40" t="s">
        <v>1457</v>
      </c>
      <c r="AC438" s="40" t="s">
        <v>1931</v>
      </c>
      <c r="AD438" s="106">
        <v>46265</v>
      </c>
      <c r="AE438" s="102" t="s">
        <v>2127</v>
      </c>
      <c r="AF438" s="40" t="s">
        <v>1796</v>
      </c>
      <c r="AG438" s="40" t="s">
        <v>1968</v>
      </c>
      <c r="AH438" s="40" t="s">
        <v>1974</v>
      </c>
      <c r="AI438" s="40" t="s">
        <v>2665</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2473</v>
      </c>
      <c r="Z439" s="118"/>
      <c r="AA439" s="119"/>
      <c r="AB439" s="115" t="s">
        <v>1457</v>
      </c>
      <c r="AC439" s="115" t="s">
        <v>2667</v>
      </c>
      <c r="AD439" s="120">
        <v>46265</v>
      </c>
      <c r="AE439" s="114" t="s">
        <v>2127</v>
      </c>
      <c r="AF439" s="115" t="s">
        <v>1797</v>
      </c>
      <c r="AG439" s="115" t="s">
        <v>1969</v>
      </c>
      <c r="AH439" s="115" t="s">
        <v>1974</v>
      </c>
      <c r="AI439" s="115" t="s">
        <v>2668</v>
      </c>
      <c r="AJ439" s="118">
        <v>46265</v>
      </c>
      <c r="AK439" s="115"/>
      <c r="AL439" s="115"/>
      <c r="AM439" s="115"/>
      <c r="AN439" s="118"/>
      <c r="AO439" s="118"/>
      <c r="AP439" s="118"/>
      <c r="AQ439" s="118"/>
      <c r="AR439" s="121"/>
      <c r="AS439" s="121"/>
      <c r="AT439" s="114"/>
      <c r="AU439" s="125"/>
      <c r="AV439" s="120"/>
      <c r="AW439" s="119" t="s">
        <v>1613</v>
      </c>
      <c r="AX439" s="194">
        <f>IFERROR(IF(PAC!$X439="F01 - CAPTAÇÃO DE RECURSO",1,""),"")</f>
        <v>1</v>
      </c>
      <c r="AY439" s="194" t="str">
        <f>IFERROR(IF(PAC!$X439="F02 - LICITAÇÃO",1,""),"")</f>
        <v/>
      </c>
      <c r="AZ439" s="123" t="str">
        <f>IFERROR(IF(PAC!$X$6:$X$581="F03 - EXECUÇÃO DO OBJETO",1,""),"")</f>
        <v/>
      </c>
      <c r="BA439" s="123" t="str">
        <f>IFERROR(IF(PAC!$X$6:$X$581="F04 - CONCLUÍDA",1,""),"")</f>
        <v/>
      </c>
      <c r="BB439" s="191">
        <f>IF(PAC!$R439&gt;0,0,PAC!$Q439)</f>
        <v>48986963.390000001</v>
      </c>
    </row>
    <row r="440" spans="1:54" s="1" customFormat="1" ht="249.95"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2473</v>
      </c>
      <c r="Z440" s="87"/>
      <c r="AA440" s="105"/>
      <c r="AB440" s="40" t="s">
        <v>1501</v>
      </c>
      <c r="AC440" s="40" t="s">
        <v>2126</v>
      </c>
      <c r="AD440" s="106">
        <v>46265</v>
      </c>
      <c r="AE440" s="102" t="s">
        <v>2127</v>
      </c>
      <c r="AF440" s="40" t="s">
        <v>1798</v>
      </c>
      <c r="AG440" s="40" t="s">
        <v>1970</v>
      </c>
      <c r="AH440" s="40" t="s">
        <v>1974</v>
      </c>
      <c r="AI440" s="108" t="s">
        <v>2663</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2473</v>
      </c>
      <c r="Z441" s="118"/>
      <c r="AA441" s="119"/>
      <c r="AB441" s="115" t="s">
        <v>1457</v>
      </c>
      <c r="AC441" s="115" t="s">
        <v>1931</v>
      </c>
      <c r="AD441" s="120">
        <v>46265</v>
      </c>
      <c r="AE441" s="114" t="s">
        <v>2127</v>
      </c>
      <c r="AF441" s="115" t="s">
        <v>1799</v>
      </c>
      <c r="AG441" s="115" t="s">
        <v>1971</v>
      </c>
      <c r="AH441" s="115" t="s">
        <v>1974</v>
      </c>
      <c r="AI441" s="122" t="s">
        <v>2663</v>
      </c>
      <c r="AJ441" s="118">
        <v>46335</v>
      </c>
      <c r="AK441" s="115"/>
      <c r="AL441" s="115"/>
      <c r="AM441" s="115"/>
      <c r="AN441" s="118"/>
      <c r="AO441" s="118"/>
      <c r="AP441" s="118"/>
      <c r="AQ441" s="118"/>
      <c r="AR441" s="121"/>
      <c r="AS441" s="121"/>
      <c r="AT441" s="114"/>
      <c r="AU441" s="125"/>
      <c r="AV441" s="120"/>
      <c r="AW441" s="119" t="s">
        <v>1616</v>
      </c>
      <c r="AX441" s="194">
        <f>IFERROR(IF(PAC!$X441="F01 - CAPTAÇÃO DE RECURSO",1,""),"")</f>
        <v>1</v>
      </c>
      <c r="AY441" s="194" t="str">
        <f>IFERROR(IF(PAC!$X441="F02 - LICITAÇÃO",1,""),"")</f>
        <v/>
      </c>
      <c r="AZ441" s="123" t="str">
        <f>IFERROR(IF(PAC!$X$6:$X$581="F03 - EXECUÇÃO DO OBJETO",1,""),"")</f>
        <v/>
      </c>
      <c r="BA441" s="123" t="str">
        <f>IFERROR(IF(PAC!$X$6:$X$581="F04 - CONCLUÍDA",1,""),"")</f>
        <v/>
      </c>
      <c r="BB441" s="191">
        <f>IF(PAC!$R441&gt;0,0,PAC!$Q441)</f>
        <v>5820095.7800000003</v>
      </c>
    </row>
    <row r="442" spans="1:54" s="1" customFormat="1" ht="249.95"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2473</v>
      </c>
      <c r="Z442" s="87"/>
      <c r="AA442" s="105"/>
      <c r="AB442" s="40" t="s">
        <v>1457</v>
      </c>
      <c r="AC442" s="40" t="s">
        <v>1931</v>
      </c>
      <c r="AD442" s="106">
        <v>46265</v>
      </c>
      <c r="AE442" s="102" t="s">
        <v>2127</v>
      </c>
      <c r="AF442" s="40" t="s">
        <v>1800</v>
      </c>
      <c r="AG442" s="40" t="s">
        <v>1972</v>
      </c>
      <c r="AH442" s="40" t="s">
        <v>1974</v>
      </c>
      <c r="AI442" s="40" t="s">
        <v>2666</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2479</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4">
        <f>IFERROR(IF(PAC!$X443="F01 - CAPTAÇÃO DE RECURSO",1,""),"")</f>
        <v>1</v>
      </c>
      <c r="AY443" s="194" t="str">
        <f>IFERROR(IF(PAC!$X443="F02 - LICITAÇÃO",1,""),"")</f>
        <v/>
      </c>
      <c r="AZ443" s="123" t="str">
        <f>IFERROR(IF(PAC!$X$6:$X$581="F03 - EXECUÇÃO DO OBJETO",1,""),"")</f>
        <v/>
      </c>
      <c r="BA443" s="123" t="str">
        <f>IFERROR(IF(PAC!$X$6:$X$581="F04 - CONCLUÍDA",1,""),"")</f>
        <v/>
      </c>
      <c r="BB443" s="191">
        <f>IF(PAC!$R443&gt;0,0,PAC!$Q443)</f>
        <v>0</v>
      </c>
    </row>
    <row r="444" spans="1:54" s="1" customFormat="1" ht="249.95"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2473</v>
      </c>
      <c r="Z444" s="87"/>
      <c r="AA444" s="105"/>
      <c r="AB444" s="40" t="s">
        <v>1457</v>
      </c>
      <c r="AC444" s="40" t="s">
        <v>1931</v>
      </c>
      <c r="AD444" s="106">
        <v>46265</v>
      </c>
      <c r="AE444" s="102" t="s">
        <v>2127</v>
      </c>
      <c r="AF444" s="40" t="s">
        <v>1801</v>
      </c>
      <c r="AG444" s="40" t="s">
        <v>1973</v>
      </c>
      <c r="AH444" s="40" t="s">
        <v>1974</v>
      </c>
      <c r="AI444" s="108" t="s">
        <v>2663</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1010</v>
      </c>
      <c r="E445" s="130" t="s">
        <v>2122</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2472</v>
      </c>
      <c r="Z445" s="118"/>
      <c r="AA445" s="119"/>
      <c r="AB445" s="115" t="s">
        <v>1509</v>
      </c>
      <c r="AC445" s="115" t="s">
        <v>2388</v>
      </c>
      <c r="AD445" s="120">
        <v>46325</v>
      </c>
      <c r="AE445" s="114" t="s">
        <v>2050</v>
      </c>
      <c r="AF445" s="115" t="s">
        <v>881</v>
      </c>
      <c r="AG445" s="115"/>
      <c r="AH445" s="115"/>
      <c r="AI445" s="115"/>
      <c r="AJ445" s="118"/>
      <c r="AK445" s="115"/>
      <c r="AL445" s="115"/>
      <c r="AM445" s="115"/>
      <c r="AN445" s="118">
        <v>45989</v>
      </c>
      <c r="AO445" s="118">
        <v>46076</v>
      </c>
      <c r="AP445" s="118">
        <v>46157</v>
      </c>
      <c r="AQ445" s="118"/>
      <c r="AR445" s="121"/>
      <c r="AS445" s="121"/>
      <c r="AT445" s="114" t="s">
        <v>2507</v>
      </c>
      <c r="AU445" s="115" t="s">
        <v>2203</v>
      </c>
      <c r="AV445" s="120"/>
      <c r="AW445" s="131" t="s">
        <v>1610</v>
      </c>
      <c r="AX445" s="194">
        <f>IFERROR(IF(PAC!$X445="F01 - CAPTAÇÃO DE RECURSO",1,""),"")</f>
        <v>1</v>
      </c>
      <c r="AY445" s="194" t="str">
        <f>IFERROR(IF(PAC!$X445="F02 - LICITAÇÃO",1,""),"")</f>
        <v/>
      </c>
      <c r="AZ445" s="123" t="str">
        <f>IFERROR(IF(PAC!$X$6:$X$581="F03 - EXECUÇÃO DO OBJETO",1,""),"")</f>
        <v/>
      </c>
      <c r="BA445" s="123" t="str">
        <f>IFERROR(IF(PAC!$X$6:$X$581="F04 - CONCLUÍDA",1,""),"")</f>
        <v/>
      </c>
      <c r="BB445" s="191">
        <f>IF(PAC!$R445&gt;0,0,PAC!$Q445)</f>
        <v>0</v>
      </c>
    </row>
    <row r="446" spans="1:54" s="1" customFormat="1" ht="249.95"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2470</v>
      </c>
      <c r="Z446" s="107">
        <v>46469</v>
      </c>
      <c r="AA446" s="105">
        <v>77</v>
      </c>
      <c r="AB446" s="40" t="s">
        <v>1472</v>
      </c>
      <c r="AC446" s="108" t="s">
        <v>2130</v>
      </c>
      <c r="AD446" s="107">
        <v>46469</v>
      </c>
      <c r="AE446" s="128" t="s">
        <v>1296</v>
      </c>
      <c r="AF446" s="40" t="s">
        <v>582</v>
      </c>
      <c r="AG446" s="40" t="s">
        <v>2623</v>
      </c>
      <c r="AH446" s="40" t="s">
        <v>977</v>
      </c>
      <c r="AI446" s="40"/>
      <c r="AJ446" s="87">
        <v>46668</v>
      </c>
      <c r="AK446" s="40"/>
      <c r="AL446" s="40"/>
      <c r="AM446" s="40"/>
      <c r="AN446" s="87">
        <v>44860</v>
      </c>
      <c r="AO446" s="87">
        <v>45243</v>
      </c>
      <c r="AP446" s="87">
        <v>45406</v>
      </c>
      <c r="AQ446" s="87">
        <v>45419</v>
      </c>
      <c r="AR446" s="107">
        <v>46019</v>
      </c>
      <c r="AS446" s="107">
        <v>46469</v>
      </c>
      <c r="AT446" s="124" t="s">
        <v>2604</v>
      </c>
      <c r="AU446" s="108" t="s">
        <v>2367</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2469</v>
      </c>
      <c r="Z447" s="121">
        <v>46203</v>
      </c>
      <c r="AA447" s="119">
        <v>100</v>
      </c>
      <c r="AB447" s="115" t="s">
        <v>1472</v>
      </c>
      <c r="AC447" s="122" t="s">
        <v>2495</v>
      </c>
      <c r="AD447" s="121">
        <v>46203</v>
      </c>
      <c r="AE447" s="127" t="s">
        <v>2495</v>
      </c>
      <c r="AF447" s="115" t="s">
        <v>584</v>
      </c>
      <c r="AG447" s="115" t="s">
        <v>2624</v>
      </c>
      <c r="AH447" s="115" t="s">
        <v>977</v>
      </c>
      <c r="AI447" s="115"/>
      <c r="AJ447" s="118">
        <v>46351</v>
      </c>
      <c r="AK447" s="115"/>
      <c r="AL447" s="115"/>
      <c r="AM447" s="115"/>
      <c r="AN447" s="118">
        <v>45111</v>
      </c>
      <c r="AO447" s="118">
        <v>45174</v>
      </c>
      <c r="AP447" s="118">
        <v>45369</v>
      </c>
      <c r="AQ447" s="118">
        <v>45369</v>
      </c>
      <c r="AR447" s="121">
        <v>45999</v>
      </c>
      <c r="AS447" s="121">
        <v>46203</v>
      </c>
      <c r="AT447" s="125" t="s">
        <v>2605</v>
      </c>
      <c r="AU447" s="122" t="s">
        <v>2368</v>
      </c>
      <c r="AV447" s="120"/>
      <c r="AW447" s="119" t="s">
        <v>1651</v>
      </c>
      <c r="AX447" s="194" t="str">
        <f>IFERROR(IF(PAC!$X447="F01 - CAPTAÇÃO DE RECURSO",1,""),"")</f>
        <v/>
      </c>
      <c r="AY447" s="194" t="str">
        <f>IFERROR(IF(PAC!$X447="F02 - LICITAÇÃO",1,""),"")</f>
        <v/>
      </c>
      <c r="AZ447" s="123" t="str">
        <f>IFERROR(IF(PAC!$X$6:$X$581="F03 - EXECUÇÃO DO OBJETO",1,""),"")</f>
        <v/>
      </c>
      <c r="BA447" s="123">
        <f>IFERROR(IF(PAC!$X$6:$X$581="F04 - CONCLUÍDA",1,""),"")</f>
        <v>1</v>
      </c>
      <c r="BB447" s="191">
        <f>IF(PAC!$R447&gt;0,0,PAC!$Q447)</f>
        <v>0</v>
      </c>
    </row>
    <row r="448" spans="1:54" s="1" customFormat="1" ht="249.95" customHeight="1" thickBot="1">
      <c r="A448" s="88">
        <f t="shared" si="7"/>
        <v>443</v>
      </c>
      <c r="B448" s="101">
        <v>2023</v>
      </c>
      <c r="C448" s="88" t="s">
        <v>605</v>
      </c>
      <c r="D448" s="88" t="s">
        <v>1010</v>
      </c>
      <c r="E448" s="102" t="s">
        <v>2220</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2470</v>
      </c>
      <c r="Z448" s="107">
        <v>46347</v>
      </c>
      <c r="AA448" s="105">
        <v>52</v>
      </c>
      <c r="AB448" s="40" t="s">
        <v>1472</v>
      </c>
      <c r="AC448" s="108" t="s">
        <v>2130</v>
      </c>
      <c r="AD448" s="107">
        <v>46347</v>
      </c>
      <c r="AE448" s="128" t="s">
        <v>1296</v>
      </c>
      <c r="AF448" s="40" t="s">
        <v>583</v>
      </c>
      <c r="AG448" s="40" t="s">
        <v>2625</v>
      </c>
      <c r="AH448" s="40" t="s">
        <v>977</v>
      </c>
      <c r="AI448" s="40"/>
      <c r="AJ448" s="87">
        <v>47034</v>
      </c>
      <c r="AK448" s="40"/>
      <c r="AL448" s="40"/>
      <c r="AM448" s="40"/>
      <c r="AN448" s="87">
        <v>45604</v>
      </c>
      <c r="AO448" s="87">
        <v>45631</v>
      </c>
      <c r="AP448" s="87">
        <v>45705</v>
      </c>
      <c r="AQ448" s="87">
        <v>45807</v>
      </c>
      <c r="AR448" s="107">
        <v>46347</v>
      </c>
      <c r="AS448" s="107">
        <v>46347</v>
      </c>
      <c r="AT448" s="124" t="s">
        <v>2606</v>
      </c>
      <c r="AU448" s="108" t="s">
        <v>2535</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2470</v>
      </c>
      <c r="Z449" s="121">
        <v>46269</v>
      </c>
      <c r="AA449" s="119">
        <v>97</v>
      </c>
      <c r="AB449" s="115" t="s">
        <v>1472</v>
      </c>
      <c r="AC449" s="115" t="s">
        <v>2496</v>
      </c>
      <c r="AD449" s="121">
        <v>46269</v>
      </c>
      <c r="AE449" s="127" t="s">
        <v>1296</v>
      </c>
      <c r="AF449" s="115" t="s">
        <v>586</v>
      </c>
      <c r="AG449" s="115" t="s">
        <v>2626</v>
      </c>
      <c r="AH449" s="115" t="s">
        <v>977</v>
      </c>
      <c r="AI449" s="115"/>
      <c r="AJ449" s="118">
        <v>47034</v>
      </c>
      <c r="AK449" s="115"/>
      <c r="AL449" s="115"/>
      <c r="AM449" s="115"/>
      <c r="AN449" s="118">
        <v>45469</v>
      </c>
      <c r="AO449" s="118">
        <v>45492</v>
      </c>
      <c r="AP449" s="118">
        <v>45548</v>
      </c>
      <c r="AQ449" s="118">
        <v>45579</v>
      </c>
      <c r="AR449" s="121">
        <v>45940</v>
      </c>
      <c r="AS449" s="121">
        <v>46269</v>
      </c>
      <c r="AT449" s="125" t="s">
        <v>2607</v>
      </c>
      <c r="AU449" s="122" t="s">
        <v>2369</v>
      </c>
      <c r="AV449" s="120"/>
      <c r="AW449" s="119" t="s">
        <v>1651</v>
      </c>
      <c r="AX449" s="194" t="str">
        <f>IFERROR(IF(PAC!$X449="F01 - CAPTAÇÃO DE RECURSO",1,""),"")</f>
        <v/>
      </c>
      <c r="AY449" s="194" t="str">
        <f>IFERROR(IF(PAC!$X449="F02 - LICITAÇÃO",1,""),"")</f>
        <v/>
      </c>
      <c r="AZ449" s="123">
        <f>IFERROR(IF(PAC!$X$6:$X$581="F03 - EXECUÇÃO DO OBJETO",1,""),"")</f>
        <v>1</v>
      </c>
      <c r="BA449" s="123" t="str">
        <f>IFERROR(IF(PAC!$X$6:$X$581="F04 - CONCLUÍDA",1,""),"")</f>
        <v/>
      </c>
      <c r="BB449" s="191">
        <f>IF(PAC!$R449&gt;0,0,PAC!$Q449)</f>
        <v>0</v>
      </c>
    </row>
    <row r="450" spans="1:54" s="1" customFormat="1" ht="249.95"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2470</v>
      </c>
      <c r="Z450" s="107">
        <v>46360</v>
      </c>
      <c r="AA450" s="105">
        <v>56</v>
      </c>
      <c r="AB450" s="40" t="s">
        <v>1472</v>
      </c>
      <c r="AC450" s="108" t="s">
        <v>2046</v>
      </c>
      <c r="AD450" s="107">
        <v>46360</v>
      </c>
      <c r="AE450" s="128" t="s">
        <v>1650</v>
      </c>
      <c r="AF450" s="40" t="s">
        <v>534</v>
      </c>
      <c r="AG450" s="40" t="s">
        <v>2150</v>
      </c>
      <c r="AH450" s="40"/>
      <c r="AI450" s="40"/>
      <c r="AJ450" s="87"/>
      <c r="AK450" s="40"/>
      <c r="AL450" s="40"/>
      <c r="AM450" s="40"/>
      <c r="AN450" s="87">
        <v>45541</v>
      </c>
      <c r="AO450" s="87">
        <v>45677</v>
      </c>
      <c r="AP450" s="87">
        <v>45747</v>
      </c>
      <c r="AQ450" s="87">
        <v>45790</v>
      </c>
      <c r="AR450" s="107">
        <v>46330</v>
      </c>
      <c r="AS450" s="107">
        <v>46360</v>
      </c>
      <c r="AT450" s="124" t="s">
        <v>2537</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2470</v>
      </c>
      <c r="Z451" s="121">
        <v>46901</v>
      </c>
      <c r="AA451" s="119">
        <v>0</v>
      </c>
      <c r="AB451" s="115" t="s">
        <v>1472</v>
      </c>
      <c r="AC451" s="122" t="s">
        <v>2499</v>
      </c>
      <c r="AD451" s="121">
        <v>46901</v>
      </c>
      <c r="AE451" s="127" t="s">
        <v>1472</v>
      </c>
      <c r="AF451" s="115" t="s">
        <v>535</v>
      </c>
      <c r="AG451" s="115" t="s">
        <v>2151</v>
      </c>
      <c r="AH451" s="115"/>
      <c r="AI451" s="115"/>
      <c r="AJ451" s="118"/>
      <c r="AK451" s="115"/>
      <c r="AL451" s="115"/>
      <c r="AM451" s="115"/>
      <c r="AN451" s="118">
        <v>45890</v>
      </c>
      <c r="AO451" s="118">
        <v>45992</v>
      </c>
      <c r="AP451" s="118">
        <v>46099</v>
      </c>
      <c r="AQ451" s="118">
        <v>46181</v>
      </c>
      <c r="AR451" s="121">
        <v>46901</v>
      </c>
      <c r="AS451" s="121">
        <v>46901</v>
      </c>
      <c r="AT451" s="125" t="s">
        <v>2498</v>
      </c>
      <c r="AU451" s="122" t="s">
        <v>1929</v>
      </c>
      <c r="AV451" s="120"/>
      <c r="AW451" s="119" t="s">
        <v>1651</v>
      </c>
      <c r="AX451" s="194" t="str">
        <f>IFERROR(IF(PAC!$X451="F01 - CAPTAÇÃO DE RECURSO",1,""),"")</f>
        <v/>
      </c>
      <c r="AY451" s="194" t="str">
        <f>IFERROR(IF(PAC!$X451="F02 - LICITAÇÃO",1,""),"")</f>
        <v/>
      </c>
      <c r="AZ451" s="123">
        <f>IFERROR(IF(PAC!$X$6:$X$581="F03 - EXECUÇÃO DO OBJETO",1,""),"")</f>
        <v>1</v>
      </c>
      <c r="BA451" s="123" t="str">
        <f>IFERROR(IF(PAC!$X$6:$X$581="F04 - CONCLUÍDA",1,""),"")</f>
        <v/>
      </c>
      <c r="BB451" s="191">
        <f>IF(PAC!$R451&gt;0,0,PAC!$Q451)</f>
        <v>0</v>
      </c>
    </row>
    <row r="452" spans="1:54" s="1" customFormat="1" ht="144.75"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2470</v>
      </c>
      <c r="Z452" s="107">
        <v>46465</v>
      </c>
      <c r="AA452" s="105">
        <v>78</v>
      </c>
      <c r="AB452" s="40" t="s">
        <v>1472</v>
      </c>
      <c r="AC452" s="108" t="s">
        <v>2130</v>
      </c>
      <c r="AD452" s="107">
        <v>46465</v>
      </c>
      <c r="AE452" s="128" t="s">
        <v>1296</v>
      </c>
      <c r="AF452" s="40" t="s">
        <v>585</v>
      </c>
      <c r="AG452" s="40" t="s">
        <v>2627</v>
      </c>
      <c r="AH452" s="40" t="s">
        <v>977</v>
      </c>
      <c r="AI452" s="40"/>
      <c r="AJ452" s="87">
        <v>47034</v>
      </c>
      <c r="AK452" s="40"/>
      <c r="AL452" s="40"/>
      <c r="AM452" s="40"/>
      <c r="AN452" s="87">
        <v>45652</v>
      </c>
      <c r="AO452" s="87">
        <v>45729</v>
      </c>
      <c r="AP452" s="87">
        <v>45792</v>
      </c>
      <c r="AQ452" s="87">
        <v>45805</v>
      </c>
      <c r="AR452" s="107">
        <v>46345</v>
      </c>
      <c r="AS452" s="107">
        <v>46465</v>
      </c>
      <c r="AT452" s="124" t="s">
        <v>2608</v>
      </c>
      <c r="AU452" s="108" t="s">
        <v>2370</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2560</v>
      </c>
      <c r="U453" s="116" t="s">
        <v>1570</v>
      </c>
      <c r="V453" s="116"/>
      <c r="W453" s="117">
        <v>8</v>
      </c>
      <c r="X453" s="117" t="s">
        <v>1418</v>
      </c>
      <c r="Y453" s="113" t="s">
        <v>2472</v>
      </c>
      <c r="Z453" s="118"/>
      <c r="AA453" s="119"/>
      <c r="AB453" s="115" t="s">
        <v>1468</v>
      </c>
      <c r="AC453" s="115" t="s">
        <v>1931</v>
      </c>
      <c r="AD453" s="120"/>
      <c r="AE453" s="127" t="s">
        <v>2561</v>
      </c>
      <c r="AF453" s="115" t="s">
        <v>581</v>
      </c>
      <c r="AG453" s="115" t="s">
        <v>2628</v>
      </c>
      <c r="AH453" s="115" t="s">
        <v>977</v>
      </c>
      <c r="AI453" s="115"/>
      <c r="AJ453" s="118">
        <v>46664</v>
      </c>
      <c r="AK453" s="115"/>
      <c r="AL453" s="115"/>
      <c r="AM453" s="115"/>
      <c r="AN453" s="118">
        <v>46108</v>
      </c>
      <c r="AO453" s="118">
        <v>46136</v>
      </c>
      <c r="AP453" s="118">
        <v>46238</v>
      </c>
      <c r="AQ453" s="118"/>
      <c r="AR453" s="121"/>
      <c r="AS453" s="121"/>
      <c r="AT453" s="125" t="s">
        <v>2562</v>
      </c>
      <c r="AU453" s="122" t="s">
        <v>2278</v>
      </c>
      <c r="AV453" s="120"/>
      <c r="AW453" s="119"/>
      <c r="AX453" s="194" t="str">
        <f>IFERROR(IF(PAC!$X453="F01 - CAPTAÇÃO DE RECURSO",1,""),"")</f>
        <v/>
      </c>
      <c r="AY453" s="194">
        <f>IFERROR(IF(PAC!$X453="F02 - LICITAÇÃO",1,""),"")</f>
        <v>1</v>
      </c>
      <c r="AZ453" s="123" t="str">
        <f>IFERROR(IF(PAC!$X$6:$X$581="F03 - EXECUÇÃO DO OBJETO",1,""),"")</f>
        <v/>
      </c>
      <c r="BA453" s="123" t="str">
        <f>IFERROR(IF(PAC!$X$6:$X$581="F04 - CONCLUÍDA",1,""),"")</f>
        <v/>
      </c>
      <c r="BB453" s="191">
        <f>IF(PAC!$R453&gt;0,0,PAC!$Q453)</f>
        <v>0</v>
      </c>
    </row>
    <row r="454" spans="1:54" s="1" customFormat="1" ht="168"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2476</v>
      </c>
      <c r="Z454" s="87"/>
      <c r="AA454" s="105"/>
      <c r="AB454" s="40" t="s">
        <v>1509</v>
      </c>
      <c r="AC454" s="40" t="s">
        <v>2415</v>
      </c>
      <c r="AD454" s="106">
        <v>46325</v>
      </c>
      <c r="AE454" s="102" t="s">
        <v>1946</v>
      </c>
      <c r="AF454" s="40" t="s">
        <v>875</v>
      </c>
      <c r="AG454" s="40"/>
      <c r="AH454" s="40"/>
      <c r="AI454" s="40"/>
      <c r="AJ454" s="87"/>
      <c r="AK454" s="40"/>
      <c r="AL454" s="40"/>
      <c r="AM454" s="40"/>
      <c r="AN454" s="87">
        <v>46539</v>
      </c>
      <c r="AO454" s="87"/>
      <c r="AP454" s="87"/>
      <c r="AQ454" s="87"/>
      <c r="AR454" s="107"/>
      <c r="AS454" s="107"/>
      <c r="AT454" s="176" t="s">
        <v>2380</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2476</v>
      </c>
      <c r="Z455" s="118"/>
      <c r="AA455" s="119"/>
      <c r="AB455" s="115" t="s">
        <v>1509</v>
      </c>
      <c r="AC455" s="115" t="s">
        <v>2500</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2381</v>
      </c>
      <c r="AU455" s="115" t="s">
        <v>1753</v>
      </c>
      <c r="AV455" s="120"/>
      <c r="AW455" s="112" t="s">
        <v>1610</v>
      </c>
      <c r="AX455" s="194">
        <f>IFERROR(IF(PAC!$X455="F01 - CAPTAÇÃO DE RECURSO",1,""),"")</f>
        <v>1</v>
      </c>
      <c r="AY455" s="194" t="str">
        <f>IFERROR(IF(PAC!$X455="F02 - LICITAÇÃO",1,""),"")</f>
        <v/>
      </c>
      <c r="AZ455" s="123" t="str">
        <f>IFERROR(IF(PAC!$X$6:$X$581="F03 - EXECUÇÃO DO OBJETO",1,""),"")</f>
        <v/>
      </c>
      <c r="BA455" s="123" t="str">
        <f>IFERROR(IF(PAC!$X$6:$X$581="F04 - CONCLUÍDA",1,""),"")</f>
        <v/>
      </c>
      <c r="BB455" s="191">
        <f>IF(PAC!$R455&gt;0,0,PAC!$Q455)</f>
        <v>831474768.44000006</v>
      </c>
    </row>
    <row r="456" spans="1:54" s="1" customFormat="1" ht="201" customHeight="1" thickBot="1">
      <c r="A456" s="88">
        <f t="shared" si="8"/>
        <v>451</v>
      </c>
      <c r="B456" s="88">
        <v>2025</v>
      </c>
      <c r="C456" s="88" t="s">
        <v>605</v>
      </c>
      <c r="D456" s="88" t="s">
        <v>1010</v>
      </c>
      <c r="E456" s="102" t="s">
        <v>2221</v>
      </c>
      <c r="F456" s="88" t="s">
        <v>576</v>
      </c>
      <c r="G456" s="88" t="s">
        <v>596</v>
      </c>
      <c r="H456" s="40" t="s">
        <v>1243</v>
      </c>
      <c r="I456" s="88" t="s">
        <v>600</v>
      </c>
      <c r="J456" s="88" t="s">
        <v>216</v>
      </c>
      <c r="K456" s="18">
        <v>147368421.05000001</v>
      </c>
      <c r="L456" s="18"/>
      <c r="M456" s="18"/>
      <c r="N456" s="18"/>
      <c r="O456" s="18"/>
      <c r="P456" s="18"/>
      <c r="Q456" s="20">
        <f>SUM(PAC!$M456:$P456)</f>
        <v>0</v>
      </c>
      <c r="R456" s="20"/>
      <c r="S456" s="20">
        <f>IF(PAC!$R456&gt;0,PAC!$R456,PAC!$Q456)</f>
        <v>0</v>
      </c>
      <c r="T456" s="20"/>
      <c r="U456" s="103" t="s">
        <v>594</v>
      </c>
      <c r="V456" s="103"/>
      <c r="W456" s="104"/>
      <c r="X456" s="104" t="s">
        <v>1419</v>
      </c>
      <c r="Y456" s="101" t="s">
        <v>2480</v>
      </c>
      <c r="Z456" s="87"/>
      <c r="AA456" s="105"/>
      <c r="AB456" s="40"/>
      <c r="AC456" s="40" t="s">
        <v>2222</v>
      </c>
      <c r="AD456" s="106"/>
      <c r="AE456" s="102" t="s">
        <v>1288</v>
      </c>
      <c r="AF456" s="40" t="s">
        <v>877</v>
      </c>
      <c r="AG456" s="40"/>
      <c r="AH456" s="40"/>
      <c r="AI456" s="40"/>
      <c r="AJ456" s="87"/>
      <c r="AK456" s="40"/>
      <c r="AL456" s="40"/>
      <c r="AM456" s="40"/>
      <c r="AN456" s="87">
        <v>46140</v>
      </c>
      <c r="AO456" s="87">
        <v>46168</v>
      </c>
      <c r="AP456" s="87"/>
      <c r="AQ456" s="87"/>
      <c r="AR456" s="107"/>
      <c r="AS456" s="107"/>
      <c r="AT456" s="40" t="s">
        <v>2024</v>
      </c>
      <c r="AU456" s="40" t="s">
        <v>2223</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2476</v>
      </c>
      <c r="Z457" s="118"/>
      <c r="AA457" s="119"/>
      <c r="AB457" s="115" t="s">
        <v>1509</v>
      </c>
      <c r="AC457" s="115" t="s">
        <v>2502</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2501</v>
      </c>
      <c r="AU457" s="115" t="s">
        <v>1753</v>
      </c>
      <c r="AV457" s="120"/>
      <c r="AW457" s="131" t="s">
        <v>1610</v>
      </c>
      <c r="AX457" s="194">
        <f>IFERROR(IF(PAC!$X457="F01 - CAPTAÇÃO DE RECURSO",1,""),"")</f>
        <v>1</v>
      </c>
      <c r="AY457" s="194" t="str">
        <f>IFERROR(IF(PAC!$X457="F02 - LICITAÇÃO",1,""),"")</f>
        <v/>
      </c>
      <c r="AZ457" s="123" t="str">
        <f>IFERROR(IF(PAC!$X$6:$X$581="F03 - EXECUÇÃO DO OBJETO",1,""),"")</f>
        <v/>
      </c>
      <c r="BA457" s="123" t="str">
        <f>IFERROR(IF(PAC!$X$6:$X$581="F04 - CONCLUÍDA",1,""),"")</f>
        <v/>
      </c>
      <c r="BB457" s="191">
        <f>IF(PAC!$R457&gt;0,0,PAC!$Q457)</f>
        <v>23969428.18</v>
      </c>
    </row>
    <row r="458" spans="1:54" s="2" customFormat="1" ht="168.75"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2476</v>
      </c>
      <c r="Z458" s="87"/>
      <c r="AA458" s="105"/>
      <c r="AB458" s="40" t="s">
        <v>1509</v>
      </c>
      <c r="AC458" s="87" t="s">
        <v>2503</v>
      </c>
      <c r="AD458" s="106">
        <v>46325</v>
      </c>
      <c r="AE458" s="102" t="s">
        <v>1946</v>
      </c>
      <c r="AF458" s="40" t="s">
        <v>879</v>
      </c>
      <c r="AG458" s="40"/>
      <c r="AH458" s="40"/>
      <c r="AI458" s="40"/>
      <c r="AJ458" s="87"/>
      <c r="AK458" s="40"/>
      <c r="AL458" s="40"/>
      <c r="AM458" s="40"/>
      <c r="AN458" s="87">
        <v>46539</v>
      </c>
      <c r="AO458" s="87"/>
      <c r="AP458" s="87"/>
      <c r="AQ458" s="87"/>
      <c r="AR458" s="107"/>
      <c r="AS458" s="107"/>
      <c r="AT458" s="176" t="s">
        <v>2269</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2476</v>
      </c>
      <c r="Z459" s="118"/>
      <c r="AA459" s="119"/>
      <c r="AB459" s="115" t="s">
        <v>1509</v>
      </c>
      <c r="AC459" s="115" t="s">
        <v>2504</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2270</v>
      </c>
      <c r="AU459" s="115" t="s">
        <v>1753</v>
      </c>
      <c r="AV459" s="120"/>
      <c r="AW459" s="131" t="s">
        <v>1610</v>
      </c>
      <c r="AX459" s="194">
        <f>IFERROR(IF(PAC!$X459="F01 - CAPTAÇÃO DE RECURSO",1,""),"")</f>
        <v>1</v>
      </c>
      <c r="AY459" s="194" t="str">
        <f>IFERROR(IF(PAC!$X459="F02 - LICITAÇÃO",1,""),"")</f>
        <v/>
      </c>
      <c r="AZ459" s="123" t="str">
        <f>IFERROR(IF(PAC!$X$6:$X$581="F03 - EXECUÇÃO DO OBJETO",1,""),"")</f>
        <v/>
      </c>
      <c r="BA459" s="123" t="str">
        <f>IFERROR(IF(PAC!$X$6:$X$581="F04 - CONCLUÍDA",1,""),"")</f>
        <v/>
      </c>
      <c r="BB459" s="191">
        <f>IF(PAC!$R459&gt;0,0,PAC!$Q459)</f>
        <v>267093049.02000001</v>
      </c>
    </row>
    <row r="460" spans="1:54" s="1" customFormat="1" ht="193.5" customHeight="1" thickBot="1">
      <c r="A460" s="88">
        <f t="shared" si="8"/>
        <v>455</v>
      </c>
      <c r="B460" s="88">
        <v>2025</v>
      </c>
      <c r="C460" s="88" t="s">
        <v>605</v>
      </c>
      <c r="D460" s="88" t="s">
        <v>1010</v>
      </c>
      <c r="E460" s="102" t="s">
        <v>2224</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2476</v>
      </c>
      <c r="Z460" s="87"/>
      <c r="AA460" s="105"/>
      <c r="AB460" s="40" t="s">
        <v>1509</v>
      </c>
      <c r="AC460" s="40" t="s">
        <v>1942</v>
      </c>
      <c r="AD460" s="106">
        <v>46325</v>
      </c>
      <c r="AE460" s="102" t="s">
        <v>2050</v>
      </c>
      <c r="AF460" s="40" t="s">
        <v>881</v>
      </c>
      <c r="AG460" s="40"/>
      <c r="AH460" s="40"/>
      <c r="AI460" s="40"/>
      <c r="AJ460" s="87"/>
      <c r="AK460" s="40"/>
      <c r="AL460" s="40"/>
      <c r="AM460" s="40"/>
      <c r="AN460" s="87"/>
      <c r="AO460" s="87"/>
      <c r="AP460" s="87"/>
      <c r="AQ460" s="87"/>
      <c r="AR460" s="107"/>
      <c r="AS460" s="107"/>
      <c r="AT460" s="178" t="s">
        <v>2121</v>
      </c>
      <c r="AU460" s="40" t="s">
        <v>2203</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2476</v>
      </c>
      <c r="Z461" s="118"/>
      <c r="AA461" s="119"/>
      <c r="AB461" s="115" t="s">
        <v>1509</v>
      </c>
      <c r="AC461" s="115" t="s">
        <v>2505</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2271</v>
      </c>
      <c r="AU461" s="115" t="s">
        <v>1753</v>
      </c>
      <c r="AV461" s="120"/>
      <c r="AW461" s="131" t="s">
        <v>1610</v>
      </c>
      <c r="AX461" s="194">
        <f>IFERROR(IF(PAC!$X461="F01 - CAPTAÇÃO DE RECURSO",1,""),"")</f>
        <v>1</v>
      </c>
      <c r="AY461" s="194" t="str">
        <f>IFERROR(IF(PAC!$X461="F02 - LICITAÇÃO",1,""),"")</f>
        <v/>
      </c>
      <c r="AZ461" s="123" t="str">
        <f>IFERROR(IF(PAC!$X$6:$X$581="F03 - EXECUÇÃO DO OBJETO",1,""),"")</f>
        <v/>
      </c>
      <c r="BA461" s="123" t="str">
        <f>IFERROR(IF(PAC!$X$6:$X$581="F04 - CONCLUÍDA",1,""),"")</f>
        <v/>
      </c>
      <c r="BB461" s="191">
        <f>IF(PAC!$R461&gt;0,0,PAC!$Q461)</f>
        <v>43284620.299999997</v>
      </c>
    </row>
    <row r="462" spans="1:54" s="1" customFormat="1" ht="409.5"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2076</v>
      </c>
      <c r="U462" s="103" t="s">
        <v>594</v>
      </c>
      <c r="V462" s="103" t="s">
        <v>1764</v>
      </c>
      <c r="W462" s="104">
        <v>24</v>
      </c>
      <c r="X462" s="104" t="s">
        <v>1419</v>
      </c>
      <c r="Y462" s="101" t="s">
        <v>2472</v>
      </c>
      <c r="Z462" s="87"/>
      <c r="AA462" s="105"/>
      <c r="AB462" s="40" t="s">
        <v>1509</v>
      </c>
      <c r="AC462" s="40" t="s">
        <v>2079</v>
      </c>
      <c r="AD462" s="106">
        <v>46325</v>
      </c>
      <c r="AE462" s="102" t="s">
        <v>2029</v>
      </c>
      <c r="AF462" s="40" t="s">
        <v>883</v>
      </c>
      <c r="AG462" s="40"/>
      <c r="AH462" s="40"/>
      <c r="AI462" s="40"/>
      <c r="AJ462" s="87"/>
      <c r="AK462" s="40"/>
      <c r="AL462" s="40"/>
      <c r="AM462" s="40"/>
      <c r="AN462" s="87">
        <v>45992</v>
      </c>
      <c r="AO462" s="87">
        <v>46077</v>
      </c>
      <c r="AP462" s="87">
        <v>46162</v>
      </c>
      <c r="AQ462" s="87"/>
      <c r="AR462" s="107"/>
      <c r="AS462" s="107"/>
      <c r="AT462" s="178" t="s">
        <v>2075</v>
      </c>
      <c r="AU462" s="40" t="s">
        <v>2389</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2476</v>
      </c>
      <c r="Z463" s="118"/>
      <c r="AA463" s="119"/>
      <c r="AB463" s="115" t="s">
        <v>1509</v>
      </c>
      <c r="AC463" s="115" t="s">
        <v>2509</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2120</v>
      </c>
      <c r="AU463" s="122" t="s">
        <v>2508</v>
      </c>
      <c r="AV463" s="120"/>
      <c r="AW463" s="131" t="s">
        <v>1610</v>
      </c>
      <c r="AX463" s="194">
        <f>IFERROR(IF(PAC!$X463="F01 - CAPTAÇÃO DE RECURSO",1,""),"")</f>
        <v>1</v>
      </c>
      <c r="AY463" s="194" t="str">
        <f>IFERROR(IF(PAC!$X463="F02 - LICITAÇÃO",1,""),"")</f>
        <v/>
      </c>
      <c r="AZ463" s="123" t="str">
        <f>IFERROR(IF(PAC!$X$6:$X$581="F03 - EXECUÇÃO DO OBJETO",1,""),"")</f>
        <v/>
      </c>
      <c r="BA463" s="123" t="str">
        <f>IFERROR(IF(PAC!$X$6:$X$581="F04 - CONCLUÍDA",1,""),"")</f>
        <v/>
      </c>
      <c r="BB463" s="191">
        <f>IF(PAC!$R463&gt;0,0,PAC!$Q463)</f>
        <v>196567086.78999999</v>
      </c>
    </row>
    <row r="464" spans="1:54" s="1" customFormat="1" ht="249.95"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2480</v>
      </c>
      <c r="Z464" s="87"/>
      <c r="AA464" s="105"/>
      <c r="AB464" s="40"/>
      <c r="AC464" s="40" t="s">
        <v>2083</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2486</v>
      </c>
      <c r="Z465" s="118"/>
      <c r="AA465" s="119"/>
      <c r="AB465" s="115"/>
      <c r="AC465" s="115" t="s">
        <v>2047</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4">
        <f>IFERROR(IF(PAC!$X465="F01 - CAPTAÇÃO DE RECURSO",1,""),"")</f>
        <v>1</v>
      </c>
      <c r="AY465" s="194" t="str">
        <f>IFERROR(IF(PAC!$X465="F02 - LICITAÇÃO",1,""),"")</f>
        <v/>
      </c>
      <c r="AZ465" s="123" t="str">
        <f>IFERROR(IF(PAC!$X$6:$X$581="F03 - EXECUÇÃO DO OBJETO",1,""),"")</f>
        <v/>
      </c>
      <c r="BA465" s="123" t="str">
        <f>IFERROR(IF(PAC!$X$6:$X$581="F04 - CONCLUÍDA",1,""),"")</f>
        <v/>
      </c>
      <c r="BB465" s="191">
        <f>IF(PAC!$R465&gt;0,0,PAC!$Q465)</f>
        <v>0</v>
      </c>
    </row>
    <row r="466" spans="1:54" s="1" customFormat="1" ht="249.95"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2486</v>
      </c>
      <c r="Z466" s="87"/>
      <c r="AA466" s="105"/>
      <c r="AB466" s="40"/>
      <c r="AC466" s="40" t="s">
        <v>2048</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2486</v>
      </c>
      <c r="Z467" s="118"/>
      <c r="AA467" s="119"/>
      <c r="AB467" s="115"/>
      <c r="AC467" s="115" t="s">
        <v>2047</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4">
        <f>IFERROR(IF(PAC!$X467="F01 - CAPTAÇÃO DE RECURSO",1,""),"")</f>
        <v>1</v>
      </c>
      <c r="AY467" s="194" t="str">
        <f>IFERROR(IF(PAC!$X467="F02 - LICITAÇÃO",1,""),"")</f>
        <v/>
      </c>
      <c r="AZ467" s="123" t="str">
        <f>IFERROR(IF(PAC!$X$6:$X$581="F03 - EXECUÇÃO DO OBJETO",1,""),"")</f>
        <v/>
      </c>
      <c r="BA467" s="123" t="str">
        <f>IFERROR(IF(PAC!$X$6:$X$581="F04 - CONCLUÍDA",1,""),"")</f>
        <v/>
      </c>
      <c r="BB467" s="191">
        <f>IF(PAC!$R467&gt;0,0,PAC!$Q467)</f>
        <v>0</v>
      </c>
    </row>
    <row r="468" spans="1:54" s="1" customFormat="1" ht="249.95"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2486</v>
      </c>
      <c r="Z468" s="87"/>
      <c r="AA468" s="105"/>
      <c r="AB468" s="40"/>
      <c r="AC468" s="40" t="s">
        <v>2048</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2486</v>
      </c>
      <c r="Z469" s="118"/>
      <c r="AA469" s="119"/>
      <c r="AB469" s="115"/>
      <c r="AC469" s="115" t="s">
        <v>2047</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4">
        <f>IFERROR(IF(PAC!$X469="F01 - CAPTAÇÃO DE RECURSO",1,""),"")</f>
        <v>1</v>
      </c>
      <c r="AY469" s="194" t="str">
        <f>IFERROR(IF(PAC!$X469="F02 - LICITAÇÃO",1,""),"")</f>
        <v/>
      </c>
      <c r="AZ469" s="123" t="str">
        <f>IFERROR(IF(PAC!$X$6:$X$581="F03 - EXECUÇÃO DO OBJETO",1,""),"")</f>
        <v/>
      </c>
      <c r="BA469" s="123" t="str">
        <f>IFERROR(IF(PAC!$X$6:$X$581="F04 - CONCLUÍDA",1,""),"")</f>
        <v/>
      </c>
      <c r="BB469" s="191">
        <f>IF(PAC!$R469&gt;0,0,PAC!$Q469)</f>
        <v>0</v>
      </c>
    </row>
    <row r="470" spans="1:54" s="1" customFormat="1" ht="249.95"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2486</v>
      </c>
      <c r="Z470" s="87"/>
      <c r="AA470" s="105"/>
      <c r="AB470" s="40"/>
      <c r="AC470" s="40" t="s">
        <v>2048</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2486</v>
      </c>
      <c r="Z471" s="118"/>
      <c r="AA471" s="119"/>
      <c r="AB471" s="115"/>
      <c r="AC471" s="115" t="s">
        <v>2047</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4">
        <f>IFERROR(IF(PAC!$X471="F01 - CAPTAÇÃO DE RECURSO",1,""),"")</f>
        <v>1</v>
      </c>
      <c r="AY471" s="194" t="str">
        <f>IFERROR(IF(PAC!$X471="F02 - LICITAÇÃO",1,""),"")</f>
        <v/>
      </c>
      <c r="AZ471" s="123" t="str">
        <f>IFERROR(IF(PAC!$X$6:$X$581="F03 - EXECUÇÃO DO OBJETO",1,""),"")</f>
        <v/>
      </c>
      <c r="BA471" s="123" t="str">
        <f>IFERROR(IF(PAC!$X$6:$X$581="F04 - CONCLUÍDA",1,""),"")</f>
        <v/>
      </c>
      <c r="BB471" s="191">
        <f>IF(PAC!$R471&gt;0,0,PAC!$Q471)</f>
        <v>0</v>
      </c>
    </row>
    <row r="472" spans="1:54" s="1" customFormat="1" ht="249.95"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2486</v>
      </c>
      <c r="Z472" s="87"/>
      <c r="AA472" s="105"/>
      <c r="AB472" s="40"/>
      <c r="AC472" s="40" t="s">
        <v>2048</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2483</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4">
        <f>IFERROR(IF(PAC!$X473="F01 - CAPTAÇÃO DE RECURSO",1,""),"")</f>
        <v>1</v>
      </c>
      <c r="AY473" s="194" t="str">
        <f>IFERROR(IF(PAC!$X473="F02 - LICITAÇÃO",1,""),"")</f>
        <v/>
      </c>
      <c r="AZ473" s="123" t="str">
        <f>IFERROR(IF(PAC!$X$6:$X$581="F03 - EXECUÇÃO DO OBJETO",1,""),"")</f>
        <v/>
      </c>
      <c r="BA473" s="123" t="str">
        <f>IFERROR(IF(PAC!$X$6:$X$581="F04 - CONCLUÍDA",1,""),"")</f>
        <v/>
      </c>
      <c r="BB473" s="191">
        <f>IF(PAC!$R473&gt;0,0,PAC!$Q473)</f>
        <v>0</v>
      </c>
    </row>
    <row r="474" spans="1:54" s="1" customFormat="1" ht="330"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2486</v>
      </c>
      <c r="Z474" s="87"/>
      <c r="AA474" s="105"/>
      <c r="AB474" s="40"/>
      <c r="AC474" s="40" t="s">
        <v>2048</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2486</v>
      </c>
      <c r="Z475" s="118"/>
      <c r="AA475" s="119"/>
      <c r="AB475" s="115"/>
      <c r="AC475" s="115" t="s">
        <v>2047</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4">
        <f>IFERROR(IF(PAC!$X475="F01 - CAPTAÇÃO DE RECURSO",1,""),"")</f>
        <v>1</v>
      </c>
      <c r="AY475" s="194" t="str">
        <f>IFERROR(IF(PAC!$X475="F02 - LICITAÇÃO",1,""),"")</f>
        <v/>
      </c>
      <c r="AZ475" s="123" t="str">
        <f>IFERROR(IF(PAC!$X$6:$X$581="F03 - EXECUÇÃO DO OBJETO",1,""),"")</f>
        <v/>
      </c>
      <c r="BA475" s="123" t="str">
        <f>IFERROR(IF(PAC!$X$6:$X$581="F04 - CONCLUÍDA",1,""),"")</f>
        <v/>
      </c>
      <c r="BB475" s="191">
        <f>IF(PAC!$R475&gt;0,0,PAC!$Q475)</f>
        <v>0</v>
      </c>
    </row>
    <row r="476" spans="1:54" s="1" customFormat="1" ht="270"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2483</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2483</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4">
        <f>IFERROR(IF(PAC!$X477="F01 - CAPTAÇÃO DE RECURSO",1,""),"")</f>
        <v>1</v>
      </c>
      <c r="AY477" s="194" t="str">
        <f>IFERROR(IF(PAC!$X477="F02 - LICITAÇÃO",1,""),"")</f>
        <v/>
      </c>
      <c r="AZ477" s="123" t="str">
        <f>IFERROR(IF(PAC!$X$6:$X$581="F03 - EXECUÇÃO DO OBJETO",1,""),"")</f>
        <v/>
      </c>
      <c r="BA477" s="123" t="str">
        <f>IFERROR(IF(PAC!$X$6:$X$581="F04 - CONCLUÍDA",1,""),"")</f>
        <v/>
      </c>
      <c r="BB477" s="191">
        <f>IF(PAC!$R477&gt;0,0,PAC!$Q477)</f>
        <v>0</v>
      </c>
    </row>
    <row r="478" spans="1:54" s="1" customFormat="1" ht="209.25"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2483</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1010</v>
      </c>
      <c r="E479" s="130" t="s">
        <v>2025</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2476</v>
      </c>
      <c r="Z479" s="118"/>
      <c r="AA479" s="119"/>
      <c r="AB479" s="115" t="s">
        <v>1509</v>
      </c>
      <c r="AC479" s="115" t="s">
        <v>2133</v>
      </c>
      <c r="AD479" s="120">
        <v>46325</v>
      </c>
      <c r="AE479" s="114" t="s">
        <v>2028</v>
      </c>
      <c r="AF479" s="115" t="s">
        <v>1521</v>
      </c>
      <c r="AG479" s="115"/>
      <c r="AH479" s="115"/>
      <c r="AI479" s="115"/>
      <c r="AJ479" s="118"/>
      <c r="AK479" s="115"/>
      <c r="AL479" s="115"/>
      <c r="AM479" s="115"/>
      <c r="AN479" s="118"/>
      <c r="AO479" s="118"/>
      <c r="AP479" s="118"/>
      <c r="AQ479" s="118"/>
      <c r="AR479" s="121"/>
      <c r="AS479" s="121"/>
      <c r="AT479" s="177" t="s">
        <v>2120</v>
      </c>
      <c r="AU479" s="115" t="s">
        <v>2225</v>
      </c>
      <c r="AV479" s="120"/>
      <c r="AW479" s="112" t="s">
        <v>1882</v>
      </c>
      <c r="AX479" s="194">
        <f>IFERROR(IF(PAC!$X479="F01 - CAPTAÇÃO DE RECURSO",1,""),"")</f>
        <v>1</v>
      </c>
      <c r="AY479" s="194" t="str">
        <f>IFERROR(IF(PAC!$X479="F02 - LICITAÇÃO",1,""),"")</f>
        <v/>
      </c>
      <c r="AZ479" s="123" t="str">
        <f>IFERROR(IF(PAC!$X$6:$X$581="F03 - EXECUÇÃO DO OBJETO",1,""),"")</f>
        <v/>
      </c>
      <c r="BA479" s="123" t="str">
        <f>IFERROR(IF(PAC!$X$6:$X$581="F04 - CONCLUÍDA",1,""),"")</f>
        <v/>
      </c>
      <c r="BB479" s="191">
        <f>IF(PAC!$R479&gt;0,0,PAC!$Q479)</f>
        <v>428809352.97999996</v>
      </c>
    </row>
    <row r="480" spans="1:54" s="1" customFormat="1" ht="174.95"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2476</v>
      </c>
      <c r="Z480" s="87"/>
      <c r="AA480" s="105"/>
      <c r="AB480" s="40" t="s">
        <v>1509</v>
      </c>
      <c r="AC480" s="40" t="s">
        <v>2526</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2120</v>
      </c>
      <c r="AU480" s="40" t="s">
        <v>2525</v>
      </c>
      <c r="AV480" s="106"/>
      <c r="AW480" s="88" t="s">
        <v>2493</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2473</v>
      </c>
      <c r="Z481" s="118"/>
      <c r="AA481" s="119"/>
      <c r="AB481" s="115" t="s">
        <v>1463</v>
      </c>
      <c r="AC481" s="119" t="s">
        <v>2318</v>
      </c>
      <c r="AD481" s="120">
        <v>46386</v>
      </c>
      <c r="AE481" s="119" t="s">
        <v>1739</v>
      </c>
      <c r="AF481" s="115" t="s">
        <v>1528</v>
      </c>
      <c r="AG481" s="115" t="s">
        <v>2248</v>
      </c>
      <c r="AH481" s="115"/>
      <c r="AI481" s="115"/>
      <c r="AJ481" s="118"/>
      <c r="AK481" s="115"/>
      <c r="AL481" s="115"/>
      <c r="AM481" s="115"/>
      <c r="AN481" s="118">
        <v>46539</v>
      </c>
      <c r="AO481" s="118"/>
      <c r="AP481" s="118"/>
      <c r="AQ481" s="118"/>
      <c r="AR481" s="121"/>
      <c r="AS481" s="121"/>
      <c r="AT481" s="114" t="s">
        <v>1749</v>
      </c>
      <c r="AU481" s="114" t="s">
        <v>2527</v>
      </c>
      <c r="AV481" s="120"/>
      <c r="AW481" s="119" t="s">
        <v>2275</v>
      </c>
      <c r="AX481" s="194" t="str">
        <f>IFERROR(IF(PAC!$X481="F01 - CAPTAÇÃO DE RECURSO",1,""),"")</f>
        <v/>
      </c>
      <c r="AY481" s="194">
        <f>IFERROR(IF(PAC!$X481="F02 - LICITAÇÃO",1,""),"")</f>
        <v>1</v>
      </c>
      <c r="AZ481" s="123" t="str">
        <f>IFERROR(IF(PAC!$X$6:$X$581="F03 - EXECUÇÃO DO OBJETO",1,""),"")</f>
        <v/>
      </c>
      <c r="BA481" s="123" t="str">
        <f>IFERROR(IF(PAC!$X$6:$X$581="F04 - CONCLUÍDA",1,""),"")</f>
        <v/>
      </c>
      <c r="BB481" s="191">
        <f>IF(PAC!$R481&gt;0,0,PAC!$Q481)</f>
        <v>133533279.2481612</v>
      </c>
    </row>
    <row r="482" spans="1:54" s="1" customFormat="1" ht="249.95"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2472</v>
      </c>
      <c r="Z482" s="87"/>
      <c r="AA482" s="105"/>
      <c r="AB482" s="40" t="s">
        <v>1464</v>
      </c>
      <c r="AC482" s="40" t="s">
        <v>2601</v>
      </c>
      <c r="AD482" s="106">
        <v>46266</v>
      </c>
      <c r="AE482" s="40" t="s">
        <v>2599</v>
      </c>
      <c r="AF482" s="40" t="s">
        <v>1528</v>
      </c>
      <c r="AG482" s="40" t="s">
        <v>2251</v>
      </c>
      <c r="AH482" s="40"/>
      <c r="AI482" s="40"/>
      <c r="AJ482" s="87"/>
      <c r="AK482" s="40"/>
      <c r="AL482" s="40"/>
      <c r="AM482" s="40"/>
      <c r="AN482" s="87">
        <v>46244</v>
      </c>
      <c r="AO482" s="87">
        <v>46266</v>
      </c>
      <c r="AP482" s="87"/>
      <c r="AQ482" s="87"/>
      <c r="AR482" s="107"/>
      <c r="AS482" s="107"/>
      <c r="AT482" s="126" t="s">
        <v>1748</v>
      </c>
      <c r="AU482" s="126" t="s">
        <v>2600</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2470</v>
      </c>
      <c r="Z483" s="121">
        <v>46895</v>
      </c>
      <c r="AA483" s="119">
        <v>0</v>
      </c>
      <c r="AB483" s="115" t="s">
        <v>1472</v>
      </c>
      <c r="AC483" s="122" t="s">
        <v>2266</v>
      </c>
      <c r="AD483" s="121">
        <v>46895</v>
      </c>
      <c r="AE483" s="127" t="s">
        <v>1472</v>
      </c>
      <c r="AF483" s="115" t="s">
        <v>534</v>
      </c>
      <c r="AG483" s="115" t="s">
        <v>2264</v>
      </c>
      <c r="AH483" s="115"/>
      <c r="AI483" s="115"/>
      <c r="AJ483" s="118"/>
      <c r="AK483" s="115"/>
      <c r="AL483" s="115"/>
      <c r="AM483" s="115"/>
      <c r="AN483" s="118">
        <v>46024</v>
      </c>
      <c r="AO483" s="118">
        <v>46100</v>
      </c>
      <c r="AP483" s="118">
        <v>46168</v>
      </c>
      <c r="AQ483" s="118">
        <v>46175</v>
      </c>
      <c r="AR483" s="121">
        <v>46895</v>
      </c>
      <c r="AS483" s="121">
        <v>46895</v>
      </c>
      <c r="AT483" s="125" t="s">
        <v>2538</v>
      </c>
      <c r="AU483" s="127" t="s">
        <v>2135</v>
      </c>
      <c r="AV483" s="120"/>
      <c r="AW483" s="119" t="s">
        <v>1651</v>
      </c>
      <c r="AX483" s="194" t="str">
        <f>IFERROR(IF(PAC!$X483="F01 - CAPTAÇÃO DE RECURSO",1,""),"")</f>
        <v/>
      </c>
      <c r="AY483" s="194" t="str">
        <f>IFERROR(IF(PAC!$X483="F02 - LICITAÇÃO",1,""),"")</f>
        <v/>
      </c>
      <c r="AZ483" s="123">
        <f>IFERROR(IF(PAC!$X$6:$X$581="F03 - EXECUÇÃO DO OBJETO",1,""),"")</f>
        <v>1</v>
      </c>
      <c r="BA483" s="123" t="str">
        <f>IFERROR(IF(PAC!$X$6:$X$581="F04 - CONCLUÍDA",1,""),"")</f>
        <v/>
      </c>
      <c r="BB483" s="191">
        <f>IF(PAC!$R483&gt;0,0,PAC!$Q483)</f>
        <v>0</v>
      </c>
    </row>
    <row r="484" spans="1:54" s="1" customFormat="1" ht="252.75" thickBot="1">
      <c r="A484" s="88">
        <f t="shared" si="8"/>
        <v>479</v>
      </c>
      <c r="B484" s="88">
        <v>2025</v>
      </c>
      <c r="C484" s="88" t="s">
        <v>605</v>
      </c>
      <c r="D484" s="88" t="s">
        <v>1010</v>
      </c>
      <c r="E484" s="168" t="s">
        <v>2026</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2027</v>
      </c>
      <c r="U484" s="103" t="s">
        <v>594</v>
      </c>
      <c r="V484" s="103" t="s">
        <v>1764</v>
      </c>
      <c r="W484" s="104"/>
      <c r="X484" s="104" t="s">
        <v>1419</v>
      </c>
      <c r="Y484" s="101" t="s">
        <v>2470</v>
      </c>
      <c r="Z484" s="87"/>
      <c r="AA484" s="105">
        <v>3</v>
      </c>
      <c r="AB484" s="40" t="s">
        <v>1509</v>
      </c>
      <c r="AC484" s="40" t="s">
        <v>2273</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2545</v>
      </c>
      <c r="AU484" s="40" t="s">
        <v>2234</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thickBot="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2470</v>
      </c>
      <c r="Z485" s="118">
        <v>46356</v>
      </c>
      <c r="AA485" s="119">
        <v>53</v>
      </c>
      <c r="AB485" s="115" t="s">
        <v>1472</v>
      </c>
      <c r="AC485" s="115"/>
      <c r="AD485" s="120">
        <v>46271</v>
      </c>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4" t="str">
        <f>IFERROR(IF(PAC!$X485="F01 - CAPTAÇÃO DE RECURSO",1,""),"")</f>
        <v/>
      </c>
      <c r="AY485" s="194" t="str">
        <f>IFERROR(IF(PAC!$X485="F02 - LICITAÇÃO",1,""),"")</f>
        <v/>
      </c>
      <c r="AZ485" s="123">
        <f>IFERROR(IF(PAC!$X$6:$X$581="F03 - EXECUÇÃO DO OBJETO",1,""),"")</f>
        <v>1</v>
      </c>
      <c r="BA485" s="123" t="str">
        <f>IFERROR(IF(PAC!$X$6:$X$581="F04 - CONCLUÍDA",1,""),"")</f>
        <v/>
      </c>
      <c r="BB485" s="191">
        <f>IF(PAC!$R485&gt;0,0,PAC!$Q485)</f>
        <v>0</v>
      </c>
    </row>
    <row r="486" spans="1:54" s="1" customFormat="1" ht="409.6" thickBot="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2470</v>
      </c>
      <c r="Z486" s="87">
        <v>46476</v>
      </c>
      <c r="AA486" s="105">
        <v>25</v>
      </c>
      <c r="AB486" s="40" t="s">
        <v>1472</v>
      </c>
      <c r="AC486" s="124"/>
      <c r="AD486" s="106">
        <v>46409</v>
      </c>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2226</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2470</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2227</v>
      </c>
      <c r="AU487" s="122" t="s">
        <v>1876</v>
      </c>
      <c r="AV487" s="120"/>
      <c r="AW487" s="119" t="s">
        <v>471</v>
      </c>
      <c r="AX487" s="194" t="str">
        <f>IFERROR(IF(PAC!$X487="F01 - CAPTAÇÃO DE RECURSO",1,""),"")</f>
        <v/>
      </c>
      <c r="AY487" s="194" t="str">
        <f>IFERROR(IF(PAC!$X487="F02 - LICITAÇÃO",1,""),"")</f>
        <v/>
      </c>
      <c r="AZ487" s="123">
        <f>IFERROR(IF(PAC!$X$6:$X$581="F03 - EXECUÇÃO DO OBJETO",1,""),"")</f>
        <v>1</v>
      </c>
      <c r="BA487" s="123" t="str">
        <f>IFERROR(IF(PAC!$X$6:$X$581="F04 - CONCLUÍDA",1,""),"")</f>
        <v/>
      </c>
      <c r="BB487" s="191">
        <f>IF(PAC!$R487&gt;0,0,PAC!$Q487)</f>
        <v>0</v>
      </c>
    </row>
    <row r="488" spans="1:54" s="1" customFormat="1" ht="74.25"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2470</v>
      </c>
      <c r="Z488" s="87">
        <v>46477</v>
      </c>
      <c r="AA488" s="105">
        <v>38.83</v>
      </c>
      <c r="AB488" s="40" t="s">
        <v>1472</v>
      </c>
      <c r="AC488" s="40"/>
      <c r="AD488" s="106">
        <v>46323</v>
      </c>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2228</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2470</v>
      </c>
      <c r="Z489" s="118">
        <v>46477</v>
      </c>
      <c r="AA489" s="119">
        <v>31.12</v>
      </c>
      <c r="AB489" s="115" t="s">
        <v>1472</v>
      </c>
      <c r="AC489" s="115"/>
      <c r="AD489" s="120">
        <v>46323</v>
      </c>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2229</v>
      </c>
      <c r="AU489" s="115" t="s">
        <v>1399</v>
      </c>
      <c r="AV489" s="120"/>
      <c r="AW489" s="119" t="s">
        <v>471</v>
      </c>
      <c r="AX489" s="194" t="str">
        <f>IFERROR(IF(PAC!$X489="F01 - CAPTAÇÃO DE RECURSO",1,""),"")</f>
        <v/>
      </c>
      <c r="AY489" s="194" t="str">
        <f>IFERROR(IF(PAC!$X489="F02 - LICITAÇÃO",1,""),"")</f>
        <v/>
      </c>
      <c r="AZ489" s="123">
        <f>IFERROR(IF(PAC!$X$6:$X$581="F03 - EXECUÇÃO DO OBJETO",1,""),"")</f>
        <v>1</v>
      </c>
      <c r="BA489" s="123" t="str">
        <f>IFERROR(IF(PAC!$X$6:$X$581="F04 - CONCLUÍDA",1,""),"")</f>
        <v/>
      </c>
      <c r="BB489" s="191">
        <f>IF(PAC!$R489&gt;0,0,PAC!$Q489)</f>
        <v>0</v>
      </c>
    </row>
    <row r="490" spans="1:54" s="1" customFormat="1" ht="2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2470</v>
      </c>
      <c r="Z490" s="87">
        <v>46477</v>
      </c>
      <c r="AA490" s="105">
        <v>36.729999999999997</v>
      </c>
      <c r="AB490" s="40" t="s">
        <v>1472</v>
      </c>
      <c r="AC490" s="40"/>
      <c r="AD490" s="106">
        <v>46323</v>
      </c>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2230</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thickBot="1">
      <c r="A491" s="112">
        <f t="shared" si="8"/>
        <v>486</v>
      </c>
      <c r="B491" s="112">
        <v>2026</v>
      </c>
      <c r="C491" s="31" t="s">
        <v>605</v>
      </c>
      <c r="D491" s="31" t="s">
        <v>1010</v>
      </c>
      <c r="E491" s="130" t="s">
        <v>2062</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2473</v>
      </c>
      <c r="Z491" s="118">
        <v>46356</v>
      </c>
      <c r="AA491" s="119"/>
      <c r="AB491" s="115" t="s">
        <v>1457</v>
      </c>
      <c r="AC491" s="115" t="s">
        <v>2140</v>
      </c>
      <c r="AD491" s="120">
        <v>46356</v>
      </c>
      <c r="AE491" s="114" t="s">
        <v>2142</v>
      </c>
      <c r="AF491" s="115" t="s">
        <v>2086</v>
      </c>
      <c r="AG491" s="115" t="s">
        <v>2070</v>
      </c>
      <c r="AH491" s="115" t="s">
        <v>1974</v>
      </c>
      <c r="AI491" s="181"/>
      <c r="AJ491" s="118">
        <v>46265</v>
      </c>
      <c r="AK491" s="115"/>
      <c r="AL491" s="115"/>
      <c r="AM491" s="115"/>
      <c r="AN491" s="118"/>
      <c r="AO491" s="118"/>
      <c r="AP491" s="118"/>
      <c r="AQ491" s="118"/>
      <c r="AR491" s="121"/>
      <c r="AS491" s="121"/>
      <c r="AT491" s="114" t="s">
        <v>2763</v>
      </c>
      <c r="AU491" s="122"/>
      <c r="AV491" s="120"/>
      <c r="AW491" s="119" t="s">
        <v>2071</v>
      </c>
      <c r="AX491" s="194">
        <f>IFERROR(IF(PAC!$X491="F01 - CAPTAÇÃO DE RECURSO",1,""),"")</f>
        <v>1</v>
      </c>
      <c r="AY491" s="194" t="str">
        <f>IFERROR(IF(PAC!$X491="F02 - LICITAÇÃO",1,""),"")</f>
        <v/>
      </c>
      <c r="AZ491" s="123" t="str">
        <f>IFERROR(IF(PAC!$X$6:$X$581="F03 - EXECUÇÃO DO OBJETO",1,""),"")</f>
        <v/>
      </c>
      <c r="BA491" s="123" t="str">
        <f>IFERROR(IF(PAC!$X$6:$X$581="F04 - CONCLUÍDA",1,""),"")</f>
        <v/>
      </c>
      <c r="BB491" s="191">
        <f>IF(PAC!$R491&gt;0,0,PAC!$Q491)</f>
        <v>4294206.22</v>
      </c>
    </row>
    <row r="492" spans="1:54" s="1" customFormat="1" ht="409.6" thickBot="1">
      <c r="A492" s="88">
        <f t="shared" si="8"/>
        <v>487</v>
      </c>
      <c r="B492" s="88">
        <v>2026</v>
      </c>
      <c r="C492" s="88" t="s">
        <v>605</v>
      </c>
      <c r="D492" s="88" t="s">
        <v>1010</v>
      </c>
      <c r="E492" s="168" t="s">
        <v>2063</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2473</v>
      </c>
      <c r="Z492" s="87">
        <v>46356</v>
      </c>
      <c r="AA492" s="105"/>
      <c r="AB492" s="40" t="s">
        <v>1457</v>
      </c>
      <c r="AC492" s="40" t="s">
        <v>2141</v>
      </c>
      <c r="AD492" s="106">
        <v>46356</v>
      </c>
      <c r="AE492" s="102" t="s">
        <v>2142</v>
      </c>
      <c r="AF492" s="40" t="s">
        <v>2085</v>
      </c>
      <c r="AG492" s="40" t="s">
        <v>2069</v>
      </c>
      <c r="AH492" s="40" t="s">
        <v>1974</v>
      </c>
      <c r="AI492" s="40"/>
      <c r="AJ492" s="87">
        <v>46265</v>
      </c>
      <c r="AK492" s="40"/>
      <c r="AL492" s="40"/>
      <c r="AM492" s="40"/>
      <c r="AN492" s="87"/>
      <c r="AO492" s="87"/>
      <c r="AP492" s="87"/>
      <c r="AQ492" s="87"/>
      <c r="AR492" s="107"/>
      <c r="AS492" s="107"/>
      <c r="AT492" s="102" t="s">
        <v>2764</v>
      </c>
      <c r="AU492" s="40"/>
      <c r="AV492" s="106"/>
      <c r="AW492" s="105" t="s">
        <v>2072</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customHeight="1" thickBot="1">
      <c r="A493" s="112">
        <f t="shared" si="8"/>
        <v>488</v>
      </c>
      <c r="B493" s="112">
        <v>2026</v>
      </c>
      <c r="C493" s="112" t="s">
        <v>605</v>
      </c>
      <c r="D493" s="112" t="s">
        <v>1010</v>
      </c>
      <c r="E493" s="130" t="s">
        <v>2064</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2473</v>
      </c>
      <c r="Z493" s="118">
        <v>46356</v>
      </c>
      <c r="AA493" s="119"/>
      <c r="AB493" s="115" t="s">
        <v>1457</v>
      </c>
      <c r="AC493" s="115" t="s">
        <v>2141</v>
      </c>
      <c r="AD493" s="120">
        <v>46356</v>
      </c>
      <c r="AE493" s="114" t="s">
        <v>2142</v>
      </c>
      <c r="AF493" s="115" t="s">
        <v>2087</v>
      </c>
      <c r="AG493" s="115" t="s">
        <v>2068</v>
      </c>
      <c r="AH493" s="115" t="s">
        <v>1974</v>
      </c>
      <c r="AI493" s="115"/>
      <c r="AJ493" s="118">
        <v>46265</v>
      </c>
      <c r="AK493" s="115"/>
      <c r="AL493" s="115"/>
      <c r="AM493" s="115"/>
      <c r="AN493" s="118"/>
      <c r="AO493" s="118"/>
      <c r="AP493" s="118"/>
      <c r="AQ493" s="118"/>
      <c r="AR493" s="121"/>
      <c r="AS493" s="121"/>
      <c r="AT493" s="114" t="s">
        <v>2764</v>
      </c>
      <c r="AU493" s="122"/>
      <c r="AV493" s="120"/>
      <c r="AW493" s="119" t="s">
        <v>2073</v>
      </c>
      <c r="AX493" s="194">
        <f>IFERROR(IF(PAC!$X493="F01 - CAPTAÇÃO DE RECURSO",1,""),"")</f>
        <v>1</v>
      </c>
      <c r="AY493" s="194" t="str">
        <f>IFERROR(IF(PAC!$X493="F02 - LICITAÇÃO",1,""),"")</f>
        <v/>
      </c>
      <c r="AZ493" s="123" t="str">
        <f>IFERROR(IF(PAC!$X$6:$X$581="F03 - EXECUÇÃO DO OBJETO",1,""),"")</f>
        <v/>
      </c>
      <c r="BA493" s="123" t="str">
        <f>IFERROR(IF(PAC!$X$6:$X$581="F04 - CONCLUÍDA",1,""),"")</f>
        <v/>
      </c>
      <c r="BB493" s="191">
        <f>IF(PAC!$R493&gt;0,0,PAC!$Q493)</f>
        <v>3311707.93</v>
      </c>
    </row>
    <row r="494" spans="1:54" s="1" customFormat="1" ht="182.25" customHeight="1" thickBot="1">
      <c r="A494" s="88">
        <f t="shared" si="8"/>
        <v>489</v>
      </c>
      <c r="B494" s="88">
        <v>2026</v>
      </c>
      <c r="C494" s="18" t="s">
        <v>605</v>
      </c>
      <c r="D494" s="18" t="s">
        <v>1010</v>
      </c>
      <c r="E494" s="89" t="s">
        <v>2065</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2473</v>
      </c>
      <c r="Z494" s="87">
        <v>46356</v>
      </c>
      <c r="AA494" s="105"/>
      <c r="AB494" s="40" t="s">
        <v>1457</v>
      </c>
      <c r="AC494" s="40" t="s">
        <v>2141</v>
      </c>
      <c r="AD494" s="106">
        <v>46356</v>
      </c>
      <c r="AE494" s="102" t="s">
        <v>2142</v>
      </c>
      <c r="AF494" s="40" t="s">
        <v>2088</v>
      </c>
      <c r="AG494" s="40" t="s">
        <v>2067</v>
      </c>
      <c r="AH494" s="40" t="s">
        <v>1974</v>
      </c>
      <c r="AI494" s="40"/>
      <c r="AJ494" s="87">
        <v>46265</v>
      </c>
      <c r="AK494" s="40"/>
      <c r="AL494" s="40"/>
      <c r="AM494" s="40"/>
      <c r="AN494" s="87"/>
      <c r="AO494" s="87"/>
      <c r="AP494" s="87"/>
      <c r="AQ494" s="87"/>
      <c r="AR494" s="107"/>
      <c r="AS494" s="107"/>
      <c r="AT494" s="102" t="s">
        <v>2765</v>
      </c>
      <c r="AU494" s="108"/>
      <c r="AV494" s="106"/>
      <c r="AW494" s="105" t="s">
        <v>2074</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thickBot="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2470</v>
      </c>
      <c r="Z495" s="118">
        <v>47744</v>
      </c>
      <c r="AA495" s="119"/>
      <c r="AB495" s="115"/>
      <c r="AC495" s="115"/>
      <c r="AD495" s="120"/>
      <c r="AE495" s="114" t="s">
        <v>1790</v>
      </c>
      <c r="AF495" s="115" t="s">
        <v>981</v>
      </c>
      <c r="AG495" s="115" t="s">
        <v>2288</v>
      </c>
      <c r="AH495" s="115" t="s">
        <v>977</v>
      </c>
      <c r="AI495" s="115"/>
      <c r="AJ495" s="118"/>
      <c r="AK495" s="115" t="s">
        <v>1189</v>
      </c>
      <c r="AL495" s="115"/>
      <c r="AM495" s="115"/>
      <c r="AN495" s="118">
        <v>45860</v>
      </c>
      <c r="AO495" s="118">
        <v>45938</v>
      </c>
      <c r="AP495" s="118">
        <v>45953</v>
      </c>
      <c r="AQ495" s="118">
        <v>45974</v>
      </c>
      <c r="AR495" s="121">
        <v>47744</v>
      </c>
      <c r="AS495" s="121">
        <v>47744</v>
      </c>
      <c r="AT495" s="114" t="s">
        <v>2683</v>
      </c>
      <c r="AU495" s="182" t="s">
        <v>2137</v>
      </c>
      <c r="AV495" s="120"/>
      <c r="AW495" s="119"/>
      <c r="AX495" s="194" t="str">
        <f>IFERROR(IF(PAC!$X495="F01 - CAPTAÇÃO DE RECURSO",1,""),"")</f>
        <v/>
      </c>
      <c r="AY495" s="194" t="str">
        <f>IFERROR(IF(PAC!$X495="F02 - LICITAÇÃO",1,""),"")</f>
        <v/>
      </c>
      <c r="AZ495" s="123">
        <f>IFERROR(IF(PAC!$X$6:$X$581="F03 - EXECUÇÃO DO OBJETO",1,""),"")</f>
        <v>1</v>
      </c>
      <c r="BA495" s="123" t="str">
        <f>IFERROR(IF(PAC!$X$6:$X$581="F04 - CONCLUÍDA",1,""),"")</f>
        <v/>
      </c>
      <c r="BB495" s="191">
        <f>IF(PAC!$R495&gt;0,0,PAC!$Q495)</f>
        <v>0</v>
      </c>
    </row>
    <row r="496" spans="1:54" s="1" customFormat="1" ht="409.6" thickBot="1">
      <c r="A496" s="88">
        <f t="shared" si="8"/>
        <v>491</v>
      </c>
      <c r="B496" s="101">
        <v>2023</v>
      </c>
      <c r="C496" s="88" t="s">
        <v>610</v>
      </c>
      <c r="D496" s="88" t="s">
        <v>1010</v>
      </c>
      <c r="E496" s="102" t="s">
        <v>2129</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2473</v>
      </c>
      <c r="Z496" s="87"/>
      <c r="AA496" s="105"/>
      <c r="AB496" s="40" t="s">
        <v>1459</v>
      </c>
      <c r="AC496" s="40" t="s">
        <v>2286</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2231</v>
      </c>
      <c r="AU496" s="40" t="s">
        <v>2232</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2472</v>
      </c>
      <c r="Z497" s="118"/>
      <c r="AA497" s="119"/>
      <c r="AB497" s="115" t="s">
        <v>1464</v>
      </c>
      <c r="AC497" s="115" t="s">
        <v>2284</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2452</v>
      </c>
      <c r="AU497" s="122" t="s">
        <v>2285</v>
      </c>
      <c r="AV497" s="120"/>
      <c r="AW497" s="119"/>
      <c r="AX497" s="194" t="str">
        <f>IFERROR(IF(PAC!$X497="F01 - CAPTAÇÃO DE RECURSO",1,""),"")</f>
        <v/>
      </c>
      <c r="AY497" s="194">
        <f>IFERROR(IF(PAC!$X497="F02 - LICITAÇÃO",1,""),"")</f>
        <v>1</v>
      </c>
      <c r="AZ497" s="123" t="str">
        <f>IFERROR(IF(PAC!$X$6:$X$581="F03 - EXECUÇÃO DO OBJETO",1,""),"")</f>
        <v/>
      </c>
      <c r="BA497" s="123" t="str">
        <f>IFERROR(IF(PAC!$X$6:$X$581="F04 - CONCLUÍDA",1,""),"")</f>
        <v/>
      </c>
      <c r="BB497" s="191">
        <f>IF(PAC!$R497&gt;0,0,PAC!$Q497)</f>
        <v>713146221.90999997</v>
      </c>
    </row>
    <row r="498" spans="1:54" s="1" customFormat="1" ht="21" customHeight="1" thickBot="1">
      <c r="A498" s="88">
        <f t="shared" si="8"/>
        <v>493</v>
      </c>
      <c r="B498" s="88">
        <v>2023</v>
      </c>
      <c r="C498" s="88" t="s">
        <v>605</v>
      </c>
      <c r="D498" s="88" t="s">
        <v>1010</v>
      </c>
      <c r="E498" s="89" t="s">
        <v>2678</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2472</v>
      </c>
      <c r="Z498" s="87"/>
      <c r="AA498" s="105"/>
      <c r="AB498" s="40" t="s">
        <v>1464</v>
      </c>
      <c r="AC498" s="40" t="s">
        <v>2677</v>
      </c>
      <c r="AD498" s="106">
        <v>46274</v>
      </c>
      <c r="AE498" s="102" t="s">
        <v>2681</v>
      </c>
      <c r="AF498" s="40" t="s">
        <v>2679</v>
      </c>
      <c r="AG498" s="40" t="s">
        <v>1277</v>
      </c>
      <c r="AH498" s="40"/>
      <c r="AI498" s="40"/>
      <c r="AJ498" s="87"/>
      <c r="AK498" s="40"/>
      <c r="AL498" s="40"/>
      <c r="AM498" s="40"/>
      <c r="AN498" s="87">
        <v>46248</v>
      </c>
      <c r="AO498" s="87">
        <v>46274</v>
      </c>
      <c r="AP498" s="87"/>
      <c r="AQ498" s="87"/>
      <c r="AR498" s="107"/>
      <c r="AS498" s="107"/>
      <c r="AT498" s="128" t="s">
        <v>2766</v>
      </c>
      <c r="AU498" s="108" t="s">
        <v>2680</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customHeight="1" thickBot="1">
      <c r="A499" s="112">
        <f t="shared" si="8"/>
        <v>494</v>
      </c>
      <c r="B499" s="112"/>
      <c r="C499" s="112"/>
      <c r="D499" s="112"/>
      <c r="E499" s="130"/>
      <c r="F499" s="115"/>
      <c r="G499" s="115"/>
      <c r="H499" s="112"/>
      <c r="I499" s="112"/>
      <c r="J499" s="112"/>
      <c r="K499" s="31"/>
      <c r="L499" s="31"/>
      <c r="M499" s="31"/>
      <c r="N499" s="31"/>
      <c r="O499" s="31"/>
      <c r="P499" s="31"/>
      <c r="Q499" s="33">
        <f>SUM(PAC!$M499:$P499)</f>
        <v>0</v>
      </c>
      <c r="R499" s="33"/>
      <c r="S499" s="33">
        <f>IF(PAC!$R499&gt;0,PAC!$R499,PAC!$Q499)</f>
        <v>0</v>
      </c>
      <c r="T499" s="33"/>
      <c r="U499" s="116" t="s">
        <v>1493</v>
      </c>
      <c r="V499" s="116"/>
      <c r="W499" s="117"/>
      <c r="X499" s="117"/>
      <c r="Y499" s="113"/>
      <c r="Z499" s="118"/>
      <c r="AA499" s="119"/>
      <c r="AB499" s="115"/>
      <c r="AC499" s="115"/>
      <c r="AD499" s="120"/>
      <c r="AE499" s="114"/>
      <c r="AF499" s="115"/>
      <c r="AG499" s="115"/>
      <c r="AH499" s="115"/>
      <c r="AI499" s="115"/>
      <c r="AJ499" s="118"/>
      <c r="AK499" s="115"/>
      <c r="AL499" s="115"/>
      <c r="AM499" s="115"/>
      <c r="AN499" s="118"/>
      <c r="AO499" s="118"/>
      <c r="AP499" s="118"/>
      <c r="AQ499" s="118"/>
      <c r="AR499" s="121"/>
      <c r="AS499" s="121"/>
      <c r="AT499" s="114"/>
      <c r="AU499" s="122"/>
      <c r="AV499" s="120"/>
      <c r="AW499" s="131"/>
      <c r="AX499" s="194" t="str">
        <f>IFERROR(IF(PAC!$X499="F01 - CAPTAÇÃO DE RECURSO",1,""),"")</f>
        <v/>
      </c>
      <c r="AY499" s="194" t="str">
        <f>IFERROR(IF(PAC!$X499="F02 - LICITAÇÃO",1,""),"")</f>
        <v/>
      </c>
      <c r="AZ499" s="123" t="str">
        <f>IFERROR(IF(PAC!$X$6:$X$581="F03 - EXECUÇÃO DO OBJETO",1,""),"")</f>
        <v/>
      </c>
      <c r="BA499" s="123" t="str">
        <f>IFERROR(IF(PAC!$X$6:$X$581="F04 - CONCLUÍDA",1,""),"")</f>
        <v/>
      </c>
      <c r="BB499" s="191">
        <f>IF(PAC!$R499&gt;0,0,PAC!$Q499)</f>
        <v>0</v>
      </c>
    </row>
    <row r="500" spans="1:54" s="1" customFormat="1" ht="2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4" t="str">
        <f>IFERROR(IF(PAC!$X501="F01 - CAPTAÇÃO DE RECURSO",1,""),"")</f>
        <v/>
      </c>
      <c r="AY501" s="194" t="str">
        <f>IFERROR(IF(PAC!$X501="F02 - LICITAÇÃO",1,""),"")</f>
        <v/>
      </c>
      <c r="AZ501" s="123" t="str">
        <f>IFERROR(IF(PAC!$X$6:$X$581="F03 - EXECUÇÃO DO OBJETO",1,""),"")</f>
        <v/>
      </c>
      <c r="BA501" s="123" t="str">
        <f>IFERROR(IF(PAC!$X$6:$X$581="F04 - CONCLUÍDA",1,""),"")</f>
        <v/>
      </c>
      <c r="BB501" s="191">
        <f>IF(PAC!$R501&gt;0,0,PAC!$Q501)</f>
        <v>0</v>
      </c>
    </row>
    <row r="502" spans="1:54" s="1" customFormat="1" ht="2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4" t="str">
        <f>IFERROR(IF(PAC!$X503="F01 - CAPTAÇÃO DE RECURSO",1,""),"")</f>
        <v/>
      </c>
      <c r="AY503" s="194" t="str">
        <f>IFERROR(IF(PAC!$X503="F02 - LICITAÇÃO",1,""),"")</f>
        <v/>
      </c>
      <c r="AZ503" s="123" t="str">
        <f>IFERROR(IF(PAC!$X$6:$X$581="F03 - EXECUÇÃO DO OBJETO",1,""),"")</f>
        <v/>
      </c>
      <c r="BA503" s="123" t="str">
        <f>IFERROR(IF(PAC!$X$6:$X$581="F04 - CONCLUÍDA",1,""),"")</f>
        <v/>
      </c>
      <c r="BB503" s="191">
        <f>IF(PAC!$R503&gt;0,0,PAC!$Q503)</f>
        <v>0</v>
      </c>
    </row>
    <row r="504" spans="1:54" s="1" customFormat="1" ht="2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4" t="str">
        <f>IFERROR(IF(PAC!$X505="F01 - CAPTAÇÃO DE RECURSO",1,""),"")</f>
        <v/>
      </c>
      <c r="AY505" s="194" t="str">
        <f>IFERROR(IF(PAC!$X505="F02 - LICITAÇÃO",1,""),"")</f>
        <v/>
      </c>
      <c r="AZ505" s="123" t="str">
        <f>IFERROR(IF(PAC!$X$6:$X$581="F03 - EXECUÇÃO DO OBJETO",1,""),"")</f>
        <v/>
      </c>
      <c r="BA505" s="123" t="str">
        <f>IFERROR(IF(PAC!$X$6:$X$581="F04 - CONCLUÍDA",1,""),"")</f>
        <v/>
      </c>
      <c r="BB505" s="191">
        <f>IF(PAC!$R505&gt;0,0,PAC!$Q505)</f>
        <v>0</v>
      </c>
    </row>
    <row r="506" spans="1:54" s="1" customFormat="1" ht="2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4" t="str">
        <f>IFERROR(IF(PAC!$X507="F01 - CAPTAÇÃO DE RECURSO",1,""),"")</f>
        <v/>
      </c>
      <c r="AY507" s="194" t="str">
        <f>IFERROR(IF(PAC!$X507="F02 - LICITAÇÃO",1,""),"")</f>
        <v/>
      </c>
      <c r="AZ507" s="123" t="str">
        <f>IFERROR(IF(PAC!$X$6:$X$581="F03 - EXECUÇÃO DO OBJETO",1,""),"")</f>
        <v/>
      </c>
      <c r="BA507" s="123" t="str">
        <f>IFERROR(IF(PAC!$X$6:$X$581="F04 - CONCLUÍDA",1,""),"")</f>
        <v/>
      </c>
      <c r="BB507" s="191">
        <f>IF(PAC!$R507&gt;0,0,PAC!$Q507)</f>
        <v>0</v>
      </c>
    </row>
    <row r="508" spans="1:54" s="1" customFormat="1" ht="2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4" t="str">
        <f>IFERROR(IF(PAC!$X509="F01 - CAPTAÇÃO DE RECURSO",1,""),"")</f>
        <v/>
      </c>
      <c r="AY509" s="194" t="str">
        <f>IFERROR(IF(PAC!$X509="F02 - LICITAÇÃO",1,""),"")</f>
        <v/>
      </c>
      <c r="AZ509" s="123" t="str">
        <f>IFERROR(IF(PAC!$X$6:$X$581="F03 - EXECUÇÃO DO OBJETO",1,""),"")</f>
        <v/>
      </c>
      <c r="BA509" s="123" t="str">
        <f>IFERROR(IF(PAC!$X$6:$X$581="F04 - CONCLUÍDA",1,""),"")</f>
        <v/>
      </c>
      <c r="BB509" s="191">
        <f>IF(PAC!$R509&gt;0,0,PAC!$Q509)</f>
        <v>0</v>
      </c>
    </row>
    <row r="510" spans="1:54" s="1" customFormat="1" ht="2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4" t="str">
        <f>IFERROR(IF(PAC!$X511="F01 - CAPTAÇÃO DE RECURSO",1,""),"")</f>
        <v/>
      </c>
      <c r="AY511" s="194" t="str">
        <f>IFERROR(IF(PAC!$X511="F02 - LICITAÇÃO",1,""),"")</f>
        <v/>
      </c>
      <c r="AZ511" s="123" t="str">
        <f>IFERROR(IF(PAC!$X$6:$X$581="F03 - EXECUÇÃO DO OBJETO",1,""),"")</f>
        <v/>
      </c>
      <c r="BA511" s="123" t="str">
        <f>IFERROR(IF(PAC!$X$6:$X$581="F04 - CONCLUÍDA",1,""),"")</f>
        <v/>
      </c>
      <c r="BB511" s="191">
        <f>IF(PAC!$R511&gt;0,0,PAC!$Q511)</f>
        <v>0</v>
      </c>
    </row>
    <row r="512" spans="1:54" s="1" customFormat="1" ht="2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4" t="str">
        <f>IFERROR(IF(PAC!$X513="F01 - CAPTAÇÃO DE RECURSO",1,""),"")</f>
        <v/>
      </c>
      <c r="AY513" s="194" t="str">
        <f>IFERROR(IF(PAC!$X513="F02 - LICITAÇÃO",1,""),"")</f>
        <v/>
      </c>
      <c r="AZ513" s="123" t="str">
        <f>IFERROR(IF(PAC!$X$6:$X$581="F03 - EXECUÇÃO DO OBJETO",1,""),"")</f>
        <v/>
      </c>
      <c r="BA513" s="123" t="str">
        <f>IFERROR(IF(PAC!$X$6:$X$581="F04 - CONCLUÍDA",1,""),"")</f>
        <v/>
      </c>
      <c r="BB513" s="191">
        <f>IF(PAC!$R513&gt;0,0,PAC!$Q513)</f>
        <v>0</v>
      </c>
    </row>
    <row r="514" spans="1:54" s="1" customFormat="1" ht="2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4" t="str">
        <f>IFERROR(IF(PAC!$X515="F01 - CAPTAÇÃO DE RECURSO",1,""),"")</f>
        <v/>
      </c>
      <c r="AY515" s="194" t="str">
        <f>IFERROR(IF(PAC!$X515="F02 - LICITAÇÃO",1,""),"")</f>
        <v/>
      </c>
      <c r="AZ515" s="123" t="str">
        <f>IFERROR(IF(PAC!$X$6:$X$581="F03 - EXECUÇÃO DO OBJETO",1,""),"")</f>
        <v/>
      </c>
      <c r="BA515" s="123" t="str">
        <f>IFERROR(IF(PAC!$X$6:$X$581="F04 - CONCLUÍDA",1,""),"")</f>
        <v/>
      </c>
      <c r="BB515" s="191">
        <f>IF(PAC!$R515&gt;0,0,PAC!$Q515)</f>
        <v>0</v>
      </c>
    </row>
    <row r="516" spans="1:54" s="1" customFormat="1" ht="2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4" t="str">
        <f>IFERROR(IF(PAC!$X517="F01 - CAPTAÇÃO DE RECURSO",1,""),"")</f>
        <v/>
      </c>
      <c r="AY517" s="194" t="str">
        <f>IFERROR(IF(PAC!$X517="F02 - LICITAÇÃO",1,""),"")</f>
        <v/>
      </c>
      <c r="AZ517" s="123" t="str">
        <f>IFERROR(IF(PAC!$X$6:$X$581="F03 - EXECUÇÃO DO OBJETO",1,""),"")</f>
        <v/>
      </c>
      <c r="BA517" s="123" t="str">
        <f>IFERROR(IF(PAC!$X$6:$X$581="F04 - CONCLUÍDA",1,""),"")</f>
        <v/>
      </c>
      <c r="BB517" s="191">
        <f>IF(PAC!$R517&gt;0,0,PAC!$Q517)</f>
        <v>0</v>
      </c>
    </row>
    <row r="518" spans="1:54" s="1" customFormat="1" ht="2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4" t="str">
        <f>IFERROR(IF(PAC!$X519="F01 - CAPTAÇÃO DE RECURSO",1,""),"")</f>
        <v/>
      </c>
      <c r="AY519" s="194" t="str">
        <f>IFERROR(IF(PAC!$X519="F02 - LICITAÇÃO",1,""),"")</f>
        <v/>
      </c>
      <c r="AZ519" s="123" t="str">
        <f>IFERROR(IF(PAC!$X$6:$X$581="F03 - EXECUÇÃO DO OBJETO",1,""),"")</f>
        <v/>
      </c>
      <c r="BA519" s="123" t="str">
        <f>IFERROR(IF(PAC!$X$6:$X$581="F04 - CONCLUÍDA",1,""),"")</f>
        <v/>
      </c>
      <c r="BB519" s="191">
        <f>IF(PAC!$R519&gt;0,0,PAC!$Q519)</f>
        <v>0</v>
      </c>
    </row>
    <row r="520" spans="1:54" s="1" customFormat="1" ht="2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4" t="str">
        <f>IFERROR(IF(PAC!$X521="F01 - CAPTAÇÃO DE RECURSO",1,""),"")</f>
        <v/>
      </c>
      <c r="AY521" s="194" t="str">
        <f>IFERROR(IF(PAC!$X521="F02 - LICITAÇÃO",1,""),"")</f>
        <v/>
      </c>
      <c r="AZ521" s="123" t="str">
        <f>IFERROR(IF(PAC!$X$6:$X$581="F03 - EXECUÇÃO DO OBJETO",1,""),"")</f>
        <v/>
      </c>
      <c r="BA521" s="123" t="str">
        <f>IFERROR(IF(PAC!$X$6:$X$581="F04 - CONCLUÍDA",1,""),"")</f>
        <v/>
      </c>
      <c r="BB521" s="191">
        <f>IF(PAC!$R521&gt;0,0,PAC!$Q521)</f>
        <v>0</v>
      </c>
    </row>
    <row r="522" spans="1:54" s="1" customFormat="1" ht="2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4" t="str">
        <f>IFERROR(IF(PAC!$X523="F01 - CAPTAÇÃO DE RECURSO",1,""),"")</f>
        <v/>
      </c>
      <c r="AY523" s="194" t="str">
        <f>IFERROR(IF(PAC!$X523="F02 - LICITAÇÃO",1,""),"")</f>
        <v/>
      </c>
      <c r="AZ523" s="123" t="str">
        <f>IFERROR(IF(PAC!$X$6:$X$581="F03 - EXECUÇÃO DO OBJETO",1,""),"")</f>
        <v/>
      </c>
      <c r="BA523" s="123" t="str">
        <f>IFERROR(IF(PAC!$X$6:$X$581="F04 - CONCLUÍDA",1,""),"")</f>
        <v/>
      </c>
      <c r="BB523" s="191">
        <f>IF(PAC!$R523&gt;0,0,PAC!$Q523)</f>
        <v>0</v>
      </c>
    </row>
    <row r="524" spans="1:54" s="1" customFormat="1" ht="2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4" t="str">
        <f>IFERROR(IF(PAC!$X525="F01 - CAPTAÇÃO DE RECURSO",1,""),"")</f>
        <v/>
      </c>
      <c r="AY525" s="194" t="str">
        <f>IFERROR(IF(PAC!$X525="F02 - LICITAÇÃO",1,""),"")</f>
        <v/>
      </c>
      <c r="AZ525" s="123" t="str">
        <f>IFERROR(IF(PAC!$X$6:$X$581="F03 - EXECUÇÃO DO OBJETO",1,""),"")</f>
        <v/>
      </c>
      <c r="BA525" s="123" t="str">
        <f>IFERROR(IF(PAC!$X$6:$X$581="F04 - CONCLUÍDA",1,""),"")</f>
        <v/>
      </c>
      <c r="BB525" s="191">
        <f>IF(PAC!$R525&gt;0,0,PAC!$Q525)</f>
        <v>0</v>
      </c>
    </row>
    <row r="526" spans="1:54" s="1" customFormat="1" ht="2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4" t="str">
        <f>IFERROR(IF(PAC!$X527="F01 - CAPTAÇÃO DE RECURSO",1,""),"")</f>
        <v/>
      </c>
      <c r="AY527" s="194" t="str">
        <f>IFERROR(IF(PAC!$X527="F02 - LICITAÇÃO",1,""),"")</f>
        <v/>
      </c>
      <c r="AZ527" s="123" t="str">
        <f>IFERROR(IF(PAC!$X$6:$X$581="F03 - EXECUÇÃO DO OBJETO",1,""),"")</f>
        <v/>
      </c>
      <c r="BA527" s="123" t="str">
        <f>IFERROR(IF(PAC!$X$6:$X$581="F04 - CONCLUÍDA",1,""),"")</f>
        <v/>
      </c>
      <c r="BB527" s="191">
        <f>IF(PAC!$R527&gt;0,0,PAC!$Q527)</f>
        <v>0</v>
      </c>
    </row>
    <row r="528" spans="1:54" s="1" customFormat="1" ht="2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4" t="str">
        <f>IFERROR(IF(PAC!$X529="F01 - CAPTAÇÃO DE RECURSO",1,""),"")</f>
        <v/>
      </c>
      <c r="AY529" s="194" t="str">
        <f>IFERROR(IF(PAC!$X529="F02 - LICITAÇÃO",1,""),"")</f>
        <v/>
      </c>
      <c r="AZ529" s="123" t="str">
        <f>IFERROR(IF(PAC!$X$6:$X$581="F03 - EXECUÇÃO DO OBJETO",1,""),"")</f>
        <v/>
      </c>
      <c r="BA529" s="123" t="str">
        <f>IFERROR(IF(PAC!$X$6:$X$581="F04 - CONCLUÍDA",1,""),"")</f>
        <v/>
      </c>
      <c r="BB529" s="191">
        <f>IF(PAC!$R529&gt;0,0,PAC!$Q529)</f>
        <v>0</v>
      </c>
    </row>
    <row r="530" spans="1:54" s="1" customFormat="1" ht="2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4" t="str">
        <f>IFERROR(IF(PAC!$X531="F01 - CAPTAÇÃO DE RECURSO",1,""),"")</f>
        <v/>
      </c>
      <c r="AY531" s="194" t="str">
        <f>IFERROR(IF(PAC!$X531="F02 - LICITAÇÃO",1,""),"")</f>
        <v/>
      </c>
      <c r="AZ531" s="123" t="str">
        <f>IFERROR(IF(PAC!$X$6:$X$581="F03 - EXECUÇÃO DO OBJETO",1,""),"")</f>
        <v/>
      </c>
      <c r="BA531" s="123" t="str">
        <f>IFERROR(IF(PAC!$X$6:$X$581="F04 - CONCLUÍDA",1,""),"")</f>
        <v/>
      </c>
      <c r="BB531" s="191">
        <f>IF(PAC!$R531&gt;0,0,PAC!$Q531)</f>
        <v>0</v>
      </c>
    </row>
    <row r="532" spans="1:54" s="1" customFormat="1" ht="2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4" t="str">
        <f>IFERROR(IF(PAC!$X533="F01 - CAPTAÇÃO DE RECURSO",1,""),"")</f>
        <v/>
      </c>
      <c r="AY533" s="194" t="str">
        <f>IFERROR(IF(PAC!$X533="F02 - LICITAÇÃO",1,""),"")</f>
        <v/>
      </c>
      <c r="AZ533" s="123" t="str">
        <f>IFERROR(IF(PAC!$X$6:$X$581="F03 - EXECUÇÃO DO OBJETO",1,""),"")</f>
        <v/>
      </c>
      <c r="BA533" s="123" t="str">
        <f>IFERROR(IF(PAC!$X$6:$X$581="F04 - CONCLUÍDA",1,""),"")</f>
        <v/>
      </c>
      <c r="BB533" s="191">
        <f>IF(PAC!$R533&gt;0,0,PAC!$Q533)</f>
        <v>0</v>
      </c>
    </row>
    <row r="534" spans="1:54" s="1" customFormat="1" ht="2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4" t="str">
        <f>IFERROR(IF(PAC!$X535="F01 - CAPTAÇÃO DE RECURSO",1,""),"")</f>
        <v/>
      </c>
      <c r="AY535" s="194" t="str">
        <f>IFERROR(IF(PAC!$X535="F02 - LICITAÇÃO",1,""),"")</f>
        <v/>
      </c>
      <c r="AZ535" s="123" t="str">
        <f>IFERROR(IF(PAC!$X$6:$X$581="F03 - EXECUÇÃO DO OBJETO",1,""),"")</f>
        <v/>
      </c>
      <c r="BA535" s="123" t="str">
        <f>IFERROR(IF(PAC!$X$6:$X$581="F04 - CONCLUÍDA",1,""),"")</f>
        <v/>
      </c>
      <c r="BB535" s="191">
        <f>IF(PAC!$R535&gt;0,0,PAC!$Q535)</f>
        <v>0</v>
      </c>
    </row>
    <row r="536" spans="1:54" s="1" customFormat="1" ht="2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4" t="str">
        <f>IFERROR(IF(PAC!$X537="F01 - CAPTAÇÃO DE RECURSO",1,""),"")</f>
        <v/>
      </c>
      <c r="AY537" s="194" t="str">
        <f>IFERROR(IF(PAC!$X537="F02 - LICITAÇÃO",1,""),"")</f>
        <v/>
      </c>
      <c r="AZ537" s="123" t="str">
        <f>IFERROR(IF(PAC!$X$6:$X$581="F03 - EXECUÇÃO DO OBJETO",1,""),"")</f>
        <v/>
      </c>
      <c r="BA537" s="123" t="str">
        <f>IFERROR(IF(PAC!$X$6:$X$581="F04 - CONCLUÍDA",1,""),"")</f>
        <v/>
      </c>
      <c r="BB537" s="191">
        <f>IF(PAC!$R537&gt;0,0,PAC!$Q537)</f>
        <v>0</v>
      </c>
    </row>
    <row r="538" spans="1:54" s="1" customFormat="1" ht="2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4" t="str">
        <f>IFERROR(IF(PAC!$X539="F01 - CAPTAÇÃO DE RECURSO",1,""),"")</f>
        <v/>
      </c>
      <c r="AY539" s="194" t="str">
        <f>IFERROR(IF(PAC!$X539="F02 - LICITAÇÃO",1,""),"")</f>
        <v/>
      </c>
      <c r="AZ539" s="123" t="str">
        <f>IFERROR(IF(PAC!$X$6:$X$581="F03 - EXECUÇÃO DO OBJETO",1,""),"")</f>
        <v/>
      </c>
      <c r="BA539" s="123" t="str">
        <f>IFERROR(IF(PAC!$X$6:$X$581="F04 - CONCLUÍDA",1,""),"")</f>
        <v/>
      </c>
      <c r="BB539" s="191">
        <f>IF(PAC!$R539&gt;0,0,PAC!$Q539)</f>
        <v>0</v>
      </c>
    </row>
    <row r="540" spans="1:54" s="1" customFormat="1" ht="2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4" t="str">
        <f>IFERROR(IF(PAC!$X541="F01 - CAPTAÇÃO DE RECURSO",1,""),"")</f>
        <v/>
      </c>
      <c r="AY541" s="194" t="str">
        <f>IFERROR(IF(PAC!$X541="F02 - LICITAÇÃO",1,""),"")</f>
        <v/>
      </c>
      <c r="AZ541" s="123" t="str">
        <f>IFERROR(IF(PAC!$X$6:$X$581="F03 - EXECUÇÃO DO OBJETO",1,""),"")</f>
        <v/>
      </c>
      <c r="BA541" s="123" t="str">
        <f>IFERROR(IF(PAC!$X$6:$X$581="F04 - CONCLUÍDA",1,""),"")</f>
        <v/>
      </c>
      <c r="BB541" s="191">
        <f>IF(PAC!$R541&gt;0,0,PAC!$Q541)</f>
        <v>0</v>
      </c>
    </row>
    <row r="542" spans="1:54" s="1" customFormat="1" ht="2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4" t="str">
        <f>IFERROR(IF(PAC!$X543="F01 - CAPTAÇÃO DE RECURSO",1,""),"")</f>
        <v/>
      </c>
      <c r="AY543" s="194" t="str">
        <f>IFERROR(IF(PAC!$X543="F02 - LICITAÇÃO",1,""),"")</f>
        <v/>
      </c>
      <c r="AZ543" s="123" t="str">
        <f>IFERROR(IF(PAC!$X$6:$X$581="F03 - EXECUÇÃO DO OBJETO",1,""),"")</f>
        <v/>
      </c>
      <c r="BA543" s="123" t="str">
        <f>IFERROR(IF(PAC!$X$6:$X$581="F04 - CONCLUÍDA",1,""),"")</f>
        <v/>
      </c>
      <c r="BB543" s="191">
        <f>IF(PAC!$R543&gt;0,0,PAC!$Q543)</f>
        <v>0</v>
      </c>
    </row>
    <row r="544" spans="1:54" s="1" customFormat="1" ht="2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4" t="str">
        <f>IFERROR(IF(PAC!$X545="F01 - CAPTAÇÃO DE RECURSO",1,""),"")</f>
        <v/>
      </c>
      <c r="AY545" s="194" t="str">
        <f>IFERROR(IF(PAC!$X545="F02 - LICITAÇÃO",1,""),"")</f>
        <v/>
      </c>
      <c r="AZ545" s="123" t="str">
        <f>IFERROR(IF(PAC!$X$6:$X$581="F03 - EXECUÇÃO DO OBJETO",1,""),"")</f>
        <v/>
      </c>
      <c r="BA545" s="123" t="str">
        <f>IFERROR(IF(PAC!$X$6:$X$581="F04 - CONCLUÍDA",1,""),"")</f>
        <v/>
      </c>
      <c r="BB545" s="191">
        <f>IF(PAC!$R545&gt;0,0,PAC!$Q545)</f>
        <v>0</v>
      </c>
    </row>
    <row r="546" spans="1:54" s="1" customFormat="1" ht="2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4" t="str">
        <f>IFERROR(IF(PAC!$X547="F01 - CAPTAÇÃO DE RECURSO",1,""),"")</f>
        <v/>
      </c>
      <c r="AY547" s="194" t="str">
        <f>IFERROR(IF(PAC!$X547="F02 - LICITAÇÃO",1,""),"")</f>
        <v/>
      </c>
      <c r="AZ547" s="123" t="str">
        <f>IFERROR(IF(PAC!$X$6:$X$581="F03 - EXECUÇÃO DO OBJETO",1,""),"")</f>
        <v/>
      </c>
      <c r="BA547" s="123" t="str">
        <f>IFERROR(IF(PAC!$X$6:$X$581="F04 - CONCLUÍDA",1,""),"")</f>
        <v/>
      </c>
      <c r="BB547" s="191">
        <f>IF(PAC!$R547&gt;0,0,PAC!$Q547)</f>
        <v>0</v>
      </c>
    </row>
    <row r="548" spans="1:54" s="1" customFormat="1" ht="2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4" t="str">
        <f>IFERROR(IF(PAC!$X549="F01 - CAPTAÇÃO DE RECURSO",1,""),"")</f>
        <v/>
      </c>
      <c r="AY549" s="194" t="str">
        <f>IFERROR(IF(PAC!$X549="F02 - LICITAÇÃO",1,""),"")</f>
        <v/>
      </c>
      <c r="AZ549" s="123" t="str">
        <f>IFERROR(IF(PAC!$X$6:$X$581="F03 - EXECUÇÃO DO OBJETO",1,""),"")</f>
        <v/>
      </c>
      <c r="BA549" s="123" t="str">
        <f>IFERROR(IF(PAC!$X$6:$X$581="F04 - CONCLUÍDA",1,""),"")</f>
        <v/>
      </c>
      <c r="BB549" s="191">
        <f>IF(PAC!$R549&gt;0,0,PAC!$Q549)</f>
        <v>0</v>
      </c>
    </row>
    <row r="550" spans="1:54" s="1" customFormat="1" ht="2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4" t="str">
        <f>IFERROR(IF(PAC!$X551="F01 - CAPTAÇÃO DE RECURSO",1,""),"")</f>
        <v/>
      </c>
      <c r="AY551" s="194" t="str">
        <f>IFERROR(IF(PAC!$X551="F02 - LICITAÇÃO",1,""),"")</f>
        <v/>
      </c>
      <c r="AZ551" s="123" t="str">
        <f>IFERROR(IF(PAC!$X$6:$X$581="F03 - EXECUÇÃO DO OBJETO",1,""),"")</f>
        <v/>
      </c>
      <c r="BA551" s="123" t="str">
        <f>IFERROR(IF(PAC!$X$6:$X$581="F04 - CONCLUÍDA",1,""),"")</f>
        <v/>
      </c>
      <c r="BB551" s="191">
        <f>IF(PAC!$R551&gt;0,0,PAC!$Q551)</f>
        <v>0</v>
      </c>
    </row>
    <row r="552" spans="1:54" s="1" customFormat="1" ht="2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4" t="str">
        <f>IFERROR(IF(PAC!$X553="F01 - CAPTAÇÃO DE RECURSO",1,""),"")</f>
        <v/>
      </c>
      <c r="AY553" s="194" t="str">
        <f>IFERROR(IF(PAC!$X553="F02 - LICITAÇÃO",1,""),"")</f>
        <v/>
      </c>
      <c r="AZ553" s="123" t="str">
        <f>IFERROR(IF(PAC!$X$6:$X$581="F03 - EXECUÇÃO DO OBJETO",1,""),"")</f>
        <v/>
      </c>
      <c r="BA553" s="123" t="str">
        <f>IFERROR(IF(PAC!$X$6:$X$581="F04 - CONCLUÍDA",1,""),"")</f>
        <v/>
      </c>
      <c r="BB553" s="191">
        <f>IF(PAC!$R553&gt;0,0,PAC!$Q553)</f>
        <v>0</v>
      </c>
    </row>
    <row r="554" spans="1:54" s="1" customFormat="1" ht="2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4" t="str">
        <f>IFERROR(IF(PAC!$X555="F01 - CAPTAÇÃO DE RECURSO",1,""),"")</f>
        <v/>
      </c>
      <c r="AY555" s="194" t="str">
        <f>IFERROR(IF(PAC!$X555="F02 - LICITAÇÃO",1,""),"")</f>
        <v/>
      </c>
      <c r="AZ555" s="123" t="str">
        <f>IFERROR(IF(PAC!$X$6:$X$581="F03 - EXECUÇÃO DO OBJETO",1,""),"")</f>
        <v/>
      </c>
      <c r="BA555" s="123" t="str">
        <f>IFERROR(IF(PAC!$X$6:$X$581="F04 - CONCLUÍDA",1,""),"")</f>
        <v/>
      </c>
      <c r="BB555" s="191">
        <f>IF(PAC!$R555&gt;0,0,PAC!$Q555)</f>
        <v>0</v>
      </c>
    </row>
    <row r="556" spans="1:54" s="1" customFormat="1" ht="2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4" t="str">
        <f>IFERROR(IF(PAC!$X557="F01 - CAPTAÇÃO DE RECURSO",1,""),"")</f>
        <v/>
      </c>
      <c r="AY557" s="194" t="str">
        <f>IFERROR(IF(PAC!$X557="F02 - LICITAÇÃO",1,""),"")</f>
        <v/>
      </c>
      <c r="AZ557" s="123" t="str">
        <f>IFERROR(IF(PAC!$X$6:$X$581="F03 - EXECUÇÃO DO OBJETO",1,""),"")</f>
        <v/>
      </c>
      <c r="BA557" s="123" t="str">
        <f>IFERROR(IF(PAC!$X$6:$X$581="F04 - CONCLUÍDA",1,""),"")</f>
        <v/>
      </c>
      <c r="BB557" s="191">
        <f>IF(PAC!$R557&gt;0,0,PAC!$Q557)</f>
        <v>0</v>
      </c>
    </row>
    <row r="558" spans="1:54" s="1" customFormat="1" ht="2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4" t="str">
        <f>IFERROR(IF(PAC!$X559="F01 - CAPTAÇÃO DE RECURSO",1,""),"")</f>
        <v/>
      </c>
      <c r="AY559" s="194" t="str">
        <f>IFERROR(IF(PAC!$X559="F02 - LICITAÇÃO",1,""),"")</f>
        <v/>
      </c>
      <c r="AZ559" s="123" t="str">
        <f>IFERROR(IF(PAC!$X$6:$X$581="F03 - EXECUÇÃO DO OBJETO",1,""),"")</f>
        <v/>
      </c>
      <c r="BA559" s="123" t="str">
        <f>IFERROR(IF(PAC!$X$6:$X$581="F04 - CONCLUÍDA",1,""),"")</f>
        <v/>
      </c>
      <c r="BB559" s="191">
        <f>IF(PAC!$R559&gt;0,0,PAC!$Q559)</f>
        <v>0</v>
      </c>
    </row>
    <row r="560" spans="1:54" s="1" customFormat="1" ht="2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4" t="str">
        <f>IFERROR(IF(PAC!$X561="F01 - CAPTAÇÃO DE RECURSO",1,""),"")</f>
        <v/>
      </c>
      <c r="AY561" s="194" t="str">
        <f>IFERROR(IF(PAC!$X561="F02 - LICITAÇÃO",1,""),"")</f>
        <v/>
      </c>
      <c r="AZ561" s="123" t="str">
        <f>IFERROR(IF(PAC!$X$6:$X$581="F03 - EXECUÇÃO DO OBJETO",1,""),"")</f>
        <v/>
      </c>
      <c r="BA561" s="123" t="str">
        <f>IFERROR(IF(PAC!$X$6:$X$581="F04 - CONCLUÍDA",1,""),"")</f>
        <v/>
      </c>
      <c r="BB561" s="191">
        <f>IF(PAC!$R561&gt;0,0,PAC!$Q561)</f>
        <v>0</v>
      </c>
    </row>
    <row r="562" spans="1:54" s="1" customFormat="1" ht="2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4" t="str">
        <f>IFERROR(IF(PAC!$X563="F01 - CAPTAÇÃO DE RECURSO",1,""),"")</f>
        <v/>
      </c>
      <c r="AY563" s="194" t="str">
        <f>IFERROR(IF(PAC!$X563="F02 - LICITAÇÃO",1,""),"")</f>
        <v/>
      </c>
      <c r="AZ563" s="123" t="str">
        <f>IFERROR(IF(PAC!$X$6:$X$581="F03 - EXECUÇÃO DO OBJETO",1,""),"")</f>
        <v/>
      </c>
      <c r="BA563" s="123" t="str">
        <f>IFERROR(IF(PAC!$X$6:$X$581="F04 - CONCLUÍDA",1,""),"")</f>
        <v/>
      </c>
      <c r="BB563" s="191">
        <f>IF(PAC!$R563&gt;0,0,PAC!$Q563)</f>
        <v>0</v>
      </c>
    </row>
    <row r="564" spans="1:54" s="1" customFormat="1" ht="2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4" t="str">
        <f>IFERROR(IF(PAC!$X565="F01 - CAPTAÇÃO DE RECURSO",1,""),"")</f>
        <v/>
      </c>
      <c r="AY565" s="194" t="str">
        <f>IFERROR(IF(PAC!$X565="F02 - LICITAÇÃO",1,""),"")</f>
        <v/>
      </c>
      <c r="AZ565" s="123" t="str">
        <f>IFERROR(IF(PAC!$X$6:$X$581="F03 - EXECUÇÃO DO OBJETO",1,""),"")</f>
        <v/>
      </c>
      <c r="BA565" s="123" t="str">
        <f>IFERROR(IF(PAC!$X$6:$X$581="F04 - CONCLUÍDA",1,""),"")</f>
        <v/>
      </c>
      <c r="BB565" s="191">
        <f>IF(PAC!$R565&gt;0,0,PAC!$Q565)</f>
        <v>0</v>
      </c>
    </row>
    <row r="566" spans="1:54" s="1" customFormat="1" ht="2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4" t="str">
        <f>IFERROR(IF(PAC!$X567="F01 - CAPTAÇÃO DE RECURSO",1,""),"")</f>
        <v/>
      </c>
      <c r="AY567" s="194" t="str">
        <f>IFERROR(IF(PAC!$X567="F02 - LICITAÇÃO",1,""),"")</f>
        <v/>
      </c>
      <c r="AZ567" s="123" t="str">
        <f>IFERROR(IF(PAC!$X$6:$X$581="F03 - EXECUÇÃO DO OBJETO",1,""),"")</f>
        <v/>
      </c>
      <c r="BA567" s="123" t="str">
        <f>IFERROR(IF(PAC!$X$6:$X$581="F04 - CONCLUÍDA",1,""),"")</f>
        <v/>
      </c>
      <c r="BB567" s="191">
        <f>IF(PAC!$R567&gt;0,0,PAC!$Q567)</f>
        <v>0</v>
      </c>
    </row>
    <row r="568" spans="1:54" s="1" customFormat="1" ht="2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4" t="str">
        <f>IFERROR(IF(PAC!$X569="F01 - CAPTAÇÃO DE RECURSO",1,""),"")</f>
        <v/>
      </c>
      <c r="AY569" s="194" t="str">
        <f>IFERROR(IF(PAC!$X569="F02 - LICITAÇÃO",1,""),"")</f>
        <v/>
      </c>
      <c r="AZ569" s="123" t="str">
        <f>IFERROR(IF(PAC!$X$6:$X$581="F03 - EXECUÇÃO DO OBJETO",1,""),"")</f>
        <v/>
      </c>
      <c r="BA569" s="123" t="str">
        <f>IFERROR(IF(PAC!$X$6:$X$581="F04 - CONCLUÍDA",1,""),"")</f>
        <v/>
      </c>
      <c r="BB569" s="191">
        <f>IF(PAC!$R569&gt;0,0,PAC!$Q569)</f>
        <v>0</v>
      </c>
    </row>
    <row r="570" spans="1:54" s="1" customFormat="1" ht="2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4" t="str">
        <f>IFERROR(IF(PAC!$X571="F01 - CAPTAÇÃO DE RECURSO",1,""),"")</f>
        <v/>
      </c>
      <c r="AY571" s="194" t="str">
        <f>IFERROR(IF(PAC!$X571="F02 - LICITAÇÃO",1,""),"")</f>
        <v/>
      </c>
      <c r="AZ571" s="123" t="str">
        <f>IFERROR(IF(PAC!$X$6:$X$581="F03 - EXECUÇÃO DO OBJETO",1,""),"")</f>
        <v/>
      </c>
      <c r="BA571" s="123" t="str">
        <f>IFERROR(IF(PAC!$X$6:$X$581="F04 - CONCLUÍDA",1,""),"")</f>
        <v/>
      </c>
      <c r="BB571" s="191">
        <f>IF(PAC!$R571&gt;0,0,PAC!$Q571)</f>
        <v>0</v>
      </c>
    </row>
    <row r="572" spans="1:54" s="1" customFormat="1" ht="2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4" t="str">
        <f>IFERROR(IF(PAC!$X573="F01 - CAPTAÇÃO DE RECURSO",1,""),"")</f>
        <v/>
      </c>
      <c r="AY573" s="194" t="str">
        <f>IFERROR(IF(PAC!$X573="F02 - LICITAÇÃO",1,""),"")</f>
        <v/>
      </c>
      <c r="AZ573" s="123" t="str">
        <f>IFERROR(IF(PAC!$X$6:$X$581="F03 - EXECUÇÃO DO OBJETO",1,""),"")</f>
        <v/>
      </c>
      <c r="BA573" s="123" t="str">
        <f>IFERROR(IF(PAC!$X$6:$X$581="F04 - CONCLUÍDA",1,""),"")</f>
        <v/>
      </c>
      <c r="BB573" s="191">
        <f>IF(PAC!$R573&gt;0,0,PAC!$Q573)</f>
        <v>0</v>
      </c>
    </row>
    <row r="574" spans="1:54" s="1" customFormat="1" ht="2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4" t="str">
        <f>IFERROR(IF(PAC!$X575="F01 - CAPTAÇÃO DE RECURSO",1,""),"")</f>
        <v/>
      </c>
      <c r="AY575" s="194" t="str">
        <f>IFERROR(IF(PAC!$X575="F02 - LICITAÇÃO",1,""),"")</f>
        <v/>
      </c>
      <c r="AZ575" s="123" t="str">
        <f>IFERROR(IF(PAC!$X$6:$X$581="F03 - EXECUÇÃO DO OBJETO",1,""),"")</f>
        <v/>
      </c>
      <c r="BA575" s="123" t="str">
        <f>IFERROR(IF(PAC!$X$6:$X$581="F04 - CONCLUÍDA",1,""),"")</f>
        <v/>
      </c>
      <c r="BB575" s="191">
        <f>IF(PAC!$R575&gt;0,0,PAC!$Q575)</f>
        <v>0</v>
      </c>
    </row>
    <row r="576" spans="1:54" s="1" customFormat="1" ht="2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4" t="str">
        <f>IFERROR(IF(PAC!$X577="F01 - CAPTAÇÃO DE RECURSO",1,""),"")</f>
        <v/>
      </c>
      <c r="AY577" s="194" t="str">
        <f>IFERROR(IF(PAC!$X577="F02 - LICITAÇÃO",1,""),"")</f>
        <v/>
      </c>
      <c r="AZ577" s="123" t="str">
        <f>IFERROR(IF(PAC!$X$6:$X$581="F03 - EXECUÇÃO DO OBJETO",1,""),"")</f>
        <v/>
      </c>
      <c r="BA577" s="123" t="str">
        <f>IFERROR(IF(PAC!$X$6:$X$581="F04 - CONCLUÍDA",1,""),"")</f>
        <v/>
      </c>
      <c r="BB577" s="191">
        <f>IF(PAC!$R577&gt;0,0,PAC!$Q577)</f>
        <v>0</v>
      </c>
    </row>
    <row r="578" spans="1:70" s="1" customFormat="1" ht="2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4" t="str">
        <f>IFERROR(IF(PAC!$X579="F01 - CAPTAÇÃO DE RECURSO",1,""),"")</f>
        <v/>
      </c>
      <c r="AY579" s="194" t="str">
        <f>IFERROR(IF(PAC!$X579="F02 - LICITAÇÃO",1,""),"")</f>
        <v/>
      </c>
      <c r="AZ579" s="123" t="str">
        <f>IFERROR(IF(PAC!$X$6:$X$581="F03 - EXECUÇÃO DO OBJETO",1,""),"")</f>
        <v/>
      </c>
      <c r="BA579" s="123" t="str">
        <f>IFERROR(IF(PAC!$X$6:$X$581="F04 - CONCLUÍDA",1,""),"")</f>
        <v/>
      </c>
      <c r="BB579" s="191">
        <f>IF(PAC!$R579&gt;0,0,PAC!$Q579)</f>
        <v>0</v>
      </c>
    </row>
    <row r="580" spans="1:70" s="1" customFormat="1" ht="21.75"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4" t="str">
        <f>IFERROR(IF(PAC!$X581="F01 - CAPTAÇÃO DE RECURSO",1,""),"")</f>
        <v/>
      </c>
      <c r="AY581" s="194" t="str">
        <f>IFERROR(IF(PAC!$X581="F02 - LICITAÇÃO",1,""),"")</f>
        <v/>
      </c>
      <c r="AZ581" s="123" t="str">
        <f>IFERROR(IF(PAC!$X$6:$X$581="F03 - EXECUÇÃO DO OBJETO",1,""),"")</f>
        <v/>
      </c>
      <c r="BA581" s="123" t="str">
        <f>IFERROR(IF(PAC!$X$6:$X$581="F04 - CONCLUÍDA",1,""),"")</f>
        <v/>
      </c>
      <c r="BB581" s="191">
        <f>IF(PAC!$R581&gt;0,0,PAC!$Q581)</f>
        <v>0</v>
      </c>
      <c r="BP581" s="61"/>
      <c r="BQ581" s="61"/>
      <c r="BR581" s="61"/>
    </row>
    <row r="582" spans="1:70" ht="27" thickBot="1">
      <c r="A582" s="183"/>
      <c r="B582" s="184"/>
      <c r="C582" s="183"/>
      <c r="D582" s="183"/>
      <c r="E582" s="184"/>
      <c r="F582" s="185"/>
      <c r="G582" s="186"/>
      <c r="H582" s="184"/>
      <c r="I582" s="183"/>
      <c r="J582" s="183"/>
      <c r="K582" s="183"/>
      <c r="L582" s="183"/>
      <c r="M582" s="183"/>
      <c r="N582" s="183"/>
      <c r="O582" s="183"/>
      <c r="P582" s="183"/>
      <c r="Q582" s="183"/>
      <c r="R582" s="183"/>
      <c r="S582" s="183"/>
      <c r="T582" s="183"/>
      <c r="U582" s="183"/>
      <c r="V582" s="183"/>
      <c r="W582" s="183"/>
      <c r="X582" s="183"/>
      <c r="Y582" s="183"/>
      <c r="Z582" s="183"/>
      <c r="AA582" s="184" t="s">
        <v>1295</v>
      </c>
      <c r="AB582" s="184"/>
      <c r="AC582" s="184"/>
      <c r="AD582" s="187"/>
      <c r="AE582" s="184"/>
      <c r="AF582" s="183"/>
      <c r="AG582" s="183"/>
      <c r="AH582" s="183"/>
      <c r="AI582" s="183"/>
      <c r="AJ582" s="188"/>
      <c r="AK582" s="189"/>
      <c r="AL582" s="183"/>
      <c r="AM582" s="183"/>
      <c r="AN582" s="184"/>
      <c r="AO582" s="183"/>
      <c r="AP582" s="185"/>
      <c r="AQ582" s="185"/>
      <c r="AR582" s="183"/>
      <c r="AS582" s="183"/>
      <c r="AT582" s="190"/>
      <c r="AU582" s="184"/>
      <c r="AV582" s="184"/>
      <c r="AW582" s="184"/>
      <c r="AX582" s="198" t="str">
        <f>IFERROR(IF(PAC!$X582="F01 - CAPTAÇÃO DE RECURSO",1,""),"")</f>
        <v/>
      </c>
      <c r="AY582" s="198" t="str">
        <f>IFERROR(IF(PAC!$X582="F02 - LICITAÇÃO",1,""),"")</f>
        <v/>
      </c>
      <c r="AZ582" s="199" t="str">
        <f>IFERROR(IF(PAC!$X$6:$X$581="F03 - EXECUÇÃO DO OBJETO",1,""),"")</f>
        <v/>
      </c>
      <c r="BA582" s="199"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2"/>
      <c r="AT586" s="85"/>
      <c r="BP586" s="61"/>
      <c r="BQ586" s="61"/>
      <c r="BR586" s="61"/>
    </row>
    <row r="587" spans="1:70">
      <c r="M587" s="192"/>
      <c r="AT587" s="77"/>
      <c r="BP587" s="61"/>
      <c r="BQ587" s="61"/>
      <c r="BR587" s="61"/>
    </row>
    <row r="588" spans="1:70">
      <c r="AT588" s="77"/>
      <c r="BP588" s="61"/>
      <c r="BQ588" s="61"/>
      <c r="BR588" s="61"/>
    </row>
    <row r="589" spans="1:70">
      <c r="M589" s="192"/>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customSheetViews>
    <customSheetView guid="{A10EBD83-7D03-4E3F-9980-D4843478A706}" scale="60" showPageBreaks="1" fitToPage="1" printArea="1" filter="1" showAutoFilter="1" hiddenColumns="1">
      <selection activeCell="AU139" sqref="AU139"/>
      <pageMargins left="3.937007874015748E-2" right="3.937007874015748E-2" top="1.1023622047244095" bottom="0.31496062992125984" header="0.11811023622047245" footer="0.19685039370078741"/>
      <printOptions horizontalCentered="1"/>
      <pageSetup paperSize="8" scale="10" fitToHeight="4"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19"/>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60" showPageBreaks="1" fitToPage="1" printArea="1" filter="1" showAutoFilter="1">
      <selection activeCell="J369" sqref="J369"/>
      <pageMargins left="0.11811023622047245" right="0.11811023622047245" top="0.55118110236220474" bottom="0.35433070866141736" header="0.31496062992125984" footer="0.31496062992125984"/>
      <printOptions horizontalCentered="1"/>
      <pageSetup paperSize="9" scale="15"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0FB74A6A-4A44-4BA5-9EB0-B86297CD9790}" scale="60" showPageBreaks="1" fitToPage="1" printArea="1" filter="1" showAutoFilter="1" hiddenColumns="1" topLeftCell="AE10">
      <selection activeCell="AR282" sqref="AR282"/>
      <pageMargins left="3.937007874015748E-2" right="3.937007874015748E-2" top="1.1023622047244095" bottom="0.31496062992125984" header="0.11811023622047245" footer="0.19685039370078741"/>
      <printOptions horizontalCentered="1"/>
      <pageSetup paperSize="8" scale="38"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4"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8" orientation="portrait" r:id="rId1"/>
    </customSheetView>
    <customSheetView guid="{C0A33525-2FAA-4399-909F-1A52282E6E9A}" state="hidden">
      <pageMargins left="0.511811024" right="0.511811024" top="0.78740157499999996" bottom="0.78740157499999996" header="0.31496062000000002" footer="0.31496062000000002"/>
      <pageSetup paperSize="8" orientation="portrait" r:id="rId2"/>
    </customSheetView>
    <customSheetView guid="{650C7FD6-1755-4668-8EF1-3B7C3B405ED0}" state="hidden">
      <pageMargins left="0.511811024" right="0.511811024" top="0.78740157499999996" bottom="0.78740157499999996" header="0.31496062000000002" footer="0.31496062000000002"/>
      <pageSetup paperSize="8" orientation="portrait" r:id="rId3"/>
    </customSheetView>
    <customSheetView guid="{ED1B5C85-9B80-490E-8588-6B2C7D651C3C}" state="hidden">
      <pageMargins left="0.511811024" right="0.511811024" top="0.78740157499999996" bottom="0.78740157499999996" header="0.31496062000000002" footer="0.31496062000000002"/>
      <pageSetup paperSize="8" orientation="portrait" r:id="rId4"/>
    </customSheetView>
    <customSheetView guid="{1F5D5C3B-584A-4E1D-921E-CC88F424DC57}" state="hidden">
      <pageMargins left="0.511811024" right="0.511811024" top="0.78740157499999996" bottom="0.78740157499999996" header="0.31496062000000002" footer="0.31496062000000002"/>
      <pageSetup paperSize="8" orientation="portrait" r:id="rId5"/>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6"/>
    </customSheetView>
    <customSheetView guid="{76D6D523-3A20-4FC6-B305-B0C40BA9EF5B}" state="hidden">
      <pageMargins left="0.511811024" right="0.511811024" top="0.78740157499999996" bottom="0.78740157499999996" header="0.31496062000000002" footer="0.31496062000000002"/>
      <pageSetup paperSize="8" orientation="portrait" r:id="rId7"/>
    </customSheetView>
    <customSheetView guid="{9AE7F4FF-DFFA-490F-8AF2-4FB45EA2475B}" state="hidden">
      <pageMargins left="0.511811024" right="0.511811024" top="0.78740157499999996" bottom="0.78740157499999996" header="0.31496062000000002" footer="0.31496062000000002"/>
      <pageSetup paperSize="8" orientation="portrait" r:id="rId8"/>
    </customSheetView>
    <customSheetView guid="{13E94A3C-CB3A-4F58-A512-0396BF6DE7DC}" state="hidden">
      <pageMargins left="0.511811024" right="0.511811024" top="0.78740157499999996" bottom="0.78740157499999996" header="0.31496062000000002" footer="0.31496062000000002"/>
      <pageSetup paperSize="8"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0"/>
    </customSheetView>
    <customSheetView guid="{46BB051B-272B-49C8-A4C3-B4237F6E1B7D}" state="hidden">
      <pageMargins left="0.511811024" right="0.511811024" top="0.78740157499999996" bottom="0.78740157499999996" header="0.31496062000000002" footer="0.31496062000000002"/>
      <pageSetup paperSize="8" orientation="portrait" r:id="rId11"/>
    </customSheetView>
    <customSheetView guid="{B13D886E-BAB8-4D14-822A-F08281218447}" state="hidden">
      <pageMargins left="0.511811024" right="0.511811024" top="0.78740157499999996" bottom="0.78740157499999996" header="0.31496062000000002" footer="0.31496062000000002"/>
      <pageSetup paperSize="8" orientation="portrait" r:id="rId12"/>
    </customSheetView>
    <customSheetView guid="{129416D2-3637-48C1-A749-90B02AD0693E}" state="hidden">
      <pageMargins left="0.511811024" right="0.511811024" top="0.78740157499999996" bottom="0.78740157499999996" header="0.31496062000000002" footer="0.31496062000000002"/>
      <pageSetup paperSize="8" orientation="portrait" r:id="rId13"/>
    </customSheetView>
    <customSheetView guid="{0FB74A6A-4A44-4BA5-9EB0-B86297CD9790}" state="hidden">
      <pageMargins left="0.511811024" right="0.511811024" top="0.78740157499999996" bottom="0.78740157499999996" header="0.31496062000000002" footer="0.31496062000000002"/>
      <pageSetup paperSize="8" orientation="portrait" r:id="rId14"/>
    </customSheetView>
    <customSheetView guid="{270E95A7-3B6C-4D9D-97B0-E7320BA4DFF7}" state="hidden">
      <pageMargins left="0.511811024" right="0.511811024" top="0.78740157499999996" bottom="0.78740157499999996" header="0.31496062000000002" footer="0.31496062000000002"/>
      <pageSetup paperSize="8" orientation="portrait" r:id="rId15"/>
    </customSheetView>
    <customSheetView guid="{E3BD65C7-28AF-4588-B550-0F7E84154BAA}"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2047</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Z4" zoomScale="70" zoomScaleNormal="55" workbookViewId="0">
      <selection activeCell="AG27" sqref="AG2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2469</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2470</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2471</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2472</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2473</v>
      </c>
      <c r="P7" s="5" t="s">
        <v>600</v>
      </c>
      <c r="R7" s="1">
        <v>2900405</v>
      </c>
      <c r="S7" s="1" t="s">
        <v>19</v>
      </c>
      <c r="AC7" s="6" t="s">
        <v>1246</v>
      </c>
      <c r="AE7" s="6"/>
      <c r="AG7" s="6" t="s">
        <v>1489</v>
      </c>
      <c r="AI7" s="5" t="s">
        <v>594</v>
      </c>
      <c r="AK7" s="5" t="s">
        <v>1778</v>
      </c>
      <c r="AM7" s="5" t="s">
        <v>1767</v>
      </c>
    </row>
    <row r="8" spans="2:39">
      <c r="D8" s="5" t="s">
        <v>49</v>
      </c>
      <c r="H8" s="5" t="s">
        <v>20</v>
      </c>
      <c r="J8" s="9" t="s">
        <v>504</v>
      </c>
      <c r="L8" s="5" t="s">
        <v>2474</v>
      </c>
      <c r="P8" s="5" t="s">
        <v>601</v>
      </c>
      <c r="R8" s="1">
        <v>2900603</v>
      </c>
      <c r="S8" s="1" t="s">
        <v>21</v>
      </c>
      <c r="AC8" s="6" t="s">
        <v>1247</v>
      </c>
      <c r="AG8" s="10" t="s">
        <v>1485</v>
      </c>
      <c r="AI8" s="5" t="s">
        <v>1562</v>
      </c>
      <c r="AK8" s="5" t="s">
        <v>1779</v>
      </c>
      <c r="AM8" s="5" t="s">
        <v>1775</v>
      </c>
    </row>
    <row r="9" spans="2:39">
      <c r="D9" s="5" t="s">
        <v>578</v>
      </c>
      <c r="H9" s="5" t="s">
        <v>22</v>
      </c>
      <c r="J9" s="9" t="s">
        <v>12</v>
      </c>
      <c r="L9" s="5" t="s">
        <v>2475</v>
      </c>
      <c r="P9" s="5" t="s">
        <v>602</v>
      </c>
      <c r="R9" s="1">
        <v>2900702</v>
      </c>
      <c r="S9" s="1" t="s">
        <v>23</v>
      </c>
      <c r="AC9" s="6" t="s">
        <v>1248</v>
      </c>
      <c r="AG9" s="6" t="s">
        <v>1482</v>
      </c>
      <c r="AI9" s="5" t="s">
        <v>1564</v>
      </c>
      <c r="AK9" s="5" t="s">
        <v>1765</v>
      </c>
      <c r="AM9" s="5" t="s">
        <v>1771</v>
      </c>
    </row>
    <row r="10" spans="2:39">
      <c r="D10" s="5" t="s">
        <v>51</v>
      </c>
      <c r="H10" s="6" t="s">
        <v>24</v>
      </c>
      <c r="J10" s="9" t="s">
        <v>612</v>
      </c>
      <c r="L10" s="5" t="s">
        <v>2476</v>
      </c>
      <c r="P10" s="6" t="s">
        <v>717</v>
      </c>
      <c r="R10" s="1">
        <v>2900801</v>
      </c>
      <c r="S10" s="1" t="s">
        <v>25</v>
      </c>
      <c r="U10" s="2"/>
      <c r="AC10" s="6" t="s">
        <v>1249</v>
      </c>
      <c r="AG10" s="6" t="s">
        <v>1459</v>
      </c>
      <c r="AI10" s="5" t="s">
        <v>1563</v>
      </c>
      <c r="AK10" s="5" t="s">
        <v>1780</v>
      </c>
      <c r="AM10" s="5" t="s">
        <v>1773</v>
      </c>
    </row>
    <row r="11" spans="2:39">
      <c r="D11" s="5" t="s">
        <v>53</v>
      </c>
      <c r="H11" s="193"/>
      <c r="J11" s="9" t="s">
        <v>503</v>
      </c>
      <c r="L11" s="5" t="s">
        <v>2477</v>
      </c>
      <c r="P11" s="6" t="s">
        <v>603</v>
      </c>
      <c r="R11" s="1">
        <v>2900900</v>
      </c>
      <c r="S11" s="1" t="s">
        <v>26</v>
      </c>
      <c r="U11" s="2"/>
      <c r="AC11" s="6" t="s">
        <v>2758</v>
      </c>
      <c r="AG11" s="6" t="s">
        <v>1469</v>
      </c>
      <c r="AI11" s="5" t="s">
        <v>1839</v>
      </c>
      <c r="AK11" s="5" t="s">
        <v>1781</v>
      </c>
      <c r="AM11" s="5" t="s">
        <v>1770</v>
      </c>
    </row>
    <row r="12" spans="2:39">
      <c r="D12" s="5" t="s">
        <v>611</v>
      </c>
      <c r="J12" s="9" t="s">
        <v>613</v>
      </c>
      <c r="L12" s="5" t="s">
        <v>2478</v>
      </c>
      <c r="P12" s="6" t="s">
        <v>467</v>
      </c>
      <c r="R12" s="1">
        <v>2901007</v>
      </c>
      <c r="S12" s="1" t="s">
        <v>27</v>
      </c>
      <c r="U12" s="2"/>
      <c r="AC12" s="6" t="s">
        <v>1307</v>
      </c>
      <c r="AG12" s="6" t="s">
        <v>1470</v>
      </c>
      <c r="AI12" s="5" t="s">
        <v>1568</v>
      </c>
      <c r="AK12" s="5" t="s">
        <v>1782</v>
      </c>
      <c r="AM12" s="5" t="s">
        <v>1772</v>
      </c>
    </row>
    <row r="13" spans="2:39">
      <c r="D13" s="5" t="s">
        <v>56</v>
      </c>
      <c r="J13" s="5" t="s">
        <v>614</v>
      </c>
      <c r="L13" s="5" t="s">
        <v>2479</v>
      </c>
      <c r="P13" s="6" t="s">
        <v>468</v>
      </c>
      <c r="R13" s="1">
        <v>2901106</v>
      </c>
      <c r="S13" s="1" t="s">
        <v>28</v>
      </c>
      <c r="U13" s="2"/>
      <c r="AC13" s="93"/>
      <c r="AG13" s="6" t="s">
        <v>1468</v>
      </c>
      <c r="AI13" s="5" t="s">
        <v>1569</v>
      </c>
      <c r="AK13" s="5" t="s">
        <v>1783</v>
      </c>
      <c r="AM13" s="5" t="s">
        <v>1774</v>
      </c>
    </row>
    <row r="14" spans="2:39">
      <c r="D14" s="5" t="s">
        <v>450</v>
      </c>
      <c r="J14" s="5" t="s">
        <v>1023</v>
      </c>
      <c r="L14" s="5" t="s">
        <v>2480</v>
      </c>
      <c r="P14" s="6" t="s">
        <v>593</v>
      </c>
      <c r="R14" s="1">
        <v>2901155</v>
      </c>
      <c r="S14" s="1" t="s">
        <v>29</v>
      </c>
      <c r="U14" s="2"/>
      <c r="AG14" s="6" t="s">
        <v>1471</v>
      </c>
      <c r="AI14" s="5" t="s">
        <v>1565</v>
      </c>
      <c r="AK14" s="5" t="s">
        <v>1852</v>
      </c>
      <c r="AM14" s="5" t="s">
        <v>1853</v>
      </c>
    </row>
    <row r="15" spans="2:39">
      <c r="J15" s="5" t="s">
        <v>665</v>
      </c>
      <c r="L15" s="5" t="s">
        <v>2481</v>
      </c>
      <c r="P15" s="6" t="s">
        <v>1237</v>
      </c>
      <c r="R15" s="1">
        <v>2901205</v>
      </c>
      <c r="S15" s="1" t="s">
        <v>30</v>
      </c>
      <c r="U15" s="2"/>
      <c r="AG15" s="6" t="s">
        <v>1453</v>
      </c>
      <c r="AI15" s="5"/>
    </row>
    <row r="16" spans="2:39">
      <c r="J16" s="5" t="s">
        <v>959</v>
      </c>
      <c r="L16" s="5" t="s">
        <v>2483</v>
      </c>
      <c r="P16" s="6" t="s">
        <v>1238</v>
      </c>
      <c r="R16" s="1">
        <v>2901304</v>
      </c>
      <c r="S16" s="1" t="s">
        <v>31</v>
      </c>
      <c r="U16" s="2"/>
      <c r="AG16" s="6" t="s">
        <v>1457</v>
      </c>
      <c r="AI16" s="5"/>
    </row>
    <row r="17" spans="10:35">
      <c r="J17" s="5" t="s">
        <v>960</v>
      </c>
      <c r="L17" s="5" t="s">
        <v>2484</v>
      </c>
      <c r="P17" s="6" t="s">
        <v>1239</v>
      </c>
      <c r="R17" s="1">
        <v>2901353</v>
      </c>
      <c r="S17" s="1" t="s">
        <v>32</v>
      </c>
      <c r="U17" s="2"/>
      <c r="AG17" s="6" t="s">
        <v>1467</v>
      </c>
      <c r="AI17" s="5"/>
    </row>
    <row r="18" spans="10:35">
      <c r="J18" s="5" t="s">
        <v>695</v>
      </c>
      <c r="L18" s="5" t="s">
        <v>2485</v>
      </c>
      <c r="P18" s="6" t="s">
        <v>1240</v>
      </c>
      <c r="R18" s="1">
        <v>2901403</v>
      </c>
      <c r="S18" s="1" t="s">
        <v>33</v>
      </c>
      <c r="U18" s="2"/>
      <c r="AG18" s="6" t="s">
        <v>1456</v>
      </c>
      <c r="AI18" s="5"/>
    </row>
    <row r="19" spans="10:35">
      <c r="J19" s="5" t="s">
        <v>506</v>
      </c>
      <c r="L19" s="5" t="s">
        <v>2486</v>
      </c>
      <c r="P19" s="92"/>
      <c r="R19" s="1">
        <v>2901502</v>
      </c>
      <c r="S19" s="1" t="s">
        <v>34</v>
      </c>
      <c r="U19" s="2"/>
      <c r="AG19" s="6" t="s">
        <v>1472</v>
      </c>
    </row>
    <row r="20" spans="10:35">
      <c r="J20" s="5" t="s">
        <v>694</v>
      </c>
      <c r="L20" s="5" t="s">
        <v>2482</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2123</v>
      </c>
    </row>
    <row r="36" spans="10:33">
      <c r="J36" s="91" t="s">
        <v>1957</v>
      </c>
      <c r="R36" s="1">
        <v>2902807</v>
      </c>
      <c r="S36" s="1" t="s">
        <v>59</v>
      </c>
    </row>
    <row r="37" spans="10:33" ht="42">
      <c r="J37" s="91" t="s">
        <v>1958</v>
      </c>
      <c r="R37" s="1">
        <v>2902906</v>
      </c>
      <c r="S37" s="1" t="s">
        <v>60</v>
      </c>
    </row>
    <row r="38" spans="10:33">
      <c r="J38" s="7" t="s">
        <v>2125</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2258</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6"/>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7"/>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8"/>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9"/>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0"/>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1"/>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2"/>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3"/>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4"/>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0"/>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Marcelo Pereira dos Santos</cp:lastModifiedBy>
  <cp:lastPrinted>2026-08-17T11:14:45Z</cp:lastPrinted>
  <dcterms:created xsi:type="dcterms:W3CDTF">2024-08-15T00:35:08Z</dcterms:created>
  <dcterms:modified xsi:type="dcterms:W3CDTF">2026-08-26T20:48:45Z</dcterms:modified>
</cp:coreProperties>
</file>