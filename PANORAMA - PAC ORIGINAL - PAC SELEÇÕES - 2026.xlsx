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xl/revisions/revisionHeaders.xml" ContentType="application/vnd.openxmlformats-officedocument.spreadsheetml.revisionHeaders+xml"/>
  <Override PartName="/xl/revisions/revisionLog16.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8.xml" ContentType="application/vnd.openxmlformats-officedocument.spreadsheetml.revisionLog+xml"/>
  <Override PartName="/xl/revisions/revisionLog13.xml" ContentType="application/vnd.openxmlformats-officedocument.spreadsheetml.revisionLog+xml"/>
  <Override PartName="/xl/revisions/revisionLog3.xml" ContentType="application/vnd.openxmlformats-officedocument.spreadsheetml.revisionLog+xml"/>
  <Override PartName="/xl/revisions/revisionLog7.xml" ContentType="application/vnd.openxmlformats-officedocument.spreadsheetml.revisionLog+xml"/>
  <Override PartName="/xl/revisions/revisionLog12.xml" ContentType="application/vnd.openxmlformats-officedocument.spreadsheetml.revisionLog+xml"/>
  <Override PartName="/xl/revisions/revisionLog2.xml" ContentType="application/vnd.openxmlformats-officedocument.spreadsheetml.revisionLog+xml"/>
  <Override PartName="/xl/revisions/revisionLog1.xml" ContentType="application/vnd.openxmlformats-officedocument.spreadsheetml.revisionLog+xml"/>
  <Override PartName="/xl/revisions/revisionLog6.xml" ContentType="application/vnd.openxmlformats-officedocument.spreadsheetml.revisionLog+xml"/>
  <Override PartName="/xl/revisions/revisionLog11.xml" ContentType="application/vnd.openxmlformats-officedocument.spreadsheetml.revisionLog+xml"/>
  <Override PartName="/xl/revisions/revisionLog5.xml" ContentType="application/vnd.openxmlformats-officedocument.spreadsheetml.revisionLog+xml"/>
  <Override PartName="/xl/revisions/revisionLog15.xml" ContentType="application/vnd.openxmlformats-officedocument.spreadsheetml.revisionLog+xml"/>
  <Override PartName="/xl/revisions/revisionLog10.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Override PartName="/xl/revisions/revisionLog14.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EstaPasta_de_trabalho"/>
  <mc:AlternateContent xmlns:mc="http://schemas.openxmlformats.org/markup-compatibility/2006">
    <mc:Choice Requires="x15">
      <x15ac:absPath xmlns:x15ac="http://schemas.microsoft.com/office/spreadsheetml/2010/11/ac" url="L:\PANORAMA\2026\"/>
    </mc:Choice>
  </mc:AlternateContent>
  <bookViews>
    <workbookView xWindow="0" yWindow="0" windowWidth="24000" windowHeight="9600" tabRatio="574"/>
  </bookViews>
  <sheets>
    <sheet name="PAC" sheetId="1" r:id="rId1"/>
    <sheet name="Planilha10" sheetId="2" state="hidden" r:id="rId2"/>
    <sheet name="Planilha9" sheetId="3" state="hidden" r:id="rId3"/>
    <sheet name="Planilha8" sheetId="4" state="hidden" r:id="rId4"/>
    <sheet name="Planilha7" sheetId="5" state="hidden" r:id="rId5"/>
    <sheet name="Planilha6" sheetId="6" state="hidden" r:id="rId6"/>
    <sheet name="Planilha1" sheetId="7" state="hidden" r:id="rId7"/>
    <sheet name="Planilha5" sheetId="8" state="hidden" r:id="rId8"/>
    <sheet name="Planilha4" sheetId="9" state="hidden" r:id="rId9"/>
    <sheet name="Planilha3" sheetId="10" state="hidden" r:id="rId10"/>
    <sheet name="Planilha2" sheetId="11" state="hidden" r:id="rId11"/>
    <sheet name="OUTRAS AÇÕES" sheetId="12" r:id="rId12"/>
    <sheet name="Domínios" sheetId="13" r:id="rId13"/>
  </sheets>
  <externalReferences>
    <externalReference r:id="rId14"/>
    <externalReference r:id="rId15"/>
  </externalReferences>
  <definedNames>
    <definedName name="_xlnm._FilterDatabase" localSheetId="11" hidden="1">'OUTRAS AÇÕES'!$A$3:$AZ$22</definedName>
    <definedName name="_xlnm._FilterDatabase" localSheetId="0" hidden="1">PAC!$A$5:$BB$582</definedName>
    <definedName name="_xleta.AND" hidden="1">#NAME?</definedName>
    <definedName name="_xleta.FORECAST" hidden="1">#NAME?</definedName>
    <definedName name="a">#REF!</definedName>
    <definedName name="_xlnm.Print_Area" localSheetId="0">PAC!$E$5:$AX$488</definedName>
    <definedName name="B">#REF!</definedName>
    <definedName name="PAC_ORIGINAL">Domínios!#REF!</definedName>
    <definedName name="PAC_SELEÇÕES">Domínios!$AG$3:$AG$25</definedName>
    <definedName name="status_intervencao">Domínios!$L$3:$L$10</definedName>
    <definedName name="status_pleito">Domínios!$L$8:$L$8</definedName>
    <definedName name="_xlnm.Print_Titles" localSheetId="0">PAC!$4:$5</definedName>
    <definedName name="Z_0010F7C7_679C_4EFD_B756_B71A14846982_.wvu.FilterData" localSheetId="0" hidden="1">PAC!$A$5:$BB$582</definedName>
    <definedName name="Z_00267332_D857_4AE1_84C6_5E9D62EC706B_.wvu.FilterData" localSheetId="0" hidden="1">PAC!$A$5:$AV$581</definedName>
    <definedName name="Z_003A37D7_B1F7_4F1A_BFCB_CDDC6A67E72F_.wvu.FilterData" localSheetId="0" hidden="1">PAC!$A$5:$BB$582</definedName>
    <definedName name="Z_00FE7268_3853_4055_9A0D_55E866E0FECF_.wvu.FilterData" localSheetId="0" hidden="1">PAC!$A$5:$BB$581</definedName>
    <definedName name="Z_012FB113_A2D7_4FD7_BF4F_F9FE0BAEA78D_.wvu.FilterData" localSheetId="0" hidden="1">PAC!$A$5:$AV$581</definedName>
    <definedName name="Z_01315A36_B456_46A2_BD06_D9A30CF7F179_.wvu.FilterData" localSheetId="0" hidden="1">PAC!$A$5:$BB$582</definedName>
    <definedName name="Z_018C4E92_546B_4B67_B161_5CCB61530D90_.wvu.FilterData" localSheetId="0" hidden="1">PAC!$A$5:$BO$665</definedName>
    <definedName name="Z_022DDEBE_C886_4A17_A132_EC0C8F1090D7_.wvu.FilterData" localSheetId="0" hidden="1">PAC!$A$5:$AV$581</definedName>
    <definedName name="Z_0233FDBF_FB6D_4D28_A7F0_D332BB00EF41_.wvu.FilterData" localSheetId="0" hidden="1">PAC!$A$5:$AV$581</definedName>
    <definedName name="Z_026FFD8E_9377_404F_89DA_9686325D4308_.wvu.FilterData" localSheetId="0" hidden="1">PAC!$A$5:$BB$581</definedName>
    <definedName name="Z_028B0C79_003A_4706_AF41_3340634A7AF2_.wvu.FilterData" localSheetId="0" hidden="1">PAC!$A$5:$BB$582</definedName>
    <definedName name="Z_02B4712F_6D3C_4AEF_B731_50CE58CA7C31_.wvu.FilterData" localSheetId="0" hidden="1">PAC!$A$5:$BO$665</definedName>
    <definedName name="Z_02EF9793_54D1_47D9_8E08_517B9B444C83_.wvu.FilterData" localSheetId="0" hidden="1">PAC!$A$5:$AZ$581</definedName>
    <definedName name="Z_0348BEB9_4F93_4BDD_8677_0576818368FE_.wvu.FilterData" localSheetId="0" hidden="1">PAC!$A$5:$BB$581</definedName>
    <definedName name="Z_03EE2C8E_39D9_4733_9C8B_88223ADC81AE_.wvu.FilterData" localSheetId="0" hidden="1">PAC!$A$5:$AV$581</definedName>
    <definedName name="Z_04917589_7BF4_4D2B_8BAE_137F4C73830E_.wvu.FilterData" localSheetId="0" hidden="1">PAC!$A$5:$BO$665</definedName>
    <definedName name="Z_04D84796_8B72_4492_AC27_FDD89F6C7BE3_.wvu.FilterData" localSheetId="0" hidden="1">PAC!$A$5:$BO$665</definedName>
    <definedName name="Z_04ED45EE_8057_4859_9CE8_BD8176949FBB_.wvu.FilterData" localSheetId="0" hidden="1">PAC!$A$5:$AV$426</definedName>
    <definedName name="Z_0543FFFD_4FEE_4E09_95CB_06AAA90A04B8_.wvu.FilterData" localSheetId="0" hidden="1">PAC!$A$5:$BB$581</definedName>
    <definedName name="Z_05608F5D_907E_42CE_95D6_BB82BFC1ACF1_.wvu.FilterData" localSheetId="0" hidden="1">PAC!$A$5:$BB$582</definedName>
    <definedName name="Z_0579975A_1DBD_4C44_A45E_4942F5A6BC47_.wvu.FilterData" localSheetId="0" hidden="1">PAC!$A$5:$AV$430</definedName>
    <definedName name="Z_0584BC7D_4874_4DC3_AC91_5C7939CD1BF2_.wvu.FilterData" localSheetId="0" hidden="1">PAC!$A$5:$BB$582</definedName>
    <definedName name="Z_05BBF4B9_930D_4690_B7E5_C796454EABF5_.wvu.FilterData" localSheetId="0" hidden="1">PAC!$A$5:$BO$665</definedName>
    <definedName name="Z_063447BF_4196_4462_8326_B349A52E2FF4_.wvu.FilterData" localSheetId="0" hidden="1">PAC!$A$5:$BO$665</definedName>
    <definedName name="Z_06388881_60C9_4E66_BA1D_C0E3ED6C6F6F_.wvu.FilterData" localSheetId="0" hidden="1">PAC!$A$5:$AV$581</definedName>
    <definedName name="Z_06418C4D_6EB2_41FC_98D3_4F42E9DB792E_.wvu.FilterData" localSheetId="0" hidden="1">PAC!$A$5:$BB$582</definedName>
    <definedName name="Z_06750FF2_B355_4A0E_B21F_52187042DE87_.wvu.FilterData" localSheetId="0" hidden="1">PAC!$A$5:$AV$426</definedName>
    <definedName name="Z_06BFA5BD_BCFA_4A08_9E7F_34B852EB98EF_.wvu.FilterData" localSheetId="0" hidden="1">PAC!$A$5:$BO$665</definedName>
    <definedName name="Z_06C7EEAE_2100_4581_8DEA_F546F6A76BE3_.wvu.FilterData" localSheetId="0" hidden="1">PAC!$A$5:$AV$206</definedName>
    <definedName name="Z_06DE6C44_66EF_428E_958C_2693D2B35858_.wvu.FilterData" localSheetId="0" hidden="1">PAC!$A$5:$BB$582</definedName>
    <definedName name="Z_0751AF78_49CC_4FE3_81AF_60ED0742562B_.wvu.FilterData" localSheetId="0" hidden="1">PAC!$A$5:$BO$665</definedName>
    <definedName name="Z_0807F7C9_B415_4B77_AF61_7D94C8B48AAB_.wvu.FilterData" localSheetId="0" hidden="1">PAC!$A$5:$BB$581</definedName>
    <definedName name="Z_083D9386_A209_4E4D_86CD_025B1176CEB5_.wvu.Cols" localSheetId="0" hidden="1">PAC!$D:$D,PAC!$I:$I</definedName>
    <definedName name="Z_083D9386_A209_4E4D_86CD_025B1176CEB5_.wvu.FilterData" localSheetId="11" hidden="1">'OUTRAS AÇÕES'!$A$3:$AZ$22</definedName>
    <definedName name="Z_083D9386_A209_4E4D_86CD_025B1176CEB5_.wvu.FilterData" localSheetId="0" hidden="1">PAC!$A$5:$BB$582</definedName>
    <definedName name="Z_083D9386_A209_4E4D_86CD_025B1176CEB5_.wvu.PrintArea" localSheetId="0" hidden="1">PAC!$A$1:$U$301</definedName>
    <definedName name="Z_083D9386_A209_4E4D_86CD_025B1176CEB5_.wvu.PrintTitles" localSheetId="0" hidden="1">PAC!$2:$5</definedName>
    <definedName name="Z_08827C30_F4AB_4B52_BBB1_0267C953E63C_.wvu.FilterData" localSheetId="0" hidden="1">PAC!$A$5:$AV$581</definedName>
    <definedName name="Z_092D96AE_3B48_4C62_9A31_4E81EAA1A7C3_.wvu.FilterData" localSheetId="0" hidden="1">PAC!$A$5:$BB$581</definedName>
    <definedName name="Z_09FCB9ED_E552_4D5F_B2B6_2011BB9580AA_.wvu.FilterData" localSheetId="0" hidden="1">PAC!$A$5:$BO$665</definedName>
    <definedName name="Z_0A75D3C7_FAA8_4D80_8D6A_2838DFE253F6_.wvu.FilterData" localSheetId="0" hidden="1">PAC!$A$5:$BO$665</definedName>
    <definedName name="Z_0A981866_B4F2_45AB_9AF4_20968B22C227_.wvu.FilterData" localSheetId="0" hidden="1">PAC!$A$5:$BB$581</definedName>
    <definedName name="Z_0AE17A7D_A726_48E6_BEA6_4B33FBB29E97_.wvu.FilterData" localSheetId="0" hidden="1">PAC!$A$5:$BB$582</definedName>
    <definedName name="Z_0B3B967B_92EA_4912_A6D3_5E6F129465E4_.wvu.FilterData" localSheetId="0" hidden="1">PAC!$A$5:$AZ$581</definedName>
    <definedName name="Z_0B86704D_3F9F_4D27_A95D_0D1EBF363F1C_.wvu.FilterData" localSheetId="0" hidden="1">PAC!$A$5:$AZ$581</definedName>
    <definedName name="Z_0BB001C1_7329_4E62_B8E2_E13B6C83C3C9_.wvu.FilterData" localSheetId="0" hidden="1">PAC!$A$5:$BB$581</definedName>
    <definedName name="Z_0C0BDFE7_5576_40BC_BB31_ACE0FC7A8875_.wvu.FilterData" localSheetId="0" hidden="1">PAC!$A$5:$AV$581</definedName>
    <definedName name="Z_0C5269D4_76D8_4C5F_A740_B983EEEFB9AC_.wvu.FilterData" localSheetId="0" hidden="1">PAC!$A$5:$BB$582</definedName>
    <definedName name="Z_0C57D671_5F0F_4C4E_B137_82EA3CDBBC2D_.wvu.FilterData" localSheetId="0" hidden="1">PAC!$A$5:$BB$581</definedName>
    <definedName name="Z_0C61D18B_F9CA_4511_B38C_A9FA2262EA92_.wvu.FilterData" localSheetId="0" hidden="1">PAC!$A$5:$AV$581</definedName>
    <definedName name="Z_0C6B3872_A010_4327_A811_01115A885FF0_.wvu.FilterData" localSheetId="0" hidden="1">PAC!$A$5:$BB$582</definedName>
    <definedName name="Z_0CB2C2DE_2404_483B_B634_84842725A6C8_.wvu.FilterData" localSheetId="0" hidden="1">PAC!$A$5:$BB$581</definedName>
    <definedName name="Z_0CDC8AF7_4426_47DE_BEB7_8E2CEEE6BDAF_.wvu.FilterData" localSheetId="0" hidden="1">PAC!$A$5:$AZ$581</definedName>
    <definedName name="Z_0CEFFEA0_C776_4F65_BF54_1BBB6932E9C8_.wvu.FilterData" localSheetId="0" hidden="1">PAC!$A$5:$AV$581</definedName>
    <definedName name="Z_0D047CD3_CFDA_4151_8A35_EEAB1103EECA_.wvu.FilterData" localSheetId="0" hidden="1">PAC!$A$5:$AV$581</definedName>
    <definedName name="Z_0D24B3D2_CB02_45AC_83FC_4C0EE9B30C93_.wvu.FilterData" localSheetId="0" hidden="1">PAC!$A$5:$AV$581</definedName>
    <definedName name="Z_0D2EA1EE_FF08_402C_B2D7_34E16C773EDF_.wvu.FilterData" localSheetId="0" hidden="1">PAC!$A$5:$BB$582</definedName>
    <definedName name="Z_0D8A65CA_EF08_4A01_AE76_D867B86F35C8_.wvu.FilterData" localSheetId="0" hidden="1">PAC!$A$5:$BO$665</definedName>
    <definedName name="Z_0E1BCB7B_AFCB_4409_8D9C_2DC061AB2225_.wvu.FilterData" localSheetId="0" hidden="1">PAC!$A$5:$BB$582</definedName>
    <definedName name="Z_0E211340_AD89_4DA2_9D06_4155105F561A_.wvu.FilterData" localSheetId="0" hidden="1">PAC!$A$5:$AV$581</definedName>
    <definedName name="Z_0E5D3A37_91F6_4125_BAE0_D1B4CD6D6B20_.wvu.FilterData" localSheetId="0" hidden="1">PAC!$A$5:$BB$581</definedName>
    <definedName name="Z_0E818AFC_9067_4D0E_A64F_283D10E62A6F_.wvu.FilterData" localSheetId="0" hidden="1">PAC!$A$5:$AV$581</definedName>
    <definedName name="Z_0E9E5435_7F65_4089_92D8_A760ABB18B4F_.wvu.FilterData" localSheetId="0" hidden="1">PAC!$A$5:$AV$426</definedName>
    <definedName name="Z_0EA3E309_6DB5_426D_812A_5123534CD4DB_.wvu.FilterData" localSheetId="0" hidden="1">PAC!$A$5:$BB$582</definedName>
    <definedName name="Z_0EB81911_DAFE_454C_AC58_9C4FF4FC7191_.wvu.FilterData" localSheetId="0" hidden="1">PAC!$A$5:$BB$581</definedName>
    <definedName name="Z_0F4E0615_3F9B_42C6_B1C8_3613EB68D215_.wvu.FilterData" localSheetId="0" hidden="1">PAC!$A$5:$AV$581</definedName>
    <definedName name="Z_0F57ED43_51E1_4A78_A39D_A31C5B81CC0B_.wvu.FilterData" localSheetId="0" hidden="1">PAC!$A$5:$BO$665</definedName>
    <definedName name="Z_0F5F5C3D_A43E_4065_887A_F16E5552C2EE_.wvu.FilterData" localSheetId="0" hidden="1">PAC!$A$5:$BO$665</definedName>
    <definedName name="Z_0F603DA0_BD11_4BA3_9B85_E8BB46E545D8_.wvu.FilterData" localSheetId="0" hidden="1">PAC!$A$5:$BB$582</definedName>
    <definedName name="Z_0FAC594D_3BE9_4117_90D6_9E2276EEA1D1_.wvu.FilterData" localSheetId="0" hidden="1">PAC!$A$5:$BO$665</definedName>
    <definedName name="Z_0FB74A6A_4A44_4BA5_9EB0_B86297CD9790_.wvu.Cols" localSheetId="0" hidden="1">PAC!$B:$B,PAC!$D:$D,PAC!$F:$F,PAC!$K:$P,PAC!$R:$R,PAC!$V:$V,PAC!$X:$X,PAC!$AB:$AB,PAC!$AF:$AM</definedName>
    <definedName name="Z_0FB74A6A_4A44_4BA5_9EB0_B86297CD9790_.wvu.FilterData" localSheetId="11" hidden="1">'OUTRAS AÇÕES'!$A$3:$AZ$22</definedName>
    <definedName name="Z_0FB74A6A_4A44_4BA5_9EB0_B86297CD9790_.wvu.FilterData" localSheetId="0" hidden="1">PAC!$A$5:$BB$582</definedName>
    <definedName name="Z_0FB74A6A_4A44_4BA5_9EB0_B86297CD9790_.wvu.PrintArea" localSheetId="0" hidden="1">PAC!$A$5:$AF$488</definedName>
    <definedName name="Z_0FB74A6A_4A44_4BA5_9EB0_B86297CD9790_.wvu.PrintTitles" localSheetId="0" hidden="1">PAC!$4:$5</definedName>
    <definedName name="Z_0FCACA15_33C6_4B39_B0DF_F7410B8104DE_.wvu.FilterData" localSheetId="0" hidden="1">PAC!$A$5:$BO$665</definedName>
    <definedName name="Z_0FCFEBB7_4C34_4085_9896_4B337072A0AF_.wvu.FilterData" localSheetId="0" hidden="1">PAC!$A$5:$BB$582</definedName>
    <definedName name="Z_101345E0_9409_4D12_ABE5_33853E05054E_.wvu.FilterData" localSheetId="0" hidden="1">PAC!$A$5:$BO$665</definedName>
    <definedName name="Z_102E7417_9B9D_41FF_94D4_7EFAB3DE321E_.wvu.FilterData" localSheetId="0" hidden="1">PAC!$A$5:$AZ$581</definedName>
    <definedName name="Z_1043D237_F57C_49DE_91D0_FF787F92160F_.wvu.FilterData" localSheetId="0" hidden="1">PAC!$A$5:$BB$582</definedName>
    <definedName name="Z_104E6C95_F17E_4F68_BDDD_71C49B886B58_.wvu.FilterData" localSheetId="0" hidden="1">PAC!$A$5:$BB$581</definedName>
    <definedName name="Z_1063B82D_823F_4E22_9BC0_2A29A7856988_.wvu.FilterData" localSheetId="0" hidden="1">PAC!$A$5:$BB$582</definedName>
    <definedName name="Z_1101FCB2_86CA_494D_9E09_3471DDEFE687_.wvu.FilterData" localSheetId="0" hidden="1">PAC!$A$5:$AV$581</definedName>
    <definedName name="Z_116FB59F_3847_4C12_80CD_1C07EE9F0832_.wvu.FilterData" localSheetId="0" hidden="1">PAC!$A$5:$BO$665</definedName>
    <definedName name="Z_117B7F6D_953E_41DF_8621_E2D9CB5CF1FF_.wvu.FilterData" localSheetId="0" hidden="1">PAC!$A$5:$BB$582</definedName>
    <definedName name="Z_118BE86F_FC8D_4154_9B1F_E792D30A8ECD_.wvu.FilterData" localSheetId="0" hidden="1">PAC!$A$5:$BB$582</definedName>
    <definedName name="Z_11BA9D42_56B9_4F55_9A78_F2B7E1E2B87A_.wvu.FilterData" localSheetId="0" hidden="1">PAC!$A$5:$AV$581</definedName>
    <definedName name="Z_11C27F76_3436_4D77_93AC_90DECDEA7C5D_.wvu.FilterData" localSheetId="0" hidden="1">PAC!$A$5:$BO$665</definedName>
    <definedName name="Z_123B4181_9B76_45A7_9004_9D1621305C0A_.wvu.FilterData" localSheetId="0" hidden="1">PAC!$A$5:$AZ$581</definedName>
    <definedName name="Z_124B8C47_7814_4286_BB87_2C54737CB48C_.wvu.FilterData" localSheetId="0" hidden="1">PAC!$A$5:$BB$581</definedName>
    <definedName name="Z_1292BAB7_4660_42C2_9617_91F222D4D56C_.wvu.FilterData" localSheetId="0" hidden="1">PAC!$A$5:$BB$582</definedName>
    <definedName name="Z_129416D2_3637_48C1_A749_90B02AD0693E_.wvu.Cols" localSheetId="0" hidden="1">PAC!$BG:$BG</definedName>
    <definedName name="Z_129416D2_3637_48C1_A749_90B02AD0693E_.wvu.FilterData" localSheetId="11" hidden="1">'OUTRAS AÇÕES'!$A$3:$AZ$22</definedName>
    <definedName name="Z_129416D2_3637_48C1_A749_90B02AD0693E_.wvu.FilterData" localSheetId="0" hidden="1">PAC!$A$5:$BB$582</definedName>
    <definedName name="Z_129416D2_3637_48C1_A749_90B02AD0693E_.wvu.PrintArea" localSheetId="0" hidden="1">PAC!$B$2:$AC$471</definedName>
    <definedName name="Z_129416D2_3637_48C1_A749_90B02AD0693E_.wvu.PrintTitles" localSheetId="0" hidden="1">PAC!$4:$5</definedName>
    <definedName name="Z_130F7395_CC7D_44EB_928D_F50E3848E2A6_.wvu.FilterData" localSheetId="0" hidden="1">PAC!$A$5:$BB$582</definedName>
    <definedName name="Z_132B5F31_D208_4A2D_9478_B746B4D4152D_.wvu.FilterData" localSheetId="0" hidden="1">PAC!$A$5:$AV$581</definedName>
    <definedName name="Z_133DF305_B73A_45A6_BD8A_0631472675C0_.wvu.FilterData" localSheetId="0" hidden="1">PAC!$A$5:$BB$582</definedName>
    <definedName name="Z_13DD4A2F_8C95_47CB_8388_7F2791D5AC32_.wvu.FilterData" localSheetId="0" hidden="1">PAC!$A$5:$BO$665</definedName>
    <definedName name="Z_13E94A3C_CB3A_4F58_A512_0396BF6DE7DC_.wvu.Cols" localSheetId="0" hidden="1">PAC!$BE:$BE</definedName>
    <definedName name="Z_13E94A3C_CB3A_4F58_A512_0396BF6DE7DC_.wvu.FilterData" localSheetId="11" hidden="1">'OUTRAS AÇÕES'!$A$3:$AZ$22</definedName>
    <definedName name="Z_13E94A3C_CB3A_4F58_A512_0396BF6DE7DC_.wvu.FilterData" localSheetId="0" hidden="1">PAC!$A$5:$BB$582</definedName>
    <definedName name="Z_13E94A3C_CB3A_4F58_A512_0396BF6DE7DC_.wvu.PrintArea" localSheetId="0" hidden="1">PAC!$A$5:$AF$488</definedName>
    <definedName name="Z_13E94A3C_CB3A_4F58_A512_0396BF6DE7DC_.wvu.PrintTitles" localSheetId="0" hidden="1">PAC!$4:$5</definedName>
    <definedName name="Z_140C73D2_5476_48B0_848F_8503C5BA31E1_.wvu.FilterData" localSheetId="0" hidden="1">PAC!$A$5:$BB$581</definedName>
    <definedName name="Z_1459FEBB_5C15_499A_971F_B31158C64983_.wvu.FilterData" localSheetId="0" hidden="1">PAC!$A$5:$AV$581</definedName>
    <definedName name="Z_1463D0C8_E285_4605_B02E_97601E41883E_.wvu.FilterData" localSheetId="0" hidden="1">PAC!$A$5:$BB$582</definedName>
    <definedName name="Z_14CFBCE3_74FE_40D0_BA3C_0E1103C07B47_.wvu.FilterData" localSheetId="0" hidden="1">PAC!$A$5:$BB$582</definedName>
    <definedName name="Z_151D538F_8FE9_40D5_A5E0_819AD47E44D6_.wvu.FilterData" localSheetId="0" hidden="1">PAC!$A$5:$BB$581</definedName>
    <definedName name="Z_153FBDD9_9345_450A_8C49_CECFC270F4E1_.wvu.FilterData" localSheetId="0" hidden="1">PAC!$A$5:$BB$582</definedName>
    <definedName name="Z_154740AC_F41A_4670_B420_36782C584944_.wvu.FilterData" localSheetId="0" hidden="1">PAC!$A$5:$BB$582</definedName>
    <definedName name="Z_1570BD79_E3E0_4CD1_AAF6_79272AB0EDB5_.wvu.FilterData" localSheetId="0" hidden="1">PAC!$A$5:$BB$582</definedName>
    <definedName name="Z_158CCAF3_3127_4979_911C_6045D6190891_.wvu.FilterData" localSheetId="0" hidden="1">PAC!$A$5:$BO$665</definedName>
    <definedName name="Z_158DC405_2996_4FBC_9037_EB03A285C313_.wvu.FilterData" localSheetId="0" hidden="1">PAC!$A$5:$AV$206</definedName>
    <definedName name="Z_159CD5C3_80A9_4051_A5A1_AA0EAE03ECCF_.wvu.FilterData" localSheetId="0" hidden="1">PAC!$A$5:$BB$582</definedName>
    <definedName name="Z_15D5F0AA_86D7_45C3_9943_58F40A95AD4D_.wvu.FilterData" localSheetId="0" hidden="1">PAC!$A$5:$AV$581</definedName>
    <definedName name="Z_15E93609_C419_49A8_8071_CC2B684C3217_.wvu.FilterData" localSheetId="0" hidden="1">PAC!$A$5:$AV$581</definedName>
    <definedName name="Z_15FD74A3_DE82_44A3_934D_AB9F2192AF2F_.wvu.FilterData" localSheetId="0" hidden="1">PAC!$A$5:$BB$582</definedName>
    <definedName name="Z_1617B8DF_7BC8_46AF_82EC_7A22624795AC_.wvu.FilterData" localSheetId="0" hidden="1">PAC!$A$5:$AV$430</definedName>
    <definedName name="Z_1633D49D_4480_49B4_8917_9A38BC0DDE70_.wvu.FilterData" localSheetId="0" hidden="1">PAC!$A$5:$BB$581</definedName>
    <definedName name="Z_1646C9F6_AA96_49E8_BBAA_412B278B9CA8_.wvu.FilterData" localSheetId="0" hidden="1">PAC!$A$5:$BB$582</definedName>
    <definedName name="Z_16C90D33_BB2E_4913_BB0E_7B1AAB175582_.wvu.FilterData" localSheetId="0" hidden="1">PAC!$FUI5637:$BO$665</definedName>
    <definedName name="Z_1726B802_34E5_41C9_B628_700F6D91EBEA_.wvu.FilterData" localSheetId="0" hidden="1">PAC!$A$5:$BB$581</definedName>
    <definedName name="Z_1772585A_B771_4B2B_8462_786A8DAB936F_.wvu.FilterData" localSheetId="0" hidden="1">PAC!$A$5:$BB$582</definedName>
    <definedName name="Z_17957E87_79C9_41B2_A941_91A86E863A52_.wvu.FilterData" localSheetId="0" hidden="1">PAC!$A$5:$BB$582</definedName>
    <definedName name="Z_17ABC783_04D8_4AF1_AB07_871A4DDB51C2_.wvu.FilterData" localSheetId="0" hidden="1">PAC!$A$5:$BB$582</definedName>
    <definedName name="Z_17B0B04A_34B7_4536_9D3A_8A32538E16CC_.wvu.FilterData" localSheetId="0" hidden="1">PAC!$A$5:$BB$582</definedName>
    <definedName name="Z_18401603_5D29_4C7B_9571_DE594CD13A93_.wvu.FilterData" localSheetId="0" hidden="1">PAC!$A$5:$BB$582</definedName>
    <definedName name="Z_1847CE3E_6087_4998_91B8_7AB519A28B9B_.wvu.FilterData" localSheetId="0" hidden="1">PAC!$A$5:$AV$581</definedName>
    <definedName name="Z_189D3BC9_CAA4_43F6_9000_E7BA2F981753_.wvu.FilterData" localSheetId="0" hidden="1">PAC!$A$5:$BO$665</definedName>
    <definedName name="Z_196ACC3C_6B6C_43A6_B0E7_992652098119_.wvu.FilterData" localSheetId="0" hidden="1">PAC!$A$5:$BB$582</definedName>
    <definedName name="Z_1973D6F1_BF55_4EA0_8783_C0090844FB29_.wvu.FilterData" localSheetId="0" hidden="1">PAC!$A$5:$BB$582</definedName>
    <definedName name="Z_19B86607_F458_4FEE_B2A0_93EF2DA61C01_.wvu.FilterData" localSheetId="0" hidden="1">PAC!$A$5:$BO$665</definedName>
    <definedName name="Z_19BA7D41_3BC1_44A7_86EC_37B2DA1330F9_.wvu.FilterData" localSheetId="0" hidden="1">PAC!$A$5:$AV$581</definedName>
    <definedName name="Z_19DAA0A9_2886_46E0_9956_710136098FD0_.wvu.FilterData" localSheetId="0" hidden="1">PAC!$A$5:$BO$665</definedName>
    <definedName name="Z_19FDC53C_4E4D_4B28_943C_21BF0AE206BF_.wvu.FilterData" localSheetId="0" hidden="1">PAC!$A$5:$AZ$581</definedName>
    <definedName name="Z_1A4A6726_2FED_46F5_8D28_31C7B8C10F07_.wvu.FilterData" localSheetId="0" hidden="1">PAC!$A$5:$BB$581</definedName>
    <definedName name="Z_1A6E12E3_B528_43A3_AE4F_96F00D7E161B_.wvu.FilterData" localSheetId="0" hidden="1">PAC!$A$5:$BO$665</definedName>
    <definedName name="Z_1AAE946C_4052_4AEE_BCE9_A524A632FCF3_.wvu.FilterData" localSheetId="0" hidden="1">PAC!$A$5:$AV$206</definedName>
    <definedName name="Z_1B08A297_E2A1_4152_84FD_497E20F5D860_.wvu.FilterData" localSheetId="0" hidden="1">PAC!$A$5:$BB$582</definedName>
    <definedName name="Z_1C375FDE_6CB8_4209_8AAF_32F786A18922_.wvu.FilterData" localSheetId="0" hidden="1">PAC!$A$5:$BB$582</definedName>
    <definedName name="Z_1C49D8C5_CA80_4545_8B0C_8D9CB31AE3AC_.wvu.FilterData" localSheetId="0" hidden="1">PAC!$A$5:$AV$206</definedName>
    <definedName name="Z_1C5C22DF_2B49_4755_B53E_2C67F0D0C8A5_.wvu.FilterData" localSheetId="0" hidden="1">PAC!$A$5:$BO$665</definedName>
    <definedName name="Z_1C6AABF1_09C8_49DE_8D89_AC39CE806F8D_.wvu.FilterData" localSheetId="0" hidden="1">PAC!$A$5:$BB$582</definedName>
    <definedName name="Z_1CA4B471_30CC_4D78_B595_88AC62DCF40C_.wvu.FilterData" localSheetId="0" hidden="1">PAC!$A$5:$BB$581</definedName>
    <definedName name="Z_1CD856E2_B6B7_4017_A173_9B98E8E11BEF_.wvu.FilterData" localSheetId="0" hidden="1">PAC!$A$5:$BB$582</definedName>
    <definedName name="Z_1CDAB1CB_0BFD_41BC_AB82_835262CB9671_.wvu.FilterData" localSheetId="0" hidden="1">PAC!$A$5:$AZ$581</definedName>
    <definedName name="Z_1D69A01A_CADB_46F0_8526_CEDC09A7615B_.wvu.FilterData" localSheetId="0" hidden="1">PAC!$A$5:$BO$665</definedName>
    <definedName name="Z_1D9C17B6_DC6C_4F65_B3A0_8F0C71CBAD82_.wvu.FilterData" localSheetId="0" hidden="1">PAC!$A$5:$AV$581</definedName>
    <definedName name="Z_1DEACD51_E1F5_4136_8718_FFCBDAAE70F5_.wvu.FilterData" localSheetId="0" hidden="1">PAC!$A$5:$AV$206</definedName>
    <definedName name="Z_1DF53ED1_660E_48D7_873A_F0C6502E13AE_.wvu.FilterData" localSheetId="0" hidden="1">PAC!$A$5:$AV$581</definedName>
    <definedName name="Z_1E82B9D4_E352_4484_87C9_34C1A4EA03FC_.wvu.FilterData" localSheetId="0" hidden="1">PAC!$A$5:$AV$581</definedName>
    <definedName name="Z_1E8F3D88_5B3E_4173_9A27_C68E8FB11546_.wvu.FilterData" localSheetId="0" hidden="1">PAC!$A$5:$AZ$581</definedName>
    <definedName name="Z_1EB6674C_B9FA_45D4_8C0B_64ADD22D6F36_.wvu.FilterData" localSheetId="0" hidden="1">PAC!$A$5:$AV$581</definedName>
    <definedName name="Z_1F5D5C3B_584A_4E1D_921E_CC88F424DC57_.wvu.FilterData" localSheetId="11" hidden="1">'OUTRAS AÇÕES'!$A$3:$AZ$22</definedName>
    <definedName name="Z_1F5D5C3B_584A_4E1D_921E_CC88F424DC57_.wvu.FilterData" localSheetId="0" hidden="1">PAC!$A$5:$BB$582</definedName>
    <definedName name="Z_1F5D5C3B_584A_4E1D_921E_CC88F424DC57_.wvu.PrintArea" localSheetId="0" hidden="1">PAC!$A$2:$AV$206</definedName>
    <definedName name="Z_1F5D5C3B_584A_4E1D_921E_CC88F424DC57_.wvu.PrintTitles" localSheetId="0" hidden="1">PAC!$2:$5</definedName>
    <definedName name="Z_1F88C7A4_7904_4259_A0B8_7555DA23C658_.wvu.FilterData" localSheetId="0" hidden="1">PAC!$A$5:$BB$582</definedName>
    <definedName name="Z_1FCF303D_AD79_4177_B72E_9C59EB88B57E_.wvu.FilterData" localSheetId="0" hidden="1">PAC!$A$5:$BO$665</definedName>
    <definedName name="Z_1FEF2AB3_7ECB_4141_9EE7_EE2BE5C150DB_.wvu.FilterData" localSheetId="0" hidden="1">PAC!$A$5:$AV$581</definedName>
    <definedName name="Z_1FFA5F05_6463_4998_A8B4_24644BD5E1E6_.wvu.FilterData" localSheetId="0" hidden="1">PAC!$A$5:$BO$665</definedName>
    <definedName name="Z_2099D8FD_35B6_4B41_90E4_D6F242BA0837_.wvu.FilterData" localSheetId="0" hidden="1">PAC!$A$5:$AV$581</definedName>
    <definedName name="Z_20B872E1_347D_4A49_B1C1_A44FE9D874DF_.wvu.FilterData" localSheetId="0" hidden="1">PAC!$A$5:$BB$582</definedName>
    <definedName name="Z_20E1F7FF_823D_42BD_AF09_31E7374EAB10_.wvu.FilterData" localSheetId="0" hidden="1">PAC!$A$5:$BO$665</definedName>
    <definedName name="Z_20EC18DE_FAE6_4CB4_82BC_6FABF815E990_.wvu.FilterData" localSheetId="0" hidden="1">PAC!$A$5:$BB$582</definedName>
    <definedName name="Z_21315DA2_BA81_4B1E_BB09_FC44ADC6654F_.wvu.FilterData" localSheetId="0" hidden="1">PAC!$A$5:$AV$206</definedName>
    <definedName name="Z_2154C052_CED1_4DD8_AA13_1E85AC34F269_.wvu.FilterData" localSheetId="0" hidden="1">PAC!$A$5:$AZ$581</definedName>
    <definedName name="Z_21861091_AE2C_4759_B703_6C83F6D6AE6D_.wvu.FilterData" localSheetId="0" hidden="1">PAC!$A$5:$BO$665</definedName>
    <definedName name="Z_21AFC34E_80AF_4E7D_A948_13FFB6E398A7_.wvu.FilterData" localSheetId="0" hidden="1">PAC!$A$5:$BO$665</definedName>
    <definedName name="Z_21B58B53_6C81_4777_BE69_5CC5426BEB76_.wvu.FilterData" localSheetId="0" hidden="1">PAC!$A$5:$BB$582</definedName>
    <definedName name="Z_21C59313_DC57_4D0E_90ED_C69ABDE736B7_.wvu.FilterData" localSheetId="0" hidden="1">PAC!$A$5:$BO$665</definedName>
    <definedName name="Z_220F2844_CD44_4CCF_842E_FAA9056A2A26_.wvu.FilterData" localSheetId="0" hidden="1">PAC!$A$5:$BO$665</definedName>
    <definedName name="Z_22B51E25_62B8_4087_B705_4FF6C981289F_.wvu.FilterData" localSheetId="0" hidden="1">PAC!$A$5:$AZ$581</definedName>
    <definedName name="Z_22C31938_9CDD_4156_9A19_1E2ED670FD29_.wvu.FilterData" localSheetId="0" hidden="1">PAC!$A$5:$BB$581</definedName>
    <definedName name="Z_22C3EC8C_5645_4D5B_8A8A_BE9D3D0D085D_.wvu.FilterData" localSheetId="0" hidden="1">PAC!$A$5:$BB$582</definedName>
    <definedName name="Z_22FA5CA7_57B3_433A_9C6E_ED474EA33367_.wvu.FilterData" localSheetId="0" hidden="1">PAC!$A$5:$BO$665</definedName>
    <definedName name="Z_237925B1_B30E_477E_888A_81D7AB4FA7E4_.wvu.FilterData" localSheetId="0" hidden="1">PAC!$A$5:$BB$581</definedName>
    <definedName name="Z_237FC9CB_3C98_4C02_946D_05A5619E1E06_.wvu.FilterData" localSheetId="0" hidden="1">PAC!$A$5:$BB$582</definedName>
    <definedName name="Z_2399898A_128E_4BC8_8CA2_824CAADB9F8C_.wvu.FilterData" localSheetId="0" hidden="1">PAC!$A$5:$AV$206</definedName>
    <definedName name="Z_23F2A2E4_1F80_4EA8_BF10_06016CF404C5_.wvu.FilterData" localSheetId="0" hidden="1">PAC!$A$5:$BB$582</definedName>
    <definedName name="Z_241AFE8A_940B_41EF_A094_5DF9E82A1E8B_.wvu.FilterData" localSheetId="0" hidden="1">PAC!$A$5:$BB$582</definedName>
    <definedName name="Z_241C1BCB_2FFC_4B4A_A3D3_3742E8024895_.wvu.FilterData" localSheetId="0" hidden="1">PAC!$A$5:$BB$581</definedName>
    <definedName name="Z_2453ABA3_2291_4032_B3AB_8BCF986256C7_.wvu.FilterData" localSheetId="0" hidden="1">PAC!$A$5:$BB$581</definedName>
    <definedName name="Z_2465FA93_52F4_4E50_B8F3_0231B895E41A_.wvu.FilterData" localSheetId="0" hidden="1">PAC!$A$5:$BO$665</definedName>
    <definedName name="Z_251B6516_231F_4B2C_91AF_6917B5ADAA0D_.wvu.FilterData" localSheetId="0" hidden="1">PAC!$A$5:$AV$581</definedName>
    <definedName name="Z_254A4F3D_682F_4973_85C9_F183A83AF9B5_.wvu.FilterData" localSheetId="0" hidden="1">PAC!$A$5:$BB$581</definedName>
    <definedName name="Z_258032F4_BCDB_4AFD_88F1_FED0FB035908_.wvu.FilterData" localSheetId="0" hidden="1">PAC!$A$5:$BO$665</definedName>
    <definedName name="Z_25872FC8_97A4_4015_A8C5_E14C3717C29C_.wvu.FilterData" localSheetId="0" hidden="1">PAC!$A$5:$AV$430</definedName>
    <definedName name="Z_25C80CEF_EA97_4D68_A050_A1BF12ECF02B_.wvu.FilterData" localSheetId="0" hidden="1">PAC!$A$5:$AV$206</definedName>
    <definedName name="Z_25E87850_A3D5_4585_9E93_57457C3E7DCC_.wvu.FilterData" localSheetId="0" hidden="1">PAC!$A$5:$BO$665</definedName>
    <definedName name="Z_25EB87E2_0F49_4D92_B5F9_1F7974C828C6_.wvu.FilterData" localSheetId="0" hidden="1">PAC!$A$5:$BO$665</definedName>
    <definedName name="Z_264F5C36_61E2_4BC1_9B04_1FA62F9474A1_.wvu.FilterData" localSheetId="0" hidden="1">PAC!$A$5:$BO$665</definedName>
    <definedName name="Z_265E6B7C_C10A_4A9D_AD3B_5487A9AFF067_.wvu.FilterData" localSheetId="0" hidden="1">PAC!$A$5:$BO$665</definedName>
    <definedName name="Z_26D50E9D_4073_41DD_B40A_A242B5CB0526_.wvu.FilterData" localSheetId="0" hidden="1">PAC!$A$5:$BB$582</definedName>
    <definedName name="Z_26F9D0EC_552E_42AF_BBBC_DCB180C9C433_.wvu.FilterData" localSheetId="0" hidden="1">PAC!$A$5:$BB$582</definedName>
    <definedName name="Z_270E95A7_3B6C_4D9D_97B0_E7320BA4DFF7_.wvu.FilterData" localSheetId="11" hidden="1">'OUTRAS AÇÕES'!$A$3:$AZ$22</definedName>
    <definedName name="Z_270E95A7_3B6C_4D9D_97B0_E7320BA4DFF7_.wvu.FilterData" localSheetId="0" hidden="1">PAC!$A$5:$BB$582</definedName>
    <definedName name="Z_270E95A7_3B6C_4D9D_97B0_E7320BA4DFF7_.wvu.PrintArea" localSheetId="0" hidden="1">PAC!$E$5:$AF$488</definedName>
    <definedName name="Z_270E95A7_3B6C_4D9D_97B0_E7320BA4DFF7_.wvu.PrintTitles" localSheetId="0" hidden="1">PAC!$4:$5</definedName>
    <definedName name="Z_27517B77_0309_4D4D_B7CF_32A06CB2DA19_.wvu.FilterData" localSheetId="0" hidden="1">PAC!$A$5:$AZ$581</definedName>
    <definedName name="Z_276EA8AE_4FCB_42C8_82C7_3EC3F2C570B9_.wvu.FilterData" localSheetId="0" hidden="1">PAC!$A$5:$BO$665</definedName>
    <definedName name="Z_27707720_EC4C_4498_81D4_BA49D6882EDE_.wvu.FilterData" localSheetId="0" hidden="1">PAC!$A$5:$AV$426</definedName>
    <definedName name="Z_2822E7F6_9F98_48D2_A9FB_9133CB833F23_.wvu.FilterData" localSheetId="0" hidden="1">PAC!$A$5:$BB$581</definedName>
    <definedName name="Z_2823EE9C_283E_4E7D_B845_69B8ADB7AC95_.wvu.FilterData" localSheetId="0" hidden="1">PAC!$A$5:$AV$581</definedName>
    <definedName name="Z_2846A613_3D53_428B_BC51_6D57B577FCCE_.wvu.FilterData" localSheetId="0" hidden="1">PAC!$A$5:$AV$430</definedName>
    <definedName name="Z_28869C0E_5520_41F3_B3C9_EE731442C2D1_.wvu.FilterData" localSheetId="0" hidden="1">PAC!$A$5:$BO$665</definedName>
    <definedName name="Z_28CF62DF_1D9F_40FA_B5CF_BFED8B6E30B0_.wvu.FilterData" localSheetId="0" hidden="1">PAC!$A$5:$BB$582</definedName>
    <definedName name="Z_28EB6BA3_1827_407C_BC12_B8CD3BF131AF_.wvu.FilterData" localSheetId="0" hidden="1">PAC!$A$5:$BO$665</definedName>
    <definedName name="Z_292831B2_2910_49F2_8307_89D69F878842_.wvu.FilterData" localSheetId="0" hidden="1">PAC!$A$5:$AV$581</definedName>
    <definedName name="Z_29480FF6_B331_4A1C_82FA_F33A244887BC_.wvu.FilterData" localSheetId="0" hidden="1">PAC!$A$5:$BB$581</definedName>
    <definedName name="Z_29757601_4854_4127_A9C0_EDBA2EF158C1_.wvu.FilterData" localSheetId="0" hidden="1">PAC!$A$5:$BB$582</definedName>
    <definedName name="Z_2979C417_506F_4944_963B_5F6B230ACB51_.wvu.FilterData" localSheetId="0" hidden="1">PAC!$A$5:$AV$581</definedName>
    <definedName name="Z_297D32C8_DADD_4300_91DC_79F9F1DAF4B7_.wvu.FilterData" localSheetId="0" hidden="1">PAC!$A$5:$BO$665</definedName>
    <definedName name="Z_299DEE59_703C_4306_B1C2_08DCE52651B5_.wvu.FilterData" localSheetId="0" hidden="1">PAC!$A$5:$BO$665</definedName>
    <definedName name="Z_29BEFE9D_55A9_429F_9AC7_400ABD206F22_.wvu.FilterData" localSheetId="0" hidden="1">PAC!$A$5:$AZ$581</definedName>
    <definedName name="Z_29EEFDD8_EFFE_4027_872C_9EE9DA97DCE3_.wvu.FilterData" localSheetId="0" hidden="1">PAC!$A$5:$BB$582</definedName>
    <definedName name="Z_2A1C4F15_41E9_4CEC_A1DE_5266A0D671E7_.wvu.FilterData" localSheetId="0" hidden="1">PAC!$A$5:$BO$665</definedName>
    <definedName name="Z_2B0C5703_6F04_42D5_9B88_2B421E802842_.wvu.FilterData" localSheetId="0" hidden="1">PAC!$A$5:$BB$582</definedName>
    <definedName name="Z_2B272C61_B09B_4423_9092_D645388266D7_.wvu.FilterData" localSheetId="0" hidden="1">PAC!$A$5:$AZ$581</definedName>
    <definedName name="Z_2BB71C5B_9523_46D2_9B93_188EA5EC912F_.wvu.FilterData" localSheetId="0" hidden="1">PAC!$A$5:$BB$582</definedName>
    <definedName name="Z_2BC012BD_FFB4_4F9B_844D_0DC4B5755B6E_.wvu.FilterData" localSheetId="0" hidden="1">PAC!$A$5:$BB$582</definedName>
    <definedName name="Z_2BC7B6D6_B44F_487B_AB85_A68F409DC3F0_.wvu.FilterData" localSheetId="0" hidden="1">PAC!$A$5:$BO$665</definedName>
    <definedName name="Z_2BEFA783_8290_468F_939E_C61213ACE59C_.wvu.FilterData" localSheetId="0" hidden="1">PAC!$A$5:$BO$665</definedName>
    <definedName name="Z_2C0E9010_5FA6_4E94_8634_9150B7D946C0_.wvu.FilterData" localSheetId="0" hidden="1">PAC!$A$5:$BB$581</definedName>
    <definedName name="Z_2C3FC674_D0CD_4937_BAF0_2149699D40BA_.wvu.FilterData" localSheetId="0" hidden="1">PAC!$A$5:$AV$581</definedName>
    <definedName name="Z_2C45D68A_51A7_4B3C_AD75_1202D92256AB_.wvu.FilterData" localSheetId="0" hidden="1">PAC!$A$5:$BO$665</definedName>
    <definedName name="Z_2C55B93A_F696_46E0_857A_8AB8E39B6389_.wvu.FilterData" localSheetId="0" hidden="1">PAC!$A$5:$AV$430</definedName>
    <definedName name="Z_2C773743_A5DC_4C4B_B692_C4EDCB871481_.wvu.FilterData" localSheetId="0" hidden="1">PAC!$A$5:$BB$581</definedName>
    <definedName name="Z_2C96CAA1_DA7D_476F_ACBE_B6839DAC84FC_.wvu.FilterData" localSheetId="0" hidden="1">PAC!$A$5:$BO$665</definedName>
    <definedName name="Z_2D06BFB7_CF18_462B_B607_D837F39C494C_.wvu.FilterData" localSheetId="0" hidden="1">PAC!$A$5:$BB$582</definedName>
    <definedName name="Z_2D1D3D27_3080_48F4_A419_3E03E4E0429C_.wvu.FilterData" localSheetId="0" hidden="1">PAC!$A$5:$BB$582</definedName>
    <definedName name="Z_2D433DF2_5FE1_41FE_93E9_C9A88379E6C1_.wvu.FilterData" localSheetId="0" hidden="1">PAC!$A$5:$BO$665</definedName>
    <definedName name="Z_2D5F4E44_23DC_401D_A77F_FDE2305E7ECF_.wvu.FilterData" localSheetId="0" hidden="1">PAC!$A$5:$BO$665</definedName>
    <definedName name="Z_2D82FE3D_2F17_460C_8658_D9B5EE857AF7_.wvu.FilterData" localSheetId="0" hidden="1">PAC!$A$5:$BO$665</definedName>
    <definedName name="Z_2DCB2293_0399_40F2_83B5_B7FDB779DD73_.wvu.FilterData" localSheetId="0" hidden="1">PAC!$A$5:$AV$430</definedName>
    <definedName name="Z_2DD4D82B_614C_41F2_A26B_E5FA91A124FA_.wvu.FilterData" localSheetId="0" hidden="1">PAC!$A$5:$AV$206</definedName>
    <definedName name="Z_2DF0E64D_9F49_47D1_BDE0_7B11EEE9C5EC_.wvu.FilterData" localSheetId="0" hidden="1">PAC!$A$5:$BB$582</definedName>
    <definedName name="Z_2E41E865_C6F4_4984_9EC5_ABC5DAAADD30_.wvu.FilterData" localSheetId="0" hidden="1">PAC!$A$5:$AV$426</definedName>
    <definedName name="Z_2E5DA020_AADE_43E2_A021_A834DC2AA08D_.wvu.FilterData" localSheetId="0" hidden="1">PAC!$A$5:$BO$665</definedName>
    <definedName name="Z_2ECE52BA_80E2_45E7_A3E4_C2E962F9973C_.wvu.FilterData" localSheetId="0" hidden="1">PAC!$A$5:$AV$581</definedName>
    <definedName name="Z_2EE04A73_1EB7_4EC7_912A_87973E19B8D3_.wvu.FilterData" localSheetId="0" hidden="1">PAC!$A$5:$BB$581</definedName>
    <definedName name="Z_2F08E364_6290_4155_BDAF_7F682FC1EA44_.wvu.FilterData" localSheetId="0" hidden="1">PAC!$A$5:$BO$665</definedName>
    <definedName name="Z_2F206468_EFCF_407B_93DB_BAC2E178DB9C_.wvu.FilterData" localSheetId="0" hidden="1">PAC!$A$5:$AV$581</definedName>
    <definedName name="Z_2F3D8D4D_25DB_4CA5_8B50_275101B6EA7B_.wvu.FilterData" localSheetId="0" hidden="1">PAC!$A$5:$AV$430</definedName>
    <definedName name="Z_2FA1492A_B097_4ADD_A354_53C89FA71B05_.wvu.FilterData" localSheetId="0" hidden="1">PAC!$A$5:$BO$665</definedName>
    <definedName name="Z_2FC803F5_5490_4C47_8279_86BC04CC8EA6_.wvu.FilterData" localSheetId="0" hidden="1">PAC!$A$5:$AV$206</definedName>
    <definedName name="Z_301A38C4_1A06_4E95_8096_24B6800ABB67_.wvu.FilterData" localSheetId="0" hidden="1">PAC!$A$5:$AZ$581</definedName>
    <definedName name="Z_3022C89C_43B5_4D4C_BC5A_330723339770_.wvu.FilterData" localSheetId="0" hidden="1">PAC!$A$5:$BB$581</definedName>
    <definedName name="Z_30365740_A703_441C_A36B_E500BD977155_.wvu.FilterData" localSheetId="0" hidden="1">PAC!$A$5:$AV$426</definedName>
    <definedName name="Z_305C82AF_2FE6_46C0_BBDF_AF9DCD300EBF_.wvu.FilterData" localSheetId="0" hidden="1">PAC!$A$5:$BO$665</definedName>
    <definedName name="Z_305CCDC6_811B_4838_BC16_B1EF0D29BCA6_.wvu.FilterData" localSheetId="0" hidden="1">PAC!$A$5:$AV$206</definedName>
    <definedName name="Z_306B837C_5317_47B7_AAF8_ED2ECC20C971_.wvu.FilterData" localSheetId="0" hidden="1">PAC!$A$5:$BO$665</definedName>
    <definedName name="Z_307E558C_C52A_4E00_8903_239B302E1E58_.wvu.FilterData" localSheetId="0" hidden="1">PAC!$A$5:$BB$582</definedName>
    <definedName name="Z_30800ABA_595F_4344_B3DC_09E74BCEC006_.wvu.FilterData" localSheetId="0" hidden="1">PAC!$A$5:$BB$581</definedName>
    <definedName name="Z_30BCF87A_393A_4605_8ED3_31C0D5EDFF64_.wvu.FilterData" localSheetId="0" hidden="1">PAC!$A$5:$BB$581</definedName>
    <definedName name="Z_30C4383E_0A76_4569_8B65_A3BF81D3EC44_.wvu.FilterData" localSheetId="0" hidden="1">PAC!$A$5:$BB$582</definedName>
    <definedName name="Z_30E5A944_2578_43E6_9702_B8D9A7918620_.wvu.FilterData" localSheetId="0" hidden="1">PAC!$A$5:$BO$665</definedName>
    <definedName name="Z_30EA1686_68FE_41B9_8A24_FA5986DC4F16_.wvu.FilterData" localSheetId="0" hidden="1">PAC!$A$5:$AV$430</definedName>
    <definedName name="Z_311E9FE8_1EC3_44DB_9F1A_397A07F4CBBE_.wvu.FilterData" localSheetId="0" hidden="1">PAC!$A$5:$AV$581</definedName>
    <definedName name="Z_31880711_016D_4D58_BF82_3A909C6DAF0F_.wvu.FilterData" localSheetId="0" hidden="1">PAC!$A$5:$BB$582</definedName>
    <definedName name="Z_318EA677_B557_4669_AFFD_78707E4C0D1A_.wvu.FilterData" localSheetId="0" hidden="1">PAC!$A$5:$BO$665</definedName>
    <definedName name="Z_32C51A3E_5E79_448F_A6A2_3E70C6845B1C_.wvu.FilterData" localSheetId="0" hidden="1">PAC!$A$5:$BB$581</definedName>
    <definedName name="Z_3322963B_F42A_40AF_B8ED_5B7D98FBF9D6_.wvu.FilterData" localSheetId="0" hidden="1">PAC!$A$5:$BO$665</definedName>
    <definedName name="Z_3354E66E_6816_41E4_97FF_26205040EB3D_.wvu.FilterData" localSheetId="0" hidden="1">PAC!$A$5:$AV$581</definedName>
    <definedName name="Z_340DF0B9_B3C7_4389_B476_9986801AA04E_.wvu.FilterData" localSheetId="0" hidden="1">PAC!$A$5:$BB$581</definedName>
    <definedName name="Z_340DF607_47CF_4E92_84F5_13A1986165AE_.wvu.FilterData" localSheetId="0" hidden="1">PAC!$A$5:$AV$206</definedName>
    <definedName name="Z_3424C4B8_BF42_477D_95CF_269AC8CF0826_.wvu.FilterData" localSheetId="0" hidden="1">PAC!$A$5:$BO$665</definedName>
    <definedName name="Z_349AE76E_F736_42F8_B026_45ED5BC8ECA9_.wvu.FilterData" localSheetId="0" hidden="1">PAC!$A$5:$AV$581</definedName>
    <definedName name="Z_34CCACCA_660D_4E37_8439_2CED7D3D315C_.wvu.FilterData" localSheetId="0" hidden="1">PAC!$A$5:$BO$665</definedName>
    <definedName name="Z_34EDFE61_695E_4022_893B_3300B1A9D2D3_.wvu.FilterData" localSheetId="0" hidden="1">PAC!$A$5:$AZ$581</definedName>
    <definedName name="Z_34EFDC74_29F1_4629_B382_585B600CBACB_.wvu.FilterData" localSheetId="0" hidden="1">PAC!$A$5:$BO$665</definedName>
    <definedName name="Z_34F9BE04_3CB6_46AE_977C_B97934A89D77_.wvu.FilterData" localSheetId="0" hidden="1">PAC!$A$5:$AZ$581</definedName>
    <definedName name="Z_34FAEA2F_57DF_428D_B7E4_26C88045C11A_.wvu.FilterData" localSheetId="0" hidden="1">PAC!$A$5:$BB$582</definedName>
    <definedName name="Z_356B473C_3F7B_488A_B941_9CE17A5A2171_.wvu.FilterData" localSheetId="0" hidden="1">PAC!$A$5:$BO$665</definedName>
    <definedName name="Z_357E1B4C_7BE2_4ED7_B00D_E5DE7C35A893_.wvu.FilterData" localSheetId="0" hidden="1">PAC!$A$5:$BB$581</definedName>
    <definedName name="Z_3598F714_D163_4083_AF38_4523A83928B7_.wvu.FilterData" localSheetId="0" hidden="1">PAC!$A$5:$AV$430</definedName>
    <definedName name="Z_3599A797_B52D_4753_939E_1D0A29464FA7_.wvu.FilterData" localSheetId="0" hidden="1">PAC!$A$5:$AV$581</definedName>
    <definedName name="Z_35F42F7A_5BA0_46A9_A261_FD6A61DD903D_.wvu.FilterData" localSheetId="0" hidden="1">PAC!$A$5:$AZ$581</definedName>
    <definedName name="Z_35F97F04_A1BA_4530_A9BB_06699F05E736_.wvu.FilterData" localSheetId="0" hidden="1">PAC!$A$5:$BB$581</definedName>
    <definedName name="Z_360EA95D_7723_4CF3_B3D1_A9B7BEDE95D9_.wvu.FilterData" localSheetId="0" hidden="1">PAC!$A$5:$AZ$581</definedName>
    <definedName name="Z_36682764_AAD1_4580_95BA_2A3C26B38313_.wvu.FilterData" localSheetId="0" hidden="1">PAC!$A$5:$AV$581</definedName>
    <definedName name="Z_366DA353_6F3F_44F3_B006_51951FCBC628_.wvu.FilterData" localSheetId="0" hidden="1">PAC!$A$5:$BB$582</definedName>
    <definedName name="Z_36BA7497_1139_4DBC_8AA2_ADBC8A579737_.wvu.FilterData" localSheetId="0" hidden="1">PAC!$A$5:$BO$665</definedName>
    <definedName name="Z_370D66D5_FED6_4AC6_A987_F297F5772758_.wvu.FilterData" localSheetId="0" hidden="1">PAC!$A$5:$BO$665</definedName>
    <definedName name="Z_3715F5FB_572F_4FF4_BD39_C11C217BD77F_.wvu.FilterData" localSheetId="0" hidden="1">PAC!$A$5:$BO$665</definedName>
    <definedName name="Z_3732CB41_F144_424B_8A06_34AEB61E7FF9_.wvu.FilterData" localSheetId="0" hidden="1">PAC!$A$5:$BB$581</definedName>
    <definedName name="Z_374D3508_CDCA_4D8F_859B_40CC82676568_.wvu.FilterData" localSheetId="0" hidden="1">PAC!$A$5:$BO$665</definedName>
    <definedName name="Z_37FBCFD0_A5DF_400E_B736_9BD3CE5C628A_.wvu.FilterData" localSheetId="0" hidden="1">PAC!$A$5:$BB$582</definedName>
    <definedName name="Z_384AD98B_A7B3_40E6_9E50_AD20C9D03FE5_.wvu.FilterData" localSheetId="0" hidden="1">PAC!$A$5:$BO$665</definedName>
    <definedName name="Z_384E90C4_62B0_43F2_B7DA_F44D0BF70001_.wvu.FilterData" localSheetId="0" hidden="1">PAC!$A$5:$AZ$581</definedName>
    <definedName name="Z_38AB18E7_9620_41C4_A62A_51D1FB662E37_.wvu.FilterData" localSheetId="0" hidden="1">PAC!$A$5:$BB$582</definedName>
    <definedName name="Z_38E6B208_4834_4AE0_9DD7_467338323C8B_.wvu.FilterData" localSheetId="0" hidden="1">PAC!$A$5:$AV$581</definedName>
    <definedName name="Z_393AEC1B_ECC3_4537_844E_8F31A1DF3CCA_.wvu.FilterData" localSheetId="0" hidden="1">PAC!$A$5:$BO$665</definedName>
    <definedName name="Z_394B2F9B_7366_4E63_9056_37769B593897_.wvu.FilterData" localSheetId="0" hidden="1">PAC!$A$5:$BO$665</definedName>
    <definedName name="Z_396540F3_C1E7_41F8_B8DB_E47799FEBF9D_.wvu.FilterData" localSheetId="0" hidden="1">PAC!$A$5:$BO$665</definedName>
    <definedName name="Z_39EEE442_2701_4091_8831_00C70A5C1D77_.wvu.FilterData" localSheetId="0" hidden="1">PAC!$A$5:$AZ$581</definedName>
    <definedName name="Z_3B00C46D_42CC_4638_9A80_C0F6D158A207_.wvu.FilterData" localSheetId="0" hidden="1">PAC!$A$5:$AV$581</definedName>
    <definedName name="Z_3B13EB8F_8DD2_4B9E_8DE1_8D2F683F76C8_.wvu.FilterData" localSheetId="0" hidden="1">PAC!$A$5:$BB$581</definedName>
    <definedName name="Z_3B7B6CD2_AFBD_4DBD_BCA6_ECD786E663F5_.wvu.FilterData" localSheetId="0" hidden="1">PAC!$A$5:$BB$581</definedName>
    <definedName name="Z_3B990B2D_E14E_4EB9_A442_FB418C23FC39_.wvu.FilterData" localSheetId="0" hidden="1">PAC!$A$5:$BB$582</definedName>
    <definedName name="Z_3BDB6E1C_7E48_4507_BED4_5590F6DDB678_.wvu.FilterData" localSheetId="0" hidden="1">PAC!$A$5:$BB$582</definedName>
    <definedName name="Z_3BF64C36_C6D3_46A9_89C5_F13537774413_.wvu.FilterData" localSheetId="0" hidden="1">PAC!$A$5:$AV$206</definedName>
    <definedName name="Z_3CFC0205_E6A2_4753_846B_85FB0446F600_.wvu.FilterData" localSheetId="0" hidden="1">PAC!$A$5:$BB$582</definedName>
    <definedName name="Z_3D026182_8F13_4670_AD67_555A233F4F45_.wvu.FilterData" localSheetId="0" hidden="1">PAC!$A$5:$BB$582</definedName>
    <definedName name="Z_3D74B304_189A_442A_B7F1_902584183DB1_.wvu.FilterData" localSheetId="0" hidden="1">PAC!$A$5:$BO$665</definedName>
    <definedName name="Z_3D7D71A1_FFC3_4791_B091_603B1D4E5F01_.wvu.FilterData" localSheetId="0" hidden="1">PAC!$A$5:$BB$581</definedName>
    <definedName name="Z_3DD32DAC_5D95_46C8_B88F_C9674F5407FF_.wvu.FilterData" localSheetId="0" hidden="1">PAC!$A$5:$BB$581</definedName>
    <definedName name="Z_3E2A66C6_F087_44E9_BAFD_2AC5F084BF1C_.wvu.FilterData" localSheetId="0" hidden="1">PAC!$A$5:$BB$582</definedName>
    <definedName name="Z_3EE61C2E_A8AC_4C1E_91AF_3FB1D63B2796_.wvu.FilterData" localSheetId="0" hidden="1">PAC!$A$5:$BO$665</definedName>
    <definedName name="Z_3F1D818C_8D72_4B98_B61D_FE6456145435_.wvu.FilterData" localSheetId="0" hidden="1">PAC!$A$5:$AV$206</definedName>
    <definedName name="Z_3F211E03_4318_49E2_B8B8_35E68667FB52_.wvu.FilterData" localSheetId="0" hidden="1">PAC!$A$5:$BB$582</definedName>
    <definedName name="Z_3FAC9501_AF83_43C2_B286_B9675A5BD29A_.wvu.FilterData" localSheetId="0" hidden="1">PAC!$A$5:$AV$581</definedName>
    <definedName name="Z_3FCA7592_75F6_42CC_BD34_9DD135156D43_.wvu.FilterData" localSheetId="0" hidden="1">PAC!$A$5:$BO$665</definedName>
    <definedName name="Z_40094052_AE41_44BA_899A_5E53465908C2_.wvu.FilterData" localSheetId="0" hidden="1">PAC!$A$5:$AV$581</definedName>
    <definedName name="Z_403F333E_660B_4389_B6B3_A893EAC2D8C9_.wvu.FilterData" localSheetId="0" hidden="1">PAC!$A$5:$AV$206</definedName>
    <definedName name="Z_40660A51_D260_4AD0_A5AF_B69B6428B3F5_.wvu.FilterData" localSheetId="0" hidden="1">PAC!$A$5:$BB$582</definedName>
    <definedName name="Z_4099BED1_9019_469D_855E_EF58CB42E64F_.wvu.FilterData" localSheetId="0" hidden="1">PAC!$A$5:$BB$581</definedName>
    <definedName name="Z_40AA4E20_C5C0_42EE_90CF_0C2D2B20160E_.wvu.FilterData" localSheetId="0" hidden="1">PAC!$A$5:$BO$665</definedName>
    <definedName name="Z_40CFB7AE_0430_43C1_8770_11B58F1D8384_.wvu.FilterData" localSheetId="0" hidden="1">PAC!$A$5:$BB$582</definedName>
    <definedName name="Z_40F8C621_FEB2_4477_BEFF_3872AB877A42_.wvu.FilterData" localSheetId="0" hidden="1">PAC!$A$5:$AV$430</definedName>
    <definedName name="Z_4126EF62_3231_4D78_A5A2_B9876DAF2901_.wvu.FilterData" localSheetId="0" hidden="1">PAC!$A$5:$BB$582</definedName>
    <definedName name="Z_414793E4_A3AF_40D9_BFEF_32D20D994273_.wvu.FilterData" localSheetId="0" hidden="1">PAC!$A$5:$BO$665</definedName>
    <definedName name="Z_4153A1E5_3D85_4A64_A515_ACDFC66D3A94_.wvu.FilterData" localSheetId="0" hidden="1">PAC!$A$5:$BO$665</definedName>
    <definedName name="Z_41662CEE_46A5_415B_BDA3_14880130C666_.wvu.FilterData" localSheetId="0" hidden="1">PAC!$A$5:$AV$581</definedName>
    <definedName name="Z_41839DCD_40CD_4D55_848F_834438A7A5E5_.wvu.FilterData" localSheetId="0" hidden="1">PAC!$A$5:$AV$581</definedName>
    <definedName name="Z_41B4D75C_9154_4C0A_9462_BF16396C45E3_.wvu.FilterData" localSheetId="0" hidden="1">PAC!$A$5:$AZ$581</definedName>
    <definedName name="Z_41C4900B_1DF3_4A0E_82A0_1D463AEB6415_.wvu.FilterData" localSheetId="0" hidden="1">PAC!$A$5:$AV$206</definedName>
    <definedName name="Z_4206DDEE_9214_44AA_88C2_96B60A34D828_.wvu.FilterData" localSheetId="0" hidden="1">PAC!$A$5:$AZ$581</definedName>
    <definedName name="Z_421FBB61_5861_4919_A52F_6E909B43BC1E_.wvu.FilterData" localSheetId="0" hidden="1">PAC!$A$5:$AV$581</definedName>
    <definedName name="Z_422EA88C_A8AF_4233_9E6A_E9146DB903FC_.wvu.FilterData" localSheetId="0" hidden="1">PAC!$A$5:$BB$582</definedName>
    <definedName name="Z_42E1FF3C_F356_4E66_B0CA_E045C0D66BE3_.wvu.FilterData" localSheetId="0" hidden="1">PAC!$A$5:$AZ$581</definedName>
    <definedName name="Z_4327C61B_D672_4176_8F16_294231392B23_.wvu.FilterData" localSheetId="0" hidden="1">PAC!$A$5:$BO$665</definedName>
    <definedName name="Z_432DAE30_33FD_4CC6_809E_3A73FEC9F883_.wvu.FilterData" localSheetId="0" hidden="1">PAC!$A$5:$BB$582</definedName>
    <definedName name="Z_4380C437_3D63_4B8E_9C47_B3D4F02260BF_.wvu.FilterData" localSheetId="0" hidden="1">PAC!$A$5:$BO$665</definedName>
    <definedName name="Z_43CB15A9_5FEA_4F13_83A7_F4C44330FC9D_.wvu.FilterData" localSheetId="0" hidden="1">PAC!$A$5:$AZ$581</definedName>
    <definedName name="Z_43FE0B39_2D72_418C_817B_A2724F488F38_.wvu.FilterData" localSheetId="0" hidden="1">PAC!$A$5:$AV$206</definedName>
    <definedName name="Z_4449F1D3_4707_466E_B41F_A8C1013A797B_.wvu.FilterData" localSheetId="0" hidden="1">PAC!$A$5:$AV$581</definedName>
    <definedName name="Z_445F15E1_5D2A_4529_9071_98DF9AA44635_.wvu.FilterData" localSheetId="0" hidden="1">PAC!$A$5:$BO$665</definedName>
    <definedName name="Z_44BC3E9F_3355_4675_8796_34BEF31AA67A_.wvu.FilterData" localSheetId="0" hidden="1">PAC!$A$5:$BO$665</definedName>
    <definedName name="Z_451BE6F7_DAF4_4332_8F59_190200E471AC_.wvu.FilterData" localSheetId="0" hidden="1">PAC!$A$5:$AV$581</definedName>
    <definedName name="Z_452D7018_3271_44B3_83AB_8FD5F6CDA107_.wvu.FilterData" localSheetId="0" hidden="1">PAC!$A$5:$BB$581</definedName>
    <definedName name="Z_4533C58F_5BD9_4E86_A01A_C11DF3DD0E5C_.wvu.FilterData" localSheetId="0" hidden="1">PAC!$A$5:$BB$581</definedName>
    <definedName name="Z_45374152_2EFB_4B5D_8314_BFF7E0FCDD2D_.wvu.FilterData" localSheetId="0" hidden="1">PAC!$A$5:$BB$582</definedName>
    <definedName name="Z_457FF51B_25E5_4105_9BBC_2F5B415650DC_.wvu.FilterData" localSheetId="0" hidden="1">PAC!$A$5:$BO$665</definedName>
    <definedName name="Z_45C511D2_91C0_43BC_A9C6_B98FA8B388EB_.wvu.FilterData" localSheetId="0" hidden="1">PAC!$A$5:$BB$582</definedName>
    <definedName name="Z_45D2078A_0F32_4592_9972_52C521C39E0E_.wvu.FilterData" localSheetId="0" hidden="1">PAC!$A$5:$BO$665</definedName>
    <definedName name="Z_469029C4_FD36_4530_A09C_0FE1DB895A50_.wvu.FilterData" localSheetId="0" hidden="1">PAC!$A$5:$AV$581</definedName>
    <definedName name="Z_46BB051B_272B_49C8_A4C3_B4237F6E1B7D_.wvu.FilterData" localSheetId="11" hidden="1">'OUTRAS AÇÕES'!$A$3:$AZ$22</definedName>
    <definedName name="Z_46BB051B_272B_49C8_A4C3_B4237F6E1B7D_.wvu.FilterData" localSheetId="0" hidden="1">PAC!$A$5:$BB$582</definedName>
    <definedName name="Z_46BB051B_272B_49C8_A4C3_B4237F6E1B7D_.wvu.PrintArea" localSheetId="0" hidden="1">PAC!$E$1:$AE$488</definedName>
    <definedName name="Z_46BB051B_272B_49C8_A4C3_B4237F6E1B7D_.wvu.PrintTitles" localSheetId="0" hidden="1">PAC!$1:$5</definedName>
    <definedName name="Z_46BDE5D7_17C4_4C14_8227_F3B015B8B60A_.wvu.FilterData" localSheetId="0" hidden="1">PAC!$A$5:$BB$582</definedName>
    <definedName name="Z_46F4A31A_6E12_48C1_A69F_6252EA9C625A_.wvu.FilterData" localSheetId="0" hidden="1">PAC!$A$5:$BB$582</definedName>
    <definedName name="Z_46F52715_8AB7_48D8_8115_EF4F1ED50C1E_.wvu.FilterData" localSheetId="0" hidden="1">PAC!$A$5:$AV$581</definedName>
    <definedName name="Z_478A83E1_7D0A_4412_81BC_74EA4060B164_.wvu.FilterData" localSheetId="0" hidden="1">PAC!$A$5:$BB$581</definedName>
    <definedName name="Z_47A6FA86_8A8C_4D97_BC3C_0D3EE3391A46_.wvu.FilterData" localSheetId="0" hidden="1">PAC!$A$5:$AV$581</definedName>
    <definedName name="Z_47C20C75_D317_4A70_B5B3_2A049B0D512E_.wvu.FilterData" localSheetId="0" hidden="1">PAC!$A$5:$BO$665</definedName>
    <definedName name="Z_47E70C33_5A03_4C40_80E6_A80E9306FCF1_.wvu.FilterData" localSheetId="0" hidden="1">PAC!$A$5:$AV$581</definedName>
    <definedName name="Z_48723363_5138_483E_9ECF_9F0B590DBDB4_.wvu.FilterData" localSheetId="0" hidden="1">PAC!$A$5:$BO$665</definedName>
    <definedName name="Z_4874AACB_82D1_4561_987F_AA7B1DCB51DC_.wvu.FilterData" localSheetId="0" hidden="1">PAC!$A$2:$BH$580</definedName>
    <definedName name="Z_48908D10_BE7E_4D9E_9FC1_4B4862EFAB90_.wvu.FilterData" localSheetId="0" hidden="1">PAC!$A$5:$AV$581</definedName>
    <definedName name="Z_493986E5_43FA_46AB_9BF0_5E4DCF434293_.wvu.FilterData" localSheetId="0" hidden="1">PAC!$A$5:$AV$206</definedName>
    <definedName name="Z_49505F03_5D35_4E24_AE13_8BE52DE6AACE_.wvu.FilterData" localSheetId="0" hidden="1">PAC!$A$5:$BB$582</definedName>
    <definedName name="Z_495A3B5A_AD7E_41EB_95B5_D3265EAC6DAE_.wvu.FilterData" localSheetId="0" hidden="1">PAC!$A$5:$AZ$581</definedName>
    <definedName name="Z_4977CD32_F6E8_430C_A825_EB7B758A712A_.wvu.FilterData" localSheetId="0" hidden="1">PAC!$A$5:$BB$581</definedName>
    <definedName name="Z_49785E0B_7255_48E8_82E7_1E30B9D7A805_.wvu.FilterData" localSheetId="0" hidden="1">PAC!$A$5:$BB$582</definedName>
    <definedName name="Z_4A4B0A08_F8D8_4124_8EC4_CE1B9D0C89C4_.wvu.FilterData" localSheetId="0" hidden="1">PAC!$A$5:$BO$665</definedName>
    <definedName name="Z_4A72B4EC_4E9A_489F_A2EF_DF3D82B68BD4_.wvu.FilterData" localSheetId="0" hidden="1">PAC!$A$5:$BB$582</definedName>
    <definedName name="Z_4ABA932A_20BF_44CB_92E9_DAB00BD00F49_.wvu.FilterData" localSheetId="0" hidden="1">PAC!$A$5:$BO$665</definedName>
    <definedName name="Z_4AE750AC_C3A9_4F57_9394_6BA1E193FC3B_.wvu.FilterData" localSheetId="0" hidden="1">PAC!$A$5:$AV$206</definedName>
    <definedName name="Z_4B14409D_516F_4C39_A8E6_574ED8264689_.wvu.FilterData" localSheetId="0" hidden="1">PAC!$A$5:$BB$582</definedName>
    <definedName name="Z_4BBD7B1B_21DC_4D45_8E7D_52D93BF256C7_.wvu.FilterData" localSheetId="0" hidden="1">PAC!$A$5:$BB$582</definedName>
    <definedName name="Z_4C15BAB6_33E9_44B2_9C3F_55CB9966EE5A_.wvu.FilterData" localSheetId="0" hidden="1">PAC!$A$5:$BB$582</definedName>
    <definedName name="Z_4C742748_78D3_417A_A012_AE090EB5CBEA_.wvu.FilterData" localSheetId="0" hidden="1">PAC!$A$5:$AZ$581</definedName>
    <definedName name="Z_4D2516A0_DBB7_4607_AA0E_861B48BBABB4_.wvu.FilterData" localSheetId="0" hidden="1">PAC!$A$5:$AZ$581</definedName>
    <definedName name="Z_4D80B159_5AC2_4A78_BC31_ED965684CA6D_.wvu.FilterData" localSheetId="0" hidden="1">PAC!$A$5:$BB$582</definedName>
    <definedName name="Z_4DE18856_6DB9_4817_B8B2_9DD3B8B1E64F_.wvu.FilterData" localSheetId="0" hidden="1">PAC!$A$5:$BB$582</definedName>
    <definedName name="Z_4DEF2871_9FB0_425E_890C_BCEA6C13CC6B_.wvu.FilterData" localSheetId="0" hidden="1">PAC!$A$5:$BO$665</definedName>
    <definedName name="Z_4E385DBF_09D7_4250_8B28_47992F96C8D7_.wvu.FilterData" localSheetId="0" hidden="1">PAC!$A$5:$BO$665</definedName>
    <definedName name="Z_4E6F156C_7C52_4163_B58E_533DDD0A6749_.wvu.FilterData" localSheetId="0" hidden="1">PAC!$A$5:$BB$582</definedName>
    <definedName name="Z_4E9FCA01_B8BF_4FDF_8748_B0D4E265E60E_.wvu.FilterData" localSheetId="0" hidden="1">PAC!$A$5:$AZ$581</definedName>
    <definedName name="Z_4EA97B6C_B0D5_4B33_9F4C_B956B76DBC1D_.wvu.FilterData" localSheetId="0" hidden="1">PAC!$A$5:$BO$665</definedName>
    <definedName name="Z_4F8ABC55_F304_460A_AB57_DD4F751FD352_.wvu.FilterData" localSheetId="0" hidden="1">PAC!$A$5:$AV$581</definedName>
    <definedName name="Z_4FABECBD_980F_48FA_ADDC_9964075203D2_.wvu.FilterData" localSheetId="0" hidden="1">PAC!$A$5:$BB$581</definedName>
    <definedName name="Z_50457024_7B23_4F30_97F8_A947CD22265D_.wvu.FilterData" localSheetId="0" hidden="1">PAC!$A$5:$AZ$581</definedName>
    <definedName name="Z_507DF20A_2514_48E4_ABF3_3DCF53B3C563_.wvu.FilterData" localSheetId="0" hidden="1">PAC!$A$5:$BB$582</definedName>
    <definedName name="Z_50B164DC_B2E1_4D9E_B60A_2C272DD3960E_.wvu.FilterData" localSheetId="0" hidden="1">PAC!$A$5:$BB$582</definedName>
    <definedName name="Z_50B3C9F9_0FB7_4019_8DC1_2311E47C1D9B_.wvu.FilterData" localSheetId="0" hidden="1">PAC!$A$5:$BB$582</definedName>
    <definedName name="Z_510A197E_FEF9_4E70_8C92_80008A21F2EA_.wvu.FilterData" localSheetId="0" hidden="1">PAC!$A$5:$BO$665</definedName>
    <definedName name="Z_510DAF0A_4282_4E16_9046_7E0BC14EB03B_.wvu.FilterData" localSheetId="0" hidden="1">PAC!$A$5:$AV$581</definedName>
    <definedName name="Z_5129ED1E_69AF_4AE2_BA2D_A859F2A495F0_.wvu.FilterData" localSheetId="0" hidden="1">PAC!$A$5:$AV$581</definedName>
    <definedName name="Z_512BC657_2E72_49FD_8719_2A1DFA67AA82_.wvu.FilterData" localSheetId="0" hidden="1">PAC!$A$5:$BB$581</definedName>
    <definedName name="Z_517C6964_008E_46CC_98E2_C4B780A19294_.wvu.FilterData" localSheetId="0" hidden="1">PAC!$A$5:$BB$581</definedName>
    <definedName name="Z_51843C34_40BF_4DBB_8F4B_152D9647A449_.wvu.FilterData" localSheetId="0" hidden="1">PAC!$A$5:$BB$582</definedName>
    <definedName name="Z_52847E36_91FC_480E_9552_2FDDF0E94FB7_.wvu.FilterData" localSheetId="0" hidden="1">PAC!$A$5:$BB$582</definedName>
    <definedName name="Z_52A99BF6_6A66_41E7_B294_728F591039B6_.wvu.FilterData" localSheetId="0" hidden="1">PAC!$A$5:$BO$665</definedName>
    <definedName name="Z_52CE78DF_34E6_450B_8F42_E83D9947128A_.wvu.FilterData" localSheetId="0" hidden="1">PAC!$A$5:$BB$582</definedName>
    <definedName name="Z_5344E3D1_D8C3_423D_921F_6F594B3D10CA_.wvu.FilterData" localSheetId="0" hidden="1">PAC!$A$5:$BO$665</definedName>
    <definedName name="Z_53593709_3ECB_4110_AA99_3356960970EA_.wvu.FilterData" localSheetId="0" hidden="1">PAC!$A$5:$BB$582</definedName>
    <definedName name="Z_535F29DD_DAB5_45F1_B721_096B9A19B9FA_.wvu.Cols" localSheetId="0" hidden="1">PAC!$A:$A</definedName>
    <definedName name="Z_535F29DD_DAB5_45F1_B721_096B9A19B9FA_.wvu.FilterData" localSheetId="11" hidden="1">'OUTRAS AÇÕES'!$A$3:$AZ$22</definedName>
    <definedName name="Z_535F29DD_DAB5_45F1_B721_096B9A19B9FA_.wvu.FilterData" localSheetId="0" hidden="1">PAC!$A$5:$BB$581</definedName>
    <definedName name="Z_535F29DD_DAB5_45F1_B721_096B9A19B9FA_.wvu.PrintArea" localSheetId="12" hidden="1">Domínios!$L$2:$L$20</definedName>
    <definedName name="Z_535F29DD_DAB5_45F1_B721_096B9A19B9FA_.wvu.PrintArea" localSheetId="0" hidden="1">PAC!$A$1:$BB$488</definedName>
    <definedName name="Z_535F29DD_DAB5_45F1_B721_096B9A19B9FA_.wvu.PrintTitles" localSheetId="0" hidden="1">PAC!$4:$5</definedName>
    <definedName name="Z_5361BF06_1D44_4FCF_987E_99A25755DFA5_.wvu.FilterData" localSheetId="0" hidden="1">PAC!$A$5:$BO$665</definedName>
    <definedName name="Z_537BC513_E96A_4330_8B13_1B303487988A_.wvu.FilterData" localSheetId="0" hidden="1">PAC!$A$5:$BO$665</definedName>
    <definedName name="Z_5388001E_3267_4EAA_8746_AA0103E24A28_.wvu.FilterData" localSheetId="0" hidden="1">PAC!$A$5:$AZ$581</definedName>
    <definedName name="Z_53CA08D7_9E7D_4AD8_92AE_891CF1221576_.wvu.FilterData" localSheetId="0" hidden="1">PAC!$A$5:$BB$581</definedName>
    <definedName name="Z_5472B3D9_70B4_4EDC_9FB5_AE9C31352A82_.wvu.FilterData" localSheetId="0" hidden="1">PAC!$A$5:$AV$430</definedName>
    <definedName name="Z_5501C989_551C_4B68_94E2_17D13D6A711A_.wvu.FilterData" localSheetId="0" hidden="1">PAC!$A$5:$BB$582</definedName>
    <definedName name="Z_555497B8_15C8_4BDA_B4BE_41C0547778CC_.wvu.FilterData" localSheetId="11" hidden="1">'OUTRAS AÇÕES'!$A$3:$AZ$22</definedName>
    <definedName name="Z_555497B8_15C8_4BDA_B4BE_41C0547778CC_.wvu.FilterData" localSheetId="0" hidden="1">PAC!$A$5:$BB$581</definedName>
    <definedName name="Z_5573ECA7_4175_4AC9_8EF7_69EE1386B581_.wvu.FilterData" localSheetId="0" hidden="1">PAC!$A$5:$AV$581</definedName>
    <definedName name="Z_55B8400C_77C0_43CE_AA39_F5718AC0E4C8_.wvu.FilterData" localSheetId="0" hidden="1">PAC!$A$5:$BO$665</definedName>
    <definedName name="Z_55E851E4_2502_4D55_A0AF_DE3F95B859FB_.wvu.FilterData" localSheetId="0" hidden="1">PAC!$A$5:$BO$665</definedName>
    <definedName name="Z_565E9F92_E95A_424F_B673_701CC8D6BA60_.wvu.FilterData" localSheetId="0" hidden="1">PAC!$A$5:$BO$665</definedName>
    <definedName name="Z_566D9DCE_78E3_4D1C_B023_F44FF0612F1F_.wvu.FilterData" localSheetId="0" hidden="1">PAC!$A$5:$AZ$581</definedName>
    <definedName name="Z_56AC9652_8392_4125_9DFC_C2D43294B0DD_.wvu.FilterData" localSheetId="0" hidden="1">PAC!$A$5:$BB$582</definedName>
    <definedName name="Z_56D2657F_A551_4C76_BFFC_28F330AABD11_.wvu.FilterData" localSheetId="0" hidden="1">PAC!$A$5:$BB$582</definedName>
    <definedName name="Z_56EF9EE2_29D9_4928_BCC4_3A55D38AE013_.wvu.FilterData" localSheetId="0" hidden="1">PAC!$A$5:$BB$582</definedName>
    <definedName name="Z_57197A22_86B6_4045_A03D_6779D5DD6C6C_.wvu.FilterData" localSheetId="0" hidden="1">PAC!$A$5:$AV$581</definedName>
    <definedName name="Z_574EFD40_2C92_48A1_9463_4554B7DC3157_.wvu.FilterData" localSheetId="0" hidden="1">PAC!$A$5:$BO$665</definedName>
    <definedName name="Z_5758D3CB_AF39_4706_822F_08CDC4180400_.wvu.FilterData" localSheetId="0" hidden="1">PAC!$A$5:$BB$581</definedName>
    <definedName name="Z_5788DCDE_0B0F_42FB_8AEB_481B1DFC8BE5_.wvu.FilterData" localSheetId="0" hidden="1">PAC!$A$5:$BO$665</definedName>
    <definedName name="Z_57928630_A4A1_49C7_A0AB_066591E47E7E_.wvu.FilterData" localSheetId="0" hidden="1">PAC!$A$5:$BO$665</definedName>
    <definedName name="Z_57A0FF5D_D0B7_4820_A028_186ED8C259EF_.wvu.FilterData" localSheetId="0" hidden="1">PAC!$A$5:$BO$665</definedName>
    <definedName name="Z_57BCF5EA_AF6A_42DF_A207_51CCFD1FA275_.wvu.FilterData" localSheetId="0" hidden="1">PAC!$A$5:$BO$665</definedName>
    <definedName name="Z_5801F0DE_2224_40B0_978B_DE1E32F8074C_.wvu.FilterData" localSheetId="0" hidden="1">PAC!$A$5:$BO$665</definedName>
    <definedName name="Z_5806306F_B2B3_4333_89E0_967751982D92_.wvu.FilterData" localSheetId="0" hidden="1">PAC!$A$5:$BB$582</definedName>
    <definedName name="Z_5826481C_9FED_4C49_8DA2_AE2F5441B93C_.wvu.FilterData" localSheetId="0" hidden="1">PAC!$A$5:$AV$581</definedName>
    <definedName name="Z_5853C985_95CA_4438_9306_8D960999A22F_.wvu.FilterData" localSheetId="0" hidden="1">PAC!$A$5:$BO$665</definedName>
    <definedName name="Z_5862EF1E_B3DB_4804_8A41_24F2E566C7AE_.wvu.FilterData" localSheetId="0" hidden="1">PAC!$A$5:$BB$582</definedName>
    <definedName name="Z_58CA9DC9_4C2F_4371_9F65_E03EF2714CCE_.wvu.FilterData" localSheetId="0" hidden="1">PAC!$A$5:$BO$665</definedName>
    <definedName name="Z_590FCA76_5C48_4AC9_9CCD_E062D343EDB0_.wvu.FilterData" localSheetId="0" hidden="1">PAC!$A$5:$BB$581</definedName>
    <definedName name="Z_59B07315_6FA0_40D7_84C2_98EEBFD3F474_.wvu.FilterData" localSheetId="0" hidden="1">PAC!$A$5:$AV$426</definedName>
    <definedName name="Z_59B8280C_B8EB_43FE_A588_CA65D825CA9A_.wvu.FilterData" localSheetId="0" hidden="1">PAC!$A$5:$AV$426</definedName>
    <definedName name="Z_59DA1570_120D_491D_802D_051D90FE1927_.wvu.FilterData" localSheetId="0" hidden="1">PAC!$A$5:$AV$430</definedName>
    <definedName name="Z_59DBE3A7_E5D7_4860_A6AB_AC8053B34204_.wvu.FilterData" localSheetId="0" hidden="1">PAC!$A$5:$AV$581</definedName>
    <definedName name="Z_59E6A624_20F2_48BB_B1D4_EAA9B8AC01DA_.wvu.FilterData" localSheetId="0" hidden="1">PAC!$A$5:$BO$665</definedName>
    <definedName name="Z_5A0672BC_7C06_4505_8F8F_05251EA867B0_.wvu.FilterData" localSheetId="0" hidden="1">PAC!$A$5:$BB$582</definedName>
    <definedName name="Z_5A1E66CA_B484_4DFC_869A_CCC74BA1B1B0_.wvu.FilterData" localSheetId="0" hidden="1">PAC!$A$5:$BO$665</definedName>
    <definedName name="Z_5B0E8EED_2AEF_486E_9272_430FF5678405_.wvu.FilterData" localSheetId="0" hidden="1">PAC!$A$5:$BO$665</definedName>
    <definedName name="Z_5B3A3388_3251_4730_B100_E9BEFE73C160_.wvu.FilterData" localSheetId="0" hidden="1">PAC!$A$5:$AV$581</definedName>
    <definedName name="Z_5B575E20_676D_4E0D_BC09_05F43939B7C8_.wvu.FilterData" localSheetId="0" hidden="1">PAC!$A$5:$AV$581</definedName>
    <definedName name="Z_5B8386C2_E5B4_47C2_A9B4_18EBAA1EF5A0_.wvu.FilterData" localSheetId="0" hidden="1">PAC!$A$5:$BO$665</definedName>
    <definedName name="Z_5BA8D08E_7B97_468F_A4FB_F343D6822469_.wvu.FilterData" localSheetId="0" hidden="1">PAC!$A$5:$BB$582</definedName>
    <definedName name="Z_5BB822CA_BB2E_458E_9BCF_867678758CA4_.wvu.FilterData" localSheetId="0" hidden="1">PAC!$A$5:$BO$665</definedName>
    <definedName name="Z_5C157D82_504F_4837_8E17_B3AB6B2D93B5_.wvu.FilterData" localSheetId="0" hidden="1">PAC!$A$5:$BO$665</definedName>
    <definedName name="Z_5C3D50EC_450A_4C8F_9D40_BE0A7E37A600_.wvu.FilterData" localSheetId="0" hidden="1">PAC!$A$5:$AV$430</definedName>
    <definedName name="Z_5CAED59C_0B21_4402_B6A7_D2CB074D877F_.wvu.FilterData" localSheetId="0" hidden="1">PAC!$A$5:$AV$206</definedName>
    <definedName name="Z_5D0A1BF7_FC56_4908_9E19_1A88AE0C1E1D_.wvu.FilterData" localSheetId="0" hidden="1">PAC!$A$5:$BB$582</definedName>
    <definedName name="Z_5D5326ED_E6E3_4BBD_8842_BCE1301F0695_.wvu.FilterData" localSheetId="0" hidden="1">PAC!$A$5:$BB$582</definedName>
    <definedName name="Z_5D970EB2_3E0E_46F0_A59C_6F1290239AC6_.wvu.FilterData" localSheetId="0" hidden="1">PAC!$A$5:$AV$581</definedName>
    <definedName name="Z_5DE6D0C6_0C0B_4A07_A2C7_E474AA785914_.wvu.FilterData" localSheetId="0" hidden="1">PAC!$A$5:$BB$582</definedName>
    <definedName name="Z_5E0D7732_8E57_4FA0_9614_8B0A0DE75E92_.wvu.FilterData" localSheetId="0" hidden="1">PAC!$A$5:$BB$582</definedName>
    <definedName name="Z_5E0F7B81_3C89_496A_90E6_100FABF030C7_.wvu.FilterData" localSheetId="0" hidden="1">PAC!$A$5:$BB$582</definedName>
    <definedName name="Z_5E284212_E2E3_4F76_AD21_8CA642F7ED97_.wvu.FilterData" localSheetId="0" hidden="1">PAC!$A$5:$AZ$581</definedName>
    <definedName name="Z_5E2E608C_4250_4FAE_8FA6_5672711B52CF_.wvu.FilterData" localSheetId="0" hidden="1">PAC!$A$5:$BB$581</definedName>
    <definedName name="Z_5E3F0EDA_B1DE_4A2C_ADAB_BABFAB686E4F_.wvu.FilterData" localSheetId="0" hidden="1">PAC!$A$5:$BB$582</definedName>
    <definedName name="Z_5E5BDC7A_2BE4_4C9B_A1F0_E60622B8967A_.wvu.FilterData" localSheetId="0" hidden="1">PAC!$A$5:$AZ$581</definedName>
    <definedName name="Z_5EA53239_590D_452F_8D0B_F15AC7292F29_.wvu.FilterData" localSheetId="0" hidden="1">PAC!$A$5:$AZ$581</definedName>
    <definedName name="Z_5F28F79D_E162_431D_9615_DDCC643D21D9_.wvu.FilterData" localSheetId="0" hidden="1">PAC!$A$5:$BB$582</definedName>
    <definedName name="Z_5F36F595_7837_433C_BAFB_ACC4D05448A9_.wvu.FilterData" localSheetId="0" hidden="1">PAC!$A$5:$BB$582</definedName>
    <definedName name="Z_5F54879C_FB2F_43C1_879F_2806A1EEA5BC_.wvu.FilterData" localSheetId="0" hidden="1">PAC!$A$5:$AV$581</definedName>
    <definedName name="Z_5F62211D_91B0_4BF3_9152_FCD730E9C428_.wvu.FilterData" localSheetId="0" hidden="1">PAC!$A$5:$BO$665</definedName>
    <definedName name="Z_5F676BD5_D2AC_4B18_9867_E866A3A0BE9B_.wvu.FilterData" localSheetId="0" hidden="1">PAC!$A$5:$BB$582</definedName>
    <definedName name="Z_5FCBF23C_8B94_4351_8D1C_D2D4D015035B_.wvu.FilterData" localSheetId="0" hidden="1">PAC!$A$5:$AV$581</definedName>
    <definedName name="Z_6030B71B_01C3_4546_925A_24DADEB91A57_.wvu.FilterData" localSheetId="0" hidden="1">PAC!$A$5:$BO$665</definedName>
    <definedName name="Z_6033FD27_26E4_4DAF_81B7_9FBECAB8330B_.wvu.FilterData" localSheetId="0" hidden="1">PAC!$A$5:$BB$582</definedName>
    <definedName name="Z_603ADB84_44B1_4866_9066_D91B355FA672_.wvu.FilterData" localSheetId="0" hidden="1">PAC!$A$5:$AZ$581</definedName>
    <definedName name="Z_6085B728_B590_482C_9401_61722DEB640A_.wvu.FilterData" localSheetId="0" hidden="1">PAC!$A$5:$AZ$581</definedName>
    <definedName name="Z_60D7DA9B_882C_4CC8_B04B_861C8F8EA7D0_.wvu.FilterData" localSheetId="0" hidden="1">PAC!$A$5:$AV$430</definedName>
    <definedName name="Z_611FE04C_3E55_497E_A224_08174AA391E9_.wvu.FilterData" localSheetId="0" hidden="1">PAC!$A$5:$BO$665</definedName>
    <definedName name="Z_612A2909_0322_4928_9CA7_F392D41D780F_.wvu.FilterData" localSheetId="0" hidden="1">PAC!$A$5:$BB$582</definedName>
    <definedName name="Z_61714F9E_7560_4841_BE99_43385D055D04_.wvu.FilterData" localSheetId="0" hidden="1">PAC!$A$5:$BO$665</definedName>
    <definedName name="Z_61CDAFB4_B459_4BE6_97FD_D9054947CC0F_.wvu.FilterData" localSheetId="0" hidden="1">PAC!$A$5:$BB$582</definedName>
    <definedName name="Z_62001C44_A5FD_4691_918F_7EFAC1EEBAAC_.wvu.FilterData" localSheetId="0" hidden="1">PAC!$A$5:$AV$581</definedName>
    <definedName name="Z_620218AA_1E36_422B_8162_FF4FFD807E1B_.wvu.FilterData" localSheetId="0" hidden="1">PAC!$A$5:$BB$581</definedName>
    <definedName name="Z_620407B7_4274_48F5_BEB1_DC377566EB74_.wvu.FilterData" localSheetId="0" hidden="1">PAC!$A$5:$AZ$581</definedName>
    <definedName name="Z_623DDA8F_018E_4471_82F1_50470D31CA7F_.wvu.FilterData" localSheetId="0" hidden="1">PAC!$A$5:$BO$665</definedName>
    <definedName name="Z_624DCEB0_1F78_401B_9DD1_E162E7E9A6B6_.wvu.FilterData" localSheetId="0" hidden="1">PAC!$A$5:$AV$581</definedName>
    <definedName name="Z_624FEDB2_1A26_44DF_A11D_552756B69B48_.wvu.FilterData" localSheetId="0" hidden="1">PAC!$A$5:$AV$430</definedName>
    <definedName name="Z_6258193B_339B_4D48_9E16_63E0A34F70B2_.wvu.FilterData" localSheetId="0" hidden="1">PAC!$A$5:$BB$581</definedName>
    <definedName name="Z_628C1000_57D9_4078_955F_1A2A9E8555C0_.wvu.FilterData" localSheetId="0" hidden="1">PAC!$A$5:$BB$582</definedName>
    <definedName name="Z_62A2C635_A0BE_486F_8831_2B74CF620D66_.wvu.FilterData" localSheetId="0" hidden="1">PAC!$A$5:$BB$582</definedName>
    <definedName name="Z_62E7084B_E9AB_40E1_BA0F_FB510700F4E6_.wvu.FilterData" localSheetId="0" hidden="1">PAC!$A$5:$BB$582</definedName>
    <definedName name="Z_630F327E_5082_4C27_A70A_3EEA44C4C7C5_.wvu.FilterData" localSheetId="0" hidden="1">PAC!$A$5:$BO$665</definedName>
    <definedName name="Z_637A6A3D_46FD_4ADD_93F5_11CE8375F386_.wvu.FilterData" localSheetId="0" hidden="1">PAC!$A$5:$BO$665</definedName>
    <definedName name="Z_63BBF896_8615_4B3C_9331_03E46FA2B45D_.wvu.FilterData" localSheetId="0" hidden="1">PAC!$A$5:$AZ$581</definedName>
    <definedName name="Z_63CCBD57_4C02_474F_A941_E37F5CA7DA80_.wvu.FilterData" localSheetId="0" hidden="1">PAC!$A$5:$AZ$581</definedName>
    <definedName name="Z_649FFB8C_ED36_4D36_89E5_83E466C1E82F_.wvu.FilterData" localSheetId="0" hidden="1">PAC!$A$5:$BB$582</definedName>
    <definedName name="Z_64C86B25_C764_4C40_A33F_0506DB5FE5B1_.wvu.FilterData" localSheetId="0" hidden="1">PAC!$A$5:$BO$665</definedName>
    <definedName name="Z_650C7FD6_1755_4668_8EF1_3B7C3B405ED0_.wvu.FilterData" localSheetId="11" hidden="1">'OUTRAS AÇÕES'!$A$3:$AZ$22</definedName>
    <definedName name="Z_650C7FD6_1755_4668_8EF1_3B7C3B405ED0_.wvu.FilterData" localSheetId="0" hidden="1">PAC!$A$5:$BB$582</definedName>
    <definedName name="Z_650C7FD6_1755_4668_8EF1_3B7C3B405ED0_.wvu.PrintArea" localSheetId="0" hidden="1">PAC!$B$2:$AC$471</definedName>
    <definedName name="Z_650C7FD6_1755_4668_8EF1_3B7C3B405ED0_.wvu.PrintTitles" localSheetId="0" hidden="1">PAC!$4:$5</definedName>
    <definedName name="Z_65233E0D_C9CB_4B54_B6F2_0B3091F2E062_.wvu.FilterData" localSheetId="0" hidden="1">PAC!$A$5:$BB$582</definedName>
    <definedName name="Z_65377995_1350_426F_A2CF_A50A7D4FE262_.wvu.FilterData" localSheetId="0" hidden="1">PAC!$A$5:$AV$581</definedName>
    <definedName name="Z_65B7D7D6_2E84_40C9_B8F2_D19E1097BC17_.wvu.FilterData" localSheetId="0" hidden="1">PAC!$A$5:$AV$581</definedName>
    <definedName name="Z_65E2B7B2_FDC1_4D96_8440_D624B7CEC2A8_.wvu.FilterData" localSheetId="0" hidden="1">PAC!$A$5:$BB$581</definedName>
    <definedName name="Z_6669DDC5_42FC_4353_AFA3_096CA39E7157_.wvu.FilterData" localSheetId="0" hidden="1">PAC!$A$5:$BB$581</definedName>
    <definedName name="Z_66A5AF60_9043_454C_916A_2B6B49392A2A_.wvu.FilterData" localSheetId="0" hidden="1">PAC!$A$5:$BB$582</definedName>
    <definedName name="Z_66B4BA1A_C8C4_4AAA_B02F_3876518F4217_.wvu.FilterData" localSheetId="0" hidden="1">PAC!$A$5:$BB$581</definedName>
    <definedName name="Z_66B94130_EF0D_4C3A_ADB1_64DF51405FE8_.wvu.FilterData" localSheetId="0" hidden="1">PAC!$A$5:$BO$665</definedName>
    <definedName name="Z_66D4D6AD_E071_4E08_822D_5626CF29A57B_.wvu.FilterData" localSheetId="0" hidden="1">PAC!$A$5:$BO$665</definedName>
    <definedName name="Z_67D017ED_EFE7_4D38_9525_AF7039C84E04_.wvu.FilterData" localSheetId="0" hidden="1">PAC!$A$5:$BO$665</definedName>
    <definedName name="Z_67DA4F18_61E1_4FEB_A36E_B534EC2A8CAC_.wvu.FilterData" localSheetId="0" hidden="1">PAC!$A$5:$AZ$581</definedName>
    <definedName name="Z_6805046A_EF21_4DF5_91AC_45BEAF115311_.wvu.FilterData" localSheetId="0" hidden="1">PAC!$A$5:$AV$426</definedName>
    <definedName name="Z_6809FE45_CF61_4A48_8437_A4697037B84F_.wvu.FilterData" localSheetId="0" hidden="1">PAC!$A$5:$BO$665</definedName>
    <definedName name="Z_6836C4E1_F69B_4E66_B6ED_9DD84D78B231_.wvu.FilterData" localSheetId="0" hidden="1">PAC!$A$5:$BB$582</definedName>
    <definedName name="Z_68479DCB_9C8D_4C8B_AB74_9090A274A2AF_.wvu.FilterData" localSheetId="0" hidden="1">PAC!$A$5:$BB$582</definedName>
    <definedName name="Z_68494A40_F264_42D0_9611_961D827B5995_.wvu.FilterData" localSheetId="0" hidden="1">PAC!$A$5:$BB$582</definedName>
    <definedName name="Z_6899B53B_0A74_4513_864D_B645A3993D54_.wvu.FilterData" localSheetId="0" hidden="1">PAC!$A$5:$BB$582</definedName>
    <definedName name="Z_692C9A15_BA34_4256_B26F_FF136626B65F_.wvu.FilterData" localSheetId="0" hidden="1">PAC!$A$5:$BO$665</definedName>
    <definedName name="Z_69A5BE27_AE48_4C41_B03C_A69365E9F891_.wvu.FilterData" localSheetId="0" hidden="1">PAC!$A$5:$AV$430</definedName>
    <definedName name="Z_69C0652F_2474_4483_8740_849DDBD2AE27_.wvu.FilterData" localSheetId="0" hidden="1">PAC!$A$5:$AV$581</definedName>
    <definedName name="Z_6A040C4E_6C68_4FB2_A5CD_419DF7506202_.wvu.FilterData" localSheetId="0" hidden="1">PAC!$A$5:$BB$581</definedName>
    <definedName name="Z_6A298B8B_B556_49F9_9C5B_86C1E8BBDDAB_.wvu.FilterData" localSheetId="0" hidden="1">PAC!$A$5:$AV$581</definedName>
    <definedName name="Z_6A89A04D_DB04_448E_A5A2_A53A1DFB4C54_.wvu.FilterData" localSheetId="0" hidden="1">PAC!$A$5:$BO$665</definedName>
    <definedName name="Z_6A9181BA_0D60_4E60_86FF_7F1713AB18E8_.wvu.FilterData" localSheetId="0" hidden="1">PAC!$A$5:$BB$581</definedName>
    <definedName name="Z_6B08FE73_E986_49D4_B5ED_F8C456277B67_.wvu.FilterData" localSheetId="0" hidden="1">PAC!$A$5:$BB$581</definedName>
    <definedName name="Z_6B2D70A9_F6A0_4675_A2C8_9560F9D71E53_.wvu.FilterData" localSheetId="0" hidden="1">PAC!$A$5:$BB$581</definedName>
    <definedName name="Z_6B84309C_EDE6_4EF7_AF4B_C802456B5B61_.wvu.FilterData" localSheetId="0" hidden="1">PAC!$A$5:$AZ$581</definedName>
    <definedName name="Z_6BC3A53A_761A_42BC_8B3A_25A26954EE95_.wvu.FilterData" localSheetId="0" hidden="1">PAC!$A$5:$BB$581</definedName>
    <definedName name="Z_6C0EFCA7_2F9F_4955_B8DA_FC69A0194BCE_.wvu.FilterData" localSheetId="0" hidden="1">PAC!$A$5:$BB$581</definedName>
    <definedName name="Z_6C6C1AC2_DFB9_4CBE_9505_103D3D0C7C43_.wvu.FilterData" localSheetId="0" hidden="1">PAC!$A$5:$BO$665</definedName>
    <definedName name="Z_6C8A2C4D_4DC1_4C0B_B419_2686CC6F4F19_.wvu.FilterData" localSheetId="0" hidden="1">PAC!$A$5:$AV$430</definedName>
    <definedName name="Z_6C8FB9A6_1EFB_4B19_959C_C056546A9CC6_.wvu.FilterData" localSheetId="0" hidden="1">PAC!$A$5:$AV$206</definedName>
    <definedName name="Z_6CBADB44_6CEA_447F_B9B3_3F538C995614_.wvu.FilterData" localSheetId="0" hidden="1">PAC!$A$5:$BO$665</definedName>
    <definedName name="Z_6CBADB44_6CEA_447F_B9B3_3F538C995614_.wvu.PrintArea" localSheetId="12" hidden="1">Domínios!$B$2:$N$40</definedName>
    <definedName name="Z_6CBADB44_6CEA_447F_B9B3_3F538C995614_.wvu.PrintArea" localSheetId="0" hidden="1">PAC!$A$2:$AV$206</definedName>
    <definedName name="Z_6CBADB44_6CEA_447F_B9B3_3F538C995614_.wvu.PrintTitles" localSheetId="0" hidden="1">PAC!$2:$5</definedName>
    <definedName name="Z_6D345E24_F54F_4031_8CB4_D3CC7A32A208_.wvu.FilterData" localSheetId="0" hidden="1">PAC!$A$5:$BB$581</definedName>
    <definedName name="Z_6DD49797_BDF4_4175_BD12_DCDCB8B041AD_.wvu.FilterData" localSheetId="0" hidden="1">PAC!$A$5:$BB$582</definedName>
    <definedName name="Z_6DDBCE9C_B5E5_41E7_B44E_6BB4B09700E0_.wvu.FilterData" localSheetId="0" hidden="1">PAC!$A$5:$AZ$581</definedName>
    <definedName name="Z_6DFC0C77_CB95_4E88_A471_D51F24EF50EE_.wvu.FilterData" localSheetId="0" hidden="1">PAC!$A$5:$BB$581</definedName>
    <definedName name="Z_6DFD8EC6_AC7F_4047_A880_B18E99AABA45_.wvu.FilterData" localSheetId="0" hidden="1">PAC!$A$5:$AZ$581</definedName>
    <definedName name="Z_6E0C01B4_5A15_45FF_B4FC_E33A94C47DD9_.wvu.FilterData" localSheetId="0" hidden="1">PAC!$A$5:$AV$206</definedName>
    <definedName name="Z_6E275DD1_F218_46D0_853E_6B589CD6927B_.wvu.FilterData" localSheetId="0" hidden="1">PAC!$A$5:$BB$582</definedName>
    <definedName name="Z_6E328B2C_3182_4F70_B71C_10434255B04B_.wvu.FilterData" localSheetId="0" hidden="1">PAC!$A$5:$BB$581</definedName>
    <definedName name="Z_6EDF7F8A_48E5_48B8_BE71_FC9D93123EA8_.wvu.FilterData" localSheetId="0" hidden="1">PAC!$A$5:$BB$582</definedName>
    <definedName name="Z_6EE8208C_1381_4BDD_916B_7D05F60556A3_.wvu.FilterData" localSheetId="0" hidden="1">PAC!$A$5:$BO$665</definedName>
    <definedName name="Z_6F3DA5DC_AAF4_4C2C_BB4C_729C8D215DBB_.wvu.FilterData" localSheetId="0" hidden="1">PAC!$A$5:$BO$665</definedName>
    <definedName name="Z_6F48FA16_7A54_4839_BE23_BFBBCEB17329_.wvu.FilterData" localSheetId="0" hidden="1">PAC!$A$5:$BB$581</definedName>
    <definedName name="Z_6F63174A_013D_4E4E_B80E_C87777610E5D_.wvu.FilterData" localSheetId="0" hidden="1">PAC!$A$5:$BO$665</definedName>
    <definedName name="Z_6F662B9C_51B7_4D78_91BC_85DF3380855A_.wvu.FilterData" localSheetId="0" hidden="1">PAC!$A$5:$BO$665</definedName>
    <definedName name="Z_6F76EFA3_A901_47EA_993F_DB0F07369710_.wvu.FilterData" localSheetId="0" hidden="1">PAC!$A$5:$BO$665</definedName>
    <definedName name="Z_6FC1E770_70FF_4A3F_8513_81093ECDD90C_.wvu.FilterData" localSheetId="0" hidden="1">PAC!$A$5:$AV$581</definedName>
    <definedName name="Z_6FD66D4A_E063_40E7_A34F_60301B6D7952_.wvu.FilterData" localSheetId="0" hidden="1">PAC!$A$5:$BO$665</definedName>
    <definedName name="Z_70404252_C3C6_476B_8D09_E859664E7AE6_.wvu.FilterData" localSheetId="0" hidden="1">PAC!$A$5:$BB$582</definedName>
    <definedName name="Z_70411623_9740_44F9_B650_6721E099E40E_.wvu.FilterData" localSheetId="0" hidden="1">PAC!$A$5:$BB$581</definedName>
    <definedName name="Z_706784A7_9525_4EB9_A941_FF5F3E77E09E_.wvu.FilterData" localSheetId="0" hidden="1">PAC!$A$5:$AZ$581</definedName>
    <definedName name="Z_70A907C5_55C8_4DA2_A491_047B40F71DF8_.wvu.FilterData" localSheetId="0" hidden="1">PAC!$A$5:$AV$430</definedName>
    <definedName name="Z_710ED0AD_2E9F_4C69_8D35_603CD1C511BE_.wvu.FilterData" localSheetId="0" hidden="1">PAC!$A$5:$AV$206</definedName>
    <definedName name="Z_72158BE9_CB6B_4B7E_B83A_15E561BBC9C3_.wvu.FilterData" localSheetId="0" hidden="1">PAC!$A$5:$AV$581</definedName>
    <definedName name="Z_722C319C_9B42_4101_A2AA_C2C4F2214AAC_.wvu.FilterData" localSheetId="0" hidden="1">PAC!$A$5:$BO$665</definedName>
    <definedName name="Z_724FD624_4FA5_4872_BF70_904F4A67D929_.wvu.FilterData" localSheetId="0" hidden="1">PAC!$A$5:$AZ$581</definedName>
    <definedName name="Z_72868015_0B64_4CE9_824F_7A48934C517D_.wvu.FilterData" localSheetId="0" hidden="1">PAC!$A$5:$BO$665</definedName>
    <definedName name="Z_72BA40F3_DBAF_4666_BE80_C046B48BACF7_.wvu.FilterData" localSheetId="0" hidden="1">PAC!$A$5:$AV$581</definedName>
    <definedName name="Z_72FB0021_A0C7_497D_8323_9E7CCB8DA960_.wvu.FilterData" localSheetId="0" hidden="1">PAC!$A$5:$AZ$581</definedName>
    <definedName name="Z_7365C3B2_AA37_4300_94B3_D16812684E83_.wvu.FilterData" localSheetId="0" hidden="1">PAC!$A$5:$AV$206</definedName>
    <definedName name="Z_73DE3E3E_4635_4CEE_9706_B03ADEA9AB39_.wvu.FilterData" localSheetId="0" hidden="1">PAC!$A$5:$AZ$581</definedName>
    <definedName name="Z_74300BCE_D53A_4E0A_B882_63B4893E6A0D_.wvu.FilterData" localSheetId="0" hidden="1">PAC!$A$5:$BB$581</definedName>
    <definedName name="Z_747904CB_F255_4BBC_8D8E_D2BD0B3A5D23_.wvu.FilterData" localSheetId="0" hidden="1">PAC!$A$5:$BB$582</definedName>
    <definedName name="Z_74A0EE73_C6EC_464F_B145_A566D4046E9E_.wvu.FilterData" localSheetId="0" hidden="1">PAC!$A$5:$BB$582</definedName>
    <definedName name="Z_750CA14B_760D_449E_8439_AA7DA4138A76_.wvu.FilterData" localSheetId="0" hidden="1">PAC!$A$5:$AZ$581</definedName>
    <definedName name="Z_751220D0_A75E_4E9D_A099_11C5265B7723_.wvu.FilterData" localSheetId="0" hidden="1">PAC!$A$5:$BB$581</definedName>
    <definedName name="Z_75566516_61E1_4B3C_9450_92FDF0291736_.wvu.FilterData" localSheetId="0" hidden="1">PAC!$A$5:$AZ$581</definedName>
    <definedName name="Z_75797F20_9115_41AD_8F59_F7CF250B509F_.wvu.FilterData" localSheetId="0" hidden="1">PAC!$A$5:$AV$581</definedName>
    <definedName name="Z_75E23F37_652B_4808_8481_A825765A1C1A_.wvu.FilterData" localSheetId="0" hidden="1">PAC!$A$5:$BB$582</definedName>
    <definedName name="Z_75F8A7DC_5253_4F0E_BE6C_0545281B9C23_.wvu.FilterData" localSheetId="0" hidden="1">PAC!$A$5:$AZ$581</definedName>
    <definedName name="Z_75FE1498_6F52_4319_B625_50644FB5B233_.wvu.FilterData" localSheetId="0" hidden="1">PAC!$A$5:$BO$665</definedName>
    <definedName name="Z_763F1D07_9886_4FA2_B904_C1D6A57B335E_.wvu.FilterData" localSheetId="0" hidden="1">PAC!$A$5:$BB$581</definedName>
    <definedName name="Z_76B0FE62_73B2_4F9D_BE9C_4F49D7F506A0_.wvu.FilterData" localSheetId="0" hidden="1">PAC!$A$5:$BB$582</definedName>
    <definedName name="Z_76D6D523_3A20_4FC6_B305_B0C40BA9EF5B_.wvu.FilterData" localSheetId="11" hidden="1">'OUTRAS AÇÕES'!$A$3:$AZ$22</definedName>
    <definedName name="Z_76D6D523_3A20_4FC6_B305_B0C40BA9EF5B_.wvu.FilterData" localSheetId="0" hidden="1">PAC!$A$5:$BB$582</definedName>
    <definedName name="Z_76D6D523_3A20_4FC6_B305_B0C40BA9EF5B_.wvu.PrintArea" localSheetId="0" hidden="1">PAC!$A$5:$AF$488</definedName>
    <definedName name="Z_76D6D523_3A20_4FC6_B305_B0C40BA9EF5B_.wvu.PrintTitles" localSheetId="0" hidden="1">PAC!$4:$5</definedName>
    <definedName name="Z_7725CF6F_F70B_466E_BA10_180929B7E64D_.wvu.FilterData" localSheetId="0" hidden="1">PAC!$A$5:$BO$665</definedName>
    <definedName name="Z_776273E8_85B4_4C2F_B060_6E4CC9D3F70E_.wvu.FilterData" localSheetId="0" hidden="1">PAC!$A$5:$AZ$581</definedName>
    <definedName name="Z_7766FA4F_2014_4905_A5A6_7524F408EE83_.wvu.FilterData" localSheetId="0" hidden="1">PAC!$A$5:$AV$206</definedName>
    <definedName name="Z_77C02D37_0826_4175_A751_4360B3EBEC4F_.wvu.FilterData" localSheetId="0" hidden="1">PAC!$A$5:$BB$582</definedName>
    <definedName name="Z_77F5915A_6707_4E10_BA04_7E8C6B2B15C1_.wvu.FilterData" localSheetId="0" hidden="1">PAC!$A$5:$AV$581</definedName>
    <definedName name="Z_7875DB45_110A_45AA_B50E_AD19E09884E6_.wvu.FilterData" localSheetId="0" hidden="1">PAC!$A$5:$BO$665</definedName>
    <definedName name="Z_7895E148_4391_4C80_83D7_0FC6D2F05AA0_.wvu.FilterData" localSheetId="0" hidden="1">PAC!$A$5:$BB$582</definedName>
    <definedName name="Z_78AB1F1B_629F_48BB_BC04_70CAEAC44402_.wvu.FilterData" localSheetId="0" hidden="1">PAC!$A$5:$BO$665</definedName>
    <definedName name="Z_78CD5D8F_0C03_46A9_9287_E8DBC0C3A548_.wvu.FilterData" localSheetId="0" hidden="1">PAC!$A$5:$BB$581</definedName>
    <definedName name="Z_79275D93_F786_480E_88DF_05F24286892F_.wvu.FilterData" localSheetId="0" hidden="1">PAC!$A$5:$AZ$581</definedName>
    <definedName name="Z_792F79D6_CC1D_402C_8009_ADF1F427C5CF_.wvu.FilterData" localSheetId="0" hidden="1">PAC!$A$5:$BB$582</definedName>
    <definedName name="Z_79416717_4FB2_4C50_9CD2_1E255B4BBAD9_.wvu.FilterData" localSheetId="0" hidden="1">PAC!$A$5:$BO$665</definedName>
    <definedName name="Z_798974EA_AF6A_4074_AC05_CBB7F854E75B_.wvu.FilterData" localSheetId="0" hidden="1">PAC!$A$5:$BO$665</definedName>
    <definedName name="Z_79A74620_DAC8_48D9_A7B3_4225D509300E_.wvu.FilterData" localSheetId="0" hidden="1">PAC!$A$5:$BO$665</definedName>
    <definedName name="Z_79C376CB_8485_4DF4_AF2A_C4D87AE0DB6B_.wvu.FilterData" localSheetId="0" hidden="1">PAC!$A$5:$BB$582</definedName>
    <definedName name="Z_79E33BF1_82AF_46D7_BEFA_2F52D217A595_.wvu.FilterData" localSheetId="0" hidden="1">PAC!$A$5:$BO$665</definedName>
    <definedName name="Z_7A05321A_778C_4EE6_AB66_79D76BBC6A3B_.wvu.FilterData" localSheetId="0" hidden="1">PAC!$A$5:$AV$206</definedName>
    <definedName name="Z_7A21551F_D8B4_43E7_A925_4BC48CB14774_.wvu.FilterData" localSheetId="0" hidden="1">PAC!$A$5:$AZ$581</definedName>
    <definedName name="Z_7A343CDE_C718_4DEA_A7FB_15754FC325D7_.wvu.FilterData" localSheetId="0" hidden="1">PAC!$A$5:$BB$582</definedName>
    <definedName name="Z_7A9BDFEA_E828_4489_BF15_9C9052770488_.wvu.FilterData" localSheetId="0" hidden="1">PAC!$A$5:$BO$665</definedName>
    <definedName name="Z_7AFDDB8A_2FDD_42D5_B7B1_2F3462D33136_.wvu.FilterData" localSheetId="0" hidden="1">PAC!$A$5:$BB$581</definedName>
    <definedName name="Z_7B2F8228_1EAD_4BB9_A443_7BC7C3F253CC_.wvu.FilterData" localSheetId="0" hidden="1">PAC!$A$5:$AV$581</definedName>
    <definedName name="Z_7B6DE098_6283_4500_AA60_079C43901BA4_.wvu.FilterData" localSheetId="0" hidden="1">PAC!$A$5:$BO$665</definedName>
    <definedName name="Z_7BB83DD0_013A_44AB_9001_4CAC94C722BB_.wvu.FilterData" localSheetId="0" hidden="1">PAC!$A$5:$BB$582</definedName>
    <definedName name="Z_7C04649B_FC4C_4F82_AF6C_8B05B4D0E874_.wvu.FilterData" localSheetId="0" hidden="1">PAC!$A$5:$BB$582</definedName>
    <definedName name="Z_7C0DFF4A_ECB5_431F_BD0B_792F16A4A4DF_.wvu.FilterData" localSheetId="0" hidden="1">PAC!$A$5:$BO$665</definedName>
    <definedName name="Z_7C34F4CF_893D_43C4_941E_4159A373302F_.wvu.FilterData" localSheetId="0" hidden="1">PAC!$A$5:$AZ$581</definedName>
    <definedName name="Z_7D5FE3FF_95B9_4D4E_877D_F0AE2C1DBF51_.wvu.FilterData" localSheetId="0" hidden="1">PAC!$A$5:$AV$581</definedName>
    <definedName name="Z_7DA57B9F_A7C9_49AC_AF4B_A854F24A3F20_.wvu.FilterData" localSheetId="0" hidden="1">PAC!$A$5:$AV$581</definedName>
    <definedName name="Z_7DD5CBEA_9492_40CD_A4EE_E19E39DAAEE3_.wvu.FilterData" localSheetId="0" hidden="1">PAC!$A$5:$AV$581</definedName>
    <definedName name="Z_7E167012_A627_40EE_A8D5_B8B8250056BF_.wvu.FilterData" localSheetId="0" hidden="1">PAC!$A$5:$BB$582</definedName>
    <definedName name="Z_7EB19CC4_FD28_497A_A32D_132BCC59C262_.wvu.FilterData" localSheetId="0" hidden="1">PAC!$A$5:$AV$581</definedName>
    <definedName name="Z_801CF4EE_99D1_4022_9089_9AEB0CD3AA65_.wvu.FilterData" localSheetId="0" hidden="1">PAC!$A$5:$BB$582</definedName>
    <definedName name="Z_80235532_55DB_4928_AC23_9967D3E9ED85_.wvu.FilterData" localSheetId="0" hidden="1">PAC!$A$5:$AZ$581</definedName>
    <definedName name="Z_80562442_4117_4A87_8666_5B8419938CC5_.wvu.FilterData" localSheetId="0" hidden="1">PAC!$A$5:$BO$665</definedName>
    <definedName name="Z_8063E54B_C3C0_4953_89A3_40080AB8115E_.wvu.FilterData" localSheetId="0" hidden="1">PAC!$A$5:$BO$665</definedName>
    <definedName name="Z_80686B62_5E56_4DE5_8899_9D70F9DD5A9C_.wvu.FilterData" localSheetId="0" hidden="1">PAC!$A$5:$AZ$581</definedName>
    <definedName name="Z_807F5AD6_093B_4F80_9C1F_78D47B5C8EDB_.wvu.FilterData" localSheetId="0" hidden="1">PAC!$A$5:$BB$582</definedName>
    <definedName name="Z_808B63F9_A5D9_4AF5_9F8C_7ECD8EB98FE4_.wvu.FilterData" localSheetId="0" hidden="1">PAC!$A$5:$BO$665</definedName>
    <definedName name="Z_80A037FF_7228_4B97_8FF7_31805B2F15DA_.wvu.FilterData" localSheetId="0" hidden="1">PAC!$A$5:$AV$581</definedName>
    <definedName name="Z_80AD26E2_F63E_4653_814E_F23A1415DA20_.wvu.FilterData" localSheetId="0" hidden="1">PAC!$A$5:$BB$582</definedName>
    <definedName name="Z_80BB44F1_85E0_448B_A2B1_AFE8D4F2FC95_.wvu.FilterData" localSheetId="0" hidden="1">PAC!$A$5:$BB$582</definedName>
    <definedName name="Z_80F2C981_6BD4_48BE_ACE5_33752B876719_.wvu.FilterData" localSheetId="0" hidden="1">PAC!$A$5:$AZ$581</definedName>
    <definedName name="Z_8115ADE1_BE51_42B5_9266_231A0D996550_.wvu.FilterData" localSheetId="0" hidden="1">PAC!$A$5:$BO$665</definedName>
    <definedName name="Z_815E1F59_107B_40FA_A13D_805B3D8CFE3B_.wvu.FilterData" localSheetId="0" hidden="1">PAC!$A$5:$BO$665</definedName>
    <definedName name="Z_8176675E_2023_4E42_99FE_C4D3E0720A32_.wvu.FilterData" localSheetId="0" hidden="1">PAC!$A$5:$AV$581</definedName>
    <definedName name="Z_8182EE2E_750B_442C_8742_5BC4D7ADC6B1_.wvu.FilterData" localSheetId="0" hidden="1">PAC!$A$5:$BB$582</definedName>
    <definedName name="Z_818D30FC_AF9E_4EB0_B7E5_9F0963EFCD90_.wvu.FilterData" localSheetId="0" hidden="1">PAC!$A$5:$BO$665</definedName>
    <definedName name="Z_81AFC665_E2D5_4B70_BF96_E8C62B26BBC1_.wvu.FilterData" localSheetId="0" hidden="1">PAC!$A$5:$BB$582</definedName>
    <definedName name="Z_81B6F2ED_1A9B_47F7_ACE5_F4D69FBEBB1E_.wvu.FilterData" localSheetId="0" hidden="1">PAC!$A$5:$BB$582</definedName>
    <definedName name="Z_81E4091E_BD93_4473_8200_132BC3099167_.wvu.FilterData" localSheetId="0" hidden="1">PAC!$A$5:$BB$582</definedName>
    <definedName name="Z_81E54E98_2BA9_4D87_BE09_B1A81A13677B_.wvu.FilterData" localSheetId="0" hidden="1">PAC!$A$5:$AV$581</definedName>
    <definedName name="Z_8211F6C4_4393_4D7D_8C29_E14C531DFB86_.wvu.FilterData" localSheetId="0" hidden="1">PAC!$A$5:$BB$581</definedName>
    <definedName name="Z_8283D0C0_56F0_4074_B66D_083FECD000B1_.wvu.FilterData" localSheetId="0" hidden="1">PAC!$A$5:$BB$581</definedName>
    <definedName name="Z_82C57A2D_7FE0_4A7B_894D_611681B7A831_.wvu.FilterData" localSheetId="11" hidden="1">'OUTRAS AÇÕES'!$A$3:$AZ$22</definedName>
    <definedName name="Z_82C57A2D_7FE0_4A7B_894D_611681B7A831_.wvu.FilterData" localSheetId="0" hidden="1">PAC!$A$5:$BB$582</definedName>
    <definedName name="Z_82C73BD2_C0A5_476F_AE39_C2B1661B6017_.wvu.FilterData" localSheetId="0" hidden="1">PAC!$A$5:$AZ$581</definedName>
    <definedName name="Z_83330D8E_F480_47FB_B25E_391DC100F15D_.wvu.FilterData" localSheetId="0" hidden="1">PAC!$A$5:$BO$665</definedName>
    <definedName name="Z_834B472A_C8C2_4C11_88BD_3232A4E197C2_.wvu.FilterData" localSheetId="0" hidden="1">PAC!$A$5:$AZ$581</definedName>
    <definedName name="Z_83779279_67B1_4521_A1E4_214B232BDCAE_.wvu.Cols" localSheetId="0" hidden="1">PAC!$AL:$AN</definedName>
    <definedName name="Z_83779279_67B1_4521_A1E4_214B232BDCAE_.wvu.FilterData" localSheetId="0" hidden="1">PAC!$A$5:$AZ$581</definedName>
    <definedName name="Z_83779279_67B1_4521_A1E4_214B232BDCAE_.wvu.PrintArea" localSheetId="12" hidden="1">Domínios!$L$2:$L$20</definedName>
    <definedName name="Z_83779279_67B1_4521_A1E4_214B232BDCAE_.wvu.PrintArea" localSheetId="0" hidden="1">PAC!$A$1:$U$301</definedName>
    <definedName name="Z_83779279_67B1_4521_A1E4_214B232BDCAE_.wvu.PrintTitles" localSheetId="0" hidden="1">PAC!$2:$5</definedName>
    <definedName name="Z_83B7DA55_AADC_451A_AF05_B811EFC03E0D_.wvu.FilterData" localSheetId="0" hidden="1">PAC!$A$5:$BO$665</definedName>
    <definedName name="Z_83B96C4D_737C_4884_8C9D_5CEAF3856FF7_.wvu.FilterData" localSheetId="0" hidden="1">PAC!$A$5:$BB$582</definedName>
    <definedName name="Z_8458D5F1_1BE7_4EA3_894C_0A9D03AEB7DE_.wvu.FilterData" localSheetId="0" hidden="1">PAC!$A$5:$BO$665</definedName>
    <definedName name="Z_846B2F44_5C33_4018_BFC7_B8DF4389674F_.wvu.FilterData" localSheetId="0" hidden="1">PAC!$A$5:$BB$581</definedName>
    <definedName name="Z_84B96F6B_7994_4A35_A695_2BF765331199_.wvu.FilterData" localSheetId="0" hidden="1">PAC!$A$5:$AV$581</definedName>
    <definedName name="Z_84FAABBE_76B3_4949_AFF1_D214ABABB66E_.wvu.FilterData" localSheetId="0" hidden="1">PAC!$A$5:$BO$665</definedName>
    <definedName name="Z_856320DC_AA39_452F_8E1D_3858C3BECC41_.wvu.FilterData" localSheetId="0" hidden="1">PAC!$A$5:$AV$581</definedName>
    <definedName name="Z_85AD8B96_49C1_401D_B125_7CC46718C91E_.wvu.FilterData" localSheetId="0" hidden="1">PAC!$A$5:$BB$581</definedName>
    <definedName name="Z_85EB3DDE_C929_4767_A96F_5D1DAA2414C3_.wvu.FilterData" localSheetId="0" hidden="1">PAC!$A$5:$AV$206</definedName>
    <definedName name="Z_860CECBA_5FC3_40A7_A50E_441CAD4C2093_.wvu.FilterData" localSheetId="0" hidden="1">PAC!$A$5:$AV$581</definedName>
    <definedName name="Z_87AC64FF_4442_4EA3_8D73_0D27E7EA5D12_.wvu.FilterData" localSheetId="0" hidden="1">PAC!$A$5:$BO$665</definedName>
    <definedName name="Z_87E2388D_D3B3_4B95_8492_5FFD9EE095E6_.wvu.FilterData" localSheetId="0" hidden="1">PAC!$A$5:$BB$582</definedName>
    <definedName name="Z_883869B8_7B79_4CDA_847A_DDC925F29AE6_.wvu.FilterData" localSheetId="0" hidden="1">PAC!$A$5:$AV$581</definedName>
    <definedName name="Z_8842C580_F091_4A01_B01E_2BE0633B3E54_.wvu.FilterData" localSheetId="0" hidden="1">PAC!$A$5:$AZ$581</definedName>
    <definedName name="Z_884E206E_2A85_47F1_9ADF_2D2885EC884D_.wvu.FilterData" localSheetId="0" hidden="1">PAC!$A$5:$BO$665</definedName>
    <definedName name="Z_88BE07B8_51FB_414A_9642_4A3559F38A76_.wvu.FilterData" localSheetId="0" hidden="1">PAC!$A$5:$BB$581</definedName>
    <definedName name="Z_88CFE858_24F5_4E37_B658_E6C412A72966_.wvu.FilterData" localSheetId="0" hidden="1">PAC!$A$5:$BB$582</definedName>
    <definedName name="Z_88F6744B_9EDB_46F6_BEAD_EF50A3ED7D49_.wvu.FilterData" localSheetId="0" hidden="1">PAC!$A$5:$BB$582</definedName>
    <definedName name="Z_8931B4BB_B3B1_4576_93A0_ECB9271F67AB_.wvu.FilterData" localSheetId="0" hidden="1">PAC!$A$5:$BB$581</definedName>
    <definedName name="Z_893973E2_E140_4A2B_9853_3D80176896D0_.wvu.FilterData" localSheetId="0" hidden="1">PAC!$A$5:$BB$581</definedName>
    <definedName name="Z_893A6178_72C6_4951_81EC_D770C41D5B0D_.wvu.FilterData" localSheetId="0" hidden="1">PAC!$A$5:$BB$582</definedName>
    <definedName name="Z_893C916C_E4EA_4671_810E_673919C5C097_.wvu.FilterData" localSheetId="0" hidden="1">PAC!$A$5:$BB$582</definedName>
    <definedName name="Z_898084BF_1C3F_45A8_899C_3D560F5AAFF3_.wvu.FilterData" localSheetId="0" hidden="1">PAC!$A$5:$BB$582</definedName>
    <definedName name="Z_89CE95B8_D6E5_47C1_B40F_2C14E02B80B0_.wvu.FilterData" localSheetId="0" hidden="1">PAC!$A$5:$BO$665</definedName>
    <definedName name="Z_8A196E01_325F_47F0_AE2F_147D448E950D_.wvu.FilterData" localSheetId="0" hidden="1">PAC!$A$5:$BO$665</definedName>
    <definedName name="Z_8A2CC3AB_F447_44C0_A80D_0D43E2352F2C_.wvu.FilterData" localSheetId="0" hidden="1">PAC!$A$5:$BB$582</definedName>
    <definedName name="Z_8A36C5A2_86F8_43E8_B01D_F90A0621AA7E_.wvu.FilterData" localSheetId="0" hidden="1">PAC!$A$5:$AV$206</definedName>
    <definedName name="Z_8A40CEAF_2166_4950_B72F_44CAAA616755_.wvu.FilterData" localSheetId="0" hidden="1">PAC!$A$5:$BO$665</definedName>
    <definedName name="Z_8A4FCAE4_7AD9_4F9D_8CF5_63C6F38A4AC3_.wvu.FilterData" localSheetId="0" hidden="1">PAC!$A$5:$BO$665</definedName>
    <definedName name="Z_8A5F6D7B_0C10_4A31_945E_808F86405D52_.wvu.FilterData" localSheetId="0" hidden="1">PAC!$A$5:$BO$665</definedName>
    <definedName name="Z_8A7B8E0A_6F7E_4006_A505_95D7C85F5579_.wvu.FilterData" localSheetId="0" hidden="1">PAC!$A$5:$AV$581</definedName>
    <definedName name="Z_8AD0D38B_D432_4544_A568_93EB0B0D4697_.wvu.FilterData" localSheetId="0" hidden="1">PAC!$A$5:$BB$581</definedName>
    <definedName name="Z_8ADF082B_9D23_4DE5_966B_8FDEBFCDA0DA_.wvu.FilterData" localSheetId="0" hidden="1">PAC!$A$5:$AV$206</definedName>
    <definedName name="Z_8AEBE51D_C494_4EEC_B13F_0DD7F805425E_.wvu.FilterData" localSheetId="0" hidden="1">PAC!$A$5:$AV$581</definedName>
    <definedName name="Z_8AED85FE_C63E_4037_AA39_7FBD6A037306_.wvu.FilterData" localSheetId="0" hidden="1">PAC!$A$5:$AV$430</definedName>
    <definedName name="Z_8AF3F23F_962F_4238_A668_E07C224D58CD_.wvu.FilterData" localSheetId="0" hidden="1">PAC!$A$5:$BO$665</definedName>
    <definedName name="Z_8AF3F23F_962F_4238_A668_E07C224D58CD_.wvu.PrintArea" localSheetId="12" hidden="1">Domínios!$B$2:$N$40</definedName>
    <definedName name="Z_8AF3F23F_962F_4238_A668_E07C224D58CD_.wvu.PrintArea" localSheetId="0" hidden="1">PAC!$A$2:$AV$206</definedName>
    <definedName name="Z_8AF3F23F_962F_4238_A668_E07C224D58CD_.wvu.PrintTitles" localSheetId="0" hidden="1">PAC!$2:$5</definedName>
    <definedName name="Z_8B01BF69_BD75_43CC_B85F_43AF205388DC_.wvu.FilterData" localSheetId="0" hidden="1">PAC!$A$5:$BO$665</definedName>
    <definedName name="Z_8B3DF3A1_5842_42D2_9BE0_90DE5E25A51F_.wvu.FilterData" localSheetId="0" hidden="1">PAC!$A$5:$BO$665</definedName>
    <definedName name="Z_8B9E1A34_CFAC_4648_976E_1093E3602F7C_.wvu.FilterData" localSheetId="0" hidden="1">PAC!$A$5:$BO$665</definedName>
    <definedName name="Z_8BBC6955_E3D0_4C69_8E60_C4243B06D81C_.wvu.FilterData" localSheetId="0" hidden="1">PAC!$A$5:$BO$665</definedName>
    <definedName name="Z_8BDDA002_C129_4DC8_91F4_3D9FAFECD691_.wvu.FilterData" localSheetId="0" hidden="1">PAC!$A$5:$BO$665</definedName>
    <definedName name="Z_8C205E75_1983_445C_BFB4_01C0D55EE3FB_.wvu.FilterData" localSheetId="0" hidden="1">PAC!$A$5:$AV$581</definedName>
    <definedName name="Z_8C9E20A1_2E3E_438C_BC23_9381A13D064E_.wvu.FilterData" localSheetId="0" hidden="1">PAC!$A$5:$BB$582</definedName>
    <definedName name="Z_8CA3162F_6E7E_4E0F_9B0A_F3A1CEFD1AB5_.wvu.FilterData" localSheetId="0" hidden="1">PAC!$A$5:$BO$665</definedName>
    <definedName name="Z_8CB35A75_7CB9_4E6F_AFE6_0393AB0DB405_.wvu.FilterData" localSheetId="0" hidden="1">PAC!$A$5:$BO$665</definedName>
    <definedName name="Z_8CC31A3E_EC5B_40C0_9E2C_7D3EDB3D7A3E_.wvu.FilterData" localSheetId="0" hidden="1">PAC!$A$5:$AV$206</definedName>
    <definedName name="Z_8D046E17_238D_48BF_AAC4_8C9A8CCEE436_.wvu.FilterData" localSheetId="0" hidden="1">PAC!$A$5:$BB$582</definedName>
    <definedName name="Z_8D3E734F_38BA_4075_BBD7_3DCD26275AAE_.wvu.FilterData" localSheetId="0" hidden="1">PAC!$A$5:$BO$665</definedName>
    <definedName name="Z_8D84E1F3_42F0_4722_8C66_C1FB4521A816_.wvu.FilterData" localSheetId="0" hidden="1">PAC!$A$5:$BB$582</definedName>
    <definedName name="Z_8D84FF82_A3A8_4415_8DF6_8AC48794C3F2_.wvu.FilterData" localSheetId="0" hidden="1">PAC!$A$5:$BB$581</definedName>
    <definedName name="Z_8DADDF4B_E048_415B_B20E_56866DE5A147_.wvu.FilterData" localSheetId="0" hidden="1">PAC!$A$5:$AV$581</definedName>
    <definedName name="Z_8DB97ED4_2A08_4CEA_897C_D15B073AB594_.wvu.FilterData" localSheetId="0" hidden="1">PAC!$A$5:$BO$665</definedName>
    <definedName name="Z_8E22F8C0_0C81_48F0_B219_DD5EF7228502_.wvu.FilterData" localSheetId="0" hidden="1">PAC!$A$5:$BB$581</definedName>
    <definedName name="Z_8E7E6D03_DBC4_4B04_9FBF_3E10805400E8_.wvu.FilterData" localSheetId="0" hidden="1">PAC!$A$5:$BB$582</definedName>
    <definedName name="Z_8F23DF5F_A1AB_4302_AFCD_3A14AE58C926_.wvu.FilterData" localSheetId="0" hidden="1">PAC!$A$5:$BO$665</definedName>
    <definedName name="Z_8F2C3A5F_8024_4706_8E8C_8F9503D5AFD1_.wvu.FilterData" localSheetId="0" hidden="1">PAC!$A$5:$BB$582</definedName>
    <definedName name="Z_8FB657A6_7256_4FCD_A0F3_EC1BAD4D6749_.wvu.FilterData" localSheetId="0" hidden="1">PAC!$A$5:$BO$665</definedName>
    <definedName name="Z_90303401_5E36_4478_B5A4_2BF18C40D7D1_.wvu.FilterData" localSheetId="0" hidden="1">PAC!$A$5:$AV$581</definedName>
    <definedName name="Z_90BBC336_398A_4215_B00D_915DCEAFAF6A_.wvu.FilterData" localSheetId="0" hidden="1">PAC!$A$5:$BB$582</definedName>
    <definedName name="Z_90BD9958_C7FF_4C37_A1BD_CE416A8E1B05_.wvu.FilterData" localSheetId="0" hidden="1">PAC!$A$5:$BB$582</definedName>
    <definedName name="Z_90D2D91D_8F87_4773_A4FB_0A65F31CC903_.wvu.FilterData" localSheetId="0" hidden="1">PAC!$A$5:$AZ$581</definedName>
    <definedName name="Z_90FC3195_9D5C_48B4_B88F_9AEC0AF87993_.wvu.FilterData" localSheetId="0" hidden="1">PAC!$A$5:$AV$581</definedName>
    <definedName name="Z_913DABC5_43B2_4B38_BF67_64E6A06FDD5E_.wvu.FilterData" localSheetId="0" hidden="1">PAC!$A$5:$BB$582</definedName>
    <definedName name="Z_91862564_FC24_494C_85CF_F53199643D89_.wvu.FilterData" localSheetId="0" hidden="1">PAC!$A$5:$BO$665</definedName>
    <definedName name="Z_91F2C9D4_85B8_4D66_AA2F_F38AC1600738_.wvu.FilterData" localSheetId="0" hidden="1">PAC!$A$5:$BO$665</definedName>
    <definedName name="Z_9250873E_67B6_44D4_8F86_8C38273AA7A0_.wvu.FilterData" localSheetId="0" hidden="1">PAC!$A$5:$AV$206</definedName>
    <definedName name="Z_927D4CA0_C173_4D12_A4D6_9B93545612B3_.wvu.FilterData" localSheetId="0" hidden="1">PAC!$A$5:$BB$582</definedName>
    <definedName name="Z_928C9E29_D307_4354_9D84_CD7DFFCC1C49_.wvu.FilterData" localSheetId="0" hidden="1">PAC!$A$5:$AV$581</definedName>
    <definedName name="Z_92AF8315_785F_489A_843E_304E854C9188_.wvu.FilterData" localSheetId="0" hidden="1">PAC!$A$5:$BO$665</definedName>
    <definedName name="Z_92C2E9FA_4DA3_45D0_98A5_DDF2BBC1C74A_.wvu.FilterData" localSheetId="0" hidden="1">PAC!$A$5:$BO$665</definedName>
    <definedName name="Z_9331A767_7F37_4191_9F07_01DD1DD0B456_.wvu.FilterData" localSheetId="0" hidden="1">PAC!$A$5:$BB$582</definedName>
    <definedName name="Z_936037B8_631A_482A_8306_092CCF14117E_.wvu.FilterData" localSheetId="0" hidden="1">PAC!$A$5:$BB$582</definedName>
    <definedName name="Z_9420B104_3632_4B3C_95CB_A0562AC215FE_.wvu.FilterData" localSheetId="0" hidden="1">PAC!$A$5:$AV$206</definedName>
    <definedName name="Z_946E55CE_E8BB_4723_8D31_EC56C92D00DD_.wvu.FilterData" localSheetId="0" hidden="1">PAC!$A$5:$BB$582</definedName>
    <definedName name="Z_949055C4_865A_4B48_BA2A_7586A28ACCCF_.wvu.FilterData" localSheetId="0" hidden="1">PAC!$A$5:$BB$582</definedName>
    <definedName name="Z_94C09ABF_2518_4114_92A9_86DA5268E145_.wvu.FilterData" localSheetId="0" hidden="1">PAC!$A$5:$AV$581</definedName>
    <definedName name="Z_94DB344B_2AA8_4B20_8643_A7FC3A30F783_.wvu.FilterData" localSheetId="0" hidden="1">PAC!$A$5:$BO$665</definedName>
    <definedName name="Z_94E60B49_3DCB_46D3_98C2_BA23427465E6_.wvu.FilterData" localSheetId="0" hidden="1">PAC!$A$5:$AV$581</definedName>
    <definedName name="Z_9590139F_8AFB_4C6C_A01B_DB88CC68E964_.wvu.FilterData" localSheetId="0" hidden="1">PAC!$A$5:$BB$582</definedName>
    <definedName name="Z_95CD3991_6BAD_4A0B_8E7C_A8DA61F72626_.wvu.FilterData" localSheetId="0" hidden="1">PAC!$A$5:$BB$581</definedName>
    <definedName name="Z_95E1BDA3_C014_42E3_98C3_FDEC741757C4_.wvu.FilterData" localSheetId="0" hidden="1">PAC!$A$5:$AV$426</definedName>
    <definedName name="Z_95E723E8_2A54_491F_820E_0FA5955796D1_.wvu.FilterData" localSheetId="0" hidden="1">PAC!$A$5:$BB$581</definedName>
    <definedName name="Z_9611181C_FE9D_4E16_AACB_01A4CA5848D9_.wvu.FilterData" localSheetId="0" hidden="1">PAC!$A$5:$BO$665</definedName>
    <definedName name="Z_9625F2D0_609D_45C1_952B_C6E76F6516ED_.wvu.FilterData" localSheetId="0" hidden="1">PAC!$A$5:$AV$581</definedName>
    <definedName name="Z_964878BD_6CE7_42CD_B954_3F3A2D1747FA_.wvu.FilterData" localSheetId="0" hidden="1">PAC!$A$5:$BB$581</definedName>
    <definedName name="Z_966272CF_5986_4F9B_825E_37F667BC2D72_.wvu.FilterData" localSheetId="0" hidden="1">PAC!$A$5:$BB$582</definedName>
    <definedName name="Z_96996E96_9959_46AB_8EE1_F084D7EAB61A_.wvu.FilterData" localSheetId="0" hidden="1">PAC!$A$5:$BO$665</definedName>
    <definedName name="Z_96C84221_FEB9_46D3_8D70_D2CE14729B0B_.wvu.FilterData" localSheetId="0" hidden="1">PAC!$A$5:$AZ$581</definedName>
    <definedName name="Z_96DAED4B_3823_44BD_99C8_369CB351C36B_.wvu.FilterData" localSheetId="0" hidden="1">PAC!$A$5:$BO$665</definedName>
    <definedName name="Z_970D1C79_0BDD_428A_B1F8_9D0298518B53_.wvu.Cols" localSheetId="0" hidden="1">PAC!$O:$W,PAC!$AH:$AP</definedName>
    <definedName name="Z_970D1C79_0BDD_428A_B1F8_9D0298518B53_.wvu.FilterData" localSheetId="0" hidden="1">PAC!$A$5:$BO$665</definedName>
    <definedName name="Z_970D1C79_0BDD_428A_B1F8_9D0298518B53_.wvu.PrintArea" localSheetId="12" hidden="1">Domínios!$B$2:$N$40</definedName>
    <definedName name="Z_970D1C79_0BDD_428A_B1F8_9D0298518B53_.wvu.PrintArea" localSheetId="0" hidden="1">PAC!$A$5:$BO$665</definedName>
    <definedName name="Z_970D1C79_0BDD_428A_B1F8_9D0298518B53_.wvu.PrintTitles" localSheetId="0" hidden="1">PAC!$4:$5</definedName>
    <definedName name="Z_9710BDB0_0066_4E9B_8C5F_1BD87AC89F5F_.wvu.FilterData" localSheetId="0" hidden="1">PAC!$A$5:$BB$582</definedName>
    <definedName name="Z_9716DF57_E8E8_4C7A_B875_B5E50AC34EF3_.wvu.FilterData" localSheetId="0" hidden="1">PAC!$A$5:$BO$665</definedName>
    <definedName name="Z_974638AF_2DB6_4039_9294_CBEDC516017C_.wvu.FilterData" localSheetId="0" hidden="1">PAC!$A$5:$BB$582</definedName>
    <definedName name="Z_97633F02_762D_44BF_A344_63D8D5799927_.wvu.FilterData" localSheetId="0" hidden="1">PAC!$A$5:$BO$665</definedName>
    <definedName name="Z_98330B9C_E9A0_4EB3_914B_32ACEC201A61_.wvu.FilterData" localSheetId="0" hidden="1">PAC!$A$5:$BB$582</definedName>
    <definedName name="Z_9997AF8B_F221_4781_8B8E_B21242BB2161_.wvu.FilterData" localSheetId="0" hidden="1">PAC!$A$5:$AZ$581</definedName>
    <definedName name="Z_99A1B974_D0FF_4081_9350_5B5BCE9D1079_.wvu.FilterData" localSheetId="0" hidden="1">PAC!$A$5:$BB$582</definedName>
    <definedName name="Z_99BEBEAF_5C46_4B7E_9EA7_4A002A91367F_.wvu.FilterData" localSheetId="0" hidden="1">PAC!$A$5:$AZ$581</definedName>
    <definedName name="Z_99D2704D_2B4F_491A_ABF9_DE4077DEDED6_.wvu.FilterData" localSheetId="0" hidden="1">PAC!$A$5:$AV$581</definedName>
    <definedName name="Z_9A05245C_AA21_4262_8292_9A5B1208DE7A_.wvu.FilterData" localSheetId="0" hidden="1">PAC!$A$5:$BB$582</definedName>
    <definedName name="Z_9A22F171_66AB_48B2_B0B1_267B22F211E0_.wvu.FilterData" localSheetId="0" hidden="1">PAC!$A$5:$AV$430</definedName>
    <definedName name="Z_9A392BC7_69D3_4EC8_A9F4_B3E2FB9B0D82_.wvu.FilterData" localSheetId="0" hidden="1">PAC!$A$5:$BB$581</definedName>
    <definedName name="Z_9A61D26D_F49B_405D_ADE5_15EF46E67A81_.wvu.FilterData" localSheetId="0" hidden="1">PAC!$A$5:$BB$582</definedName>
    <definedName name="Z_9A8C7DD6_31AB_49AA_B5A4_A5BB45A97D21_.wvu.FilterData" localSheetId="0" hidden="1">PAC!$A$5:$BB$581</definedName>
    <definedName name="Z_9AB427A6_EA2B_4CE0_BE73_E77E9F8D065D_.wvu.FilterData" localSheetId="0" hidden="1">PAC!$A$5:$BB$582</definedName>
    <definedName name="Z_9AE7F4FF_DFFA_490F_8AF2_4FB45EA2475B_.wvu.FilterData" localSheetId="11" hidden="1">'OUTRAS AÇÕES'!$A$3:$AZ$22</definedName>
    <definedName name="Z_9AE7F4FF_DFFA_490F_8AF2_4FB45EA2475B_.wvu.FilterData" localSheetId="0" hidden="1">PAC!$A$5:$BB$582</definedName>
    <definedName name="Z_9AE7F4FF_DFFA_490F_8AF2_4FB45EA2475B_.wvu.PrintArea" localSheetId="0" hidden="1">PAC!$E$5:$AF$488</definedName>
    <definedName name="Z_9AE7F4FF_DFFA_490F_8AF2_4FB45EA2475B_.wvu.PrintTitles" localSheetId="0" hidden="1">PAC!$4:$5</definedName>
    <definedName name="Z_9B40621D_C6DC_48E1_8815_3B410C6E9E58_.wvu.FilterData" localSheetId="0" hidden="1">PAC!$A$5:$BO$665</definedName>
    <definedName name="Z_9C609B54_1A52_480E_8F59_DD4893D6AA3F_.wvu.FilterData" localSheetId="0" hidden="1">PAC!$A$5:$BB$581</definedName>
    <definedName name="Z_9CF91B79_8754_45A3_ACA2_18ACA512E519_.wvu.FilterData" localSheetId="0" hidden="1">PAC!$A$5:$BO$665</definedName>
    <definedName name="Z_9D224C8B_2180_450A_991F_13AEABCF6917_.wvu.FilterData" localSheetId="0" hidden="1">PAC!$A$5:$BB$581</definedName>
    <definedName name="Z_9D61BBF2_7C5C_418B_84D0_61EAB259B094_.wvu.FilterData" localSheetId="0" hidden="1">PAC!$A$5:$AZ$581</definedName>
    <definedName name="Z_9D9A6099_D513_44FF_9B5B_70841E5B80F3_.wvu.FilterData" localSheetId="0" hidden="1">PAC!$A$5:$BB$582</definedName>
    <definedName name="Z_9E23A39A_3754_4607_B0A8_79D558CE6EDE_.wvu.FilterData" localSheetId="0" hidden="1">PAC!$A$5:$BB$582</definedName>
    <definedName name="Z_9E24343A_C006_40B1_95C4_4CE3BD20762C_.wvu.FilterData" localSheetId="0" hidden="1">PAC!$A$5:$BB$582</definedName>
    <definedName name="Z_9E408449_F4B6_40F5_95C9_D2155AB8F20B_.wvu.FilterData" localSheetId="0" hidden="1">PAC!$A$5:$AV$581</definedName>
    <definedName name="Z_9E4C768D_0F2F_4B97_B722_12B93C0D908E_.wvu.FilterData" localSheetId="0" hidden="1">PAC!$A$5:$BO$665</definedName>
    <definedName name="Z_9E59BA8C_CBD7_41D9_9382_87B3859CD7A0_.wvu.FilterData" localSheetId="0" hidden="1">PAC!$A$5:$BO$665</definedName>
    <definedName name="Z_9EA22C0F_A12F_4B31_8388_409944F6DB6B_.wvu.FilterData" localSheetId="0" hidden="1">PAC!$A$5:$AZ$581</definedName>
    <definedName name="Z_9EBA2067_2BDD_4449_8287_17D2F8F89BC4_.wvu.FilterData" localSheetId="0" hidden="1">PAC!$A$5:$BB$581</definedName>
    <definedName name="Z_9F1C7CDA_7FB6_46A3_AC7A_02A32C9D6CB1_.wvu.FilterData" localSheetId="0" hidden="1">PAC!$A$5:$BB$582</definedName>
    <definedName name="Z_9F2B6E62_B1BE_4052_9E44_291B83D41F8A_.wvu.FilterData" localSheetId="0" hidden="1">PAC!$A$5:$BO$665</definedName>
    <definedName name="Z_9F2D1D00_F83D_4AA0_BEA5_8812846C3E55_.wvu.FilterData" localSheetId="0" hidden="1">PAC!$A$5:$BB$581</definedName>
    <definedName name="Z_9F3D6EF2_EBA6_445E_A5DC_54F16CB1CA1A_.wvu.FilterData" localSheetId="0" hidden="1">PAC!$A$5:$BB$581</definedName>
    <definedName name="Z_9F404D24_C676_4D76_BAFA_A8AD823653CE_.wvu.FilterData" localSheetId="0" hidden="1">PAC!$A$5:$BO$665</definedName>
    <definedName name="Z_9F679C15_7EF7_44E8_9E68_757E11F1383E_.wvu.FilterData" localSheetId="0" hidden="1">PAC!$A$5:$BO$665</definedName>
    <definedName name="Z_9F7A2CA4_01DE_4E7B_81CB_0DF1AF0A6572_.wvu.FilterData" localSheetId="0" hidden="1">PAC!$A$5:$BB$582</definedName>
    <definedName name="Z_A07B7441_EB5C_4C3A_A24F_927447A4EFCF_.wvu.FilterData" localSheetId="0" hidden="1">PAC!$A$5:$AZ$581</definedName>
    <definedName name="Z_A081CA04_4720_4ADB_B2DB_BB6696E3FFE0_.wvu.FilterData" localSheetId="0" hidden="1">PAC!$A$5:$AZ$581</definedName>
    <definedName name="Z_A0A7A6CC_4468_4B0A_90CC_59EABB1AB858_.wvu.FilterData" localSheetId="0" hidden="1">PAC!$A$5:$BB$582</definedName>
    <definedName name="Z_A0BC1D28_D244_407C_99E2_CF4733AB21B9_.wvu.FilterData" localSheetId="0" hidden="1">PAC!$A$5:$AZ$581</definedName>
    <definedName name="Z_A10EBD83_7D03_4E3F_9980_D4843478A706_.wvu.Cols" localSheetId="0" hidden="1">PAC!$BG:$BG</definedName>
    <definedName name="Z_A10EBD83_7D03_4E3F_9980_D4843478A706_.wvu.FilterData" localSheetId="11" hidden="1">'OUTRAS AÇÕES'!$A$3:$AZ$22</definedName>
    <definedName name="Z_A10EBD83_7D03_4E3F_9980_D4843478A706_.wvu.FilterData" localSheetId="0" hidden="1">PAC!$A$5:$BB$582</definedName>
    <definedName name="Z_A10EBD83_7D03_4E3F_9980_D4843478A706_.wvu.PrintArea" localSheetId="0" hidden="1">PAC!$E$5:$AX$488</definedName>
    <definedName name="Z_A10EBD83_7D03_4E3F_9980_D4843478A706_.wvu.PrintTitles" localSheetId="0" hidden="1">PAC!$4:$5</definedName>
    <definedName name="Z_A1378210_D7C5_4066_8774_422311CD98B7_.wvu.FilterData" localSheetId="0" hidden="1">PAC!$A$5:$BO$665</definedName>
    <definedName name="Z_A142D9BF_A698_4EE3_A3C4_08932C917AAC_.wvu.FilterData" localSheetId="0" hidden="1">PAC!$A$5:$AV$581</definedName>
    <definedName name="Z_A154B058_5B80_4B42_853C_F335627C7A54_.wvu.FilterData" localSheetId="0" hidden="1">PAC!$A$5:$AV$581</definedName>
    <definedName name="Z_A2480C1B_CF28_49E3_B343_6089D6351187_.wvu.FilterData" localSheetId="0" hidden="1">PAC!$A$5:$AZ$581</definedName>
    <definedName name="Z_A2A3F10F_432D_4220_852D_05850FF9BFE7_.wvu.FilterData" localSheetId="0" hidden="1">PAC!$A$5:$BO$665</definedName>
    <definedName name="Z_A2ACC0D3_6F4C_45FC_9C8C_20F797211833_.wvu.FilterData" localSheetId="0" hidden="1">PAC!$A$5:$BB$582</definedName>
    <definedName name="Z_A2B7A9E9_FEF6_4280_8EE7_DDCCFF855637_.wvu.FilterData" localSheetId="0" hidden="1">PAC!$A$5:$AV$581</definedName>
    <definedName name="Z_A301E871_6780_4F9D_8F1C_9CE314EB8EDB_.wvu.FilterData" localSheetId="0" hidden="1">PAC!$A$5:$AV$581</definedName>
    <definedName name="Z_A333433C_255D_4126_A6DF_B287471D9C25_.wvu.FilterData" localSheetId="0" hidden="1">PAC!$A$5:$BB$582</definedName>
    <definedName name="Z_A3AE2314_1691_43DB_B23D_BBA412BF9B99_.wvu.FilterData" localSheetId="0" hidden="1">PAC!$A$5:$BO$665</definedName>
    <definedName name="Z_A3C045DF_E17D_4F90_BCF1_267CFC12F2A5_.wvu.FilterData" localSheetId="0" hidden="1">PAC!$A$5:$BB$582</definedName>
    <definedName name="Z_A4BD863E_785D_4109_B359_D7BE07D328BA_.wvu.FilterData" localSheetId="0" hidden="1">PAC!$A$5:$BB$582</definedName>
    <definedName name="Z_A512C164_A33A_4F5A_BF8B_3B63C4B08689_.wvu.FilterData" localSheetId="0" hidden="1">PAC!$A$5:$BO$665</definedName>
    <definedName name="Z_A5361BE8_0927_4071_BD83_B201EB0C6607_.wvu.FilterData" localSheetId="0" hidden="1">PAC!$A$5:$BO$665</definedName>
    <definedName name="Z_A542E1EE_5278_455F_A150_DD85B702785C_.wvu.FilterData" localSheetId="0" hidden="1">PAC!$A$5:$BO$665</definedName>
    <definedName name="Z_A549F6EB_A656_4F00_B5A7_8EE11AF40928_.wvu.FilterData" localSheetId="0" hidden="1">PAC!$A$5:$AV$581</definedName>
    <definedName name="Z_A57CB6AB_C3E6_4850_9532_1E843AB23411_.wvu.FilterData" localSheetId="0" hidden="1">PAC!$A$5:$AV$206</definedName>
    <definedName name="Z_A5B33E04_14AF_4DFA_B9A8_DE935EE91CB7_.wvu.FilterData" localSheetId="0" hidden="1">PAC!$A$5:$BB$582</definedName>
    <definedName name="Z_A5DC18D6_5313_4DA6_8238_520AF7AAD432_.wvu.FilterData" localSheetId="0" hidden="1">PAC!$A$5:$AV$581</definedName>
    <definedName name="Z_A6254ED5_D0B6_4A3B_AD51_F71671AAE3B2_.wvu.FilterData" localSheetId="0" hidden="1">PAC!$A$5:$BB$582</definedName>
    <definedName name="Z_A6D2A509_AD21_4536_A770_170E5756EE06_.wvu.FilterData" localSheetId="0" hidden="1">PAC!$A$5:$BB$582</definedName>
    <definedName name="Z_A6D5EFD7_9409_4AAF_8DFB_EFE04DCA4B3E_.wvu.FilterData" localSheetId="0" hidden="1">PAC!$A$5:$BB$581</definedName>
    <definedName name="Z_A72E4BA1_374B_4B27_9B08_63BF09C65BC7_.wvu.FilterData" localSheetId="0" hidden="1">PAC!$A$5:$AV$206</definedName>
    <definedName name="Z_A74EDE7C_F8F4_4829_9504_FC2CD8D01D9D_.wvu.FilterData" localSheetId="0" hidden="1">PAC!$A$5:$BB$581</definedName>
    <definedName name="Z_A7B6424A_4D95_47FC_9473_B30160578006_.wvu.FilterData" localSheetId="0" hidden="1">PAC!$A$5:$BB$582</definedName>
    <definedName name="Z_A7CDF25D_4520_46C5_B1EE_DA235288B9AE_.wvu.FilterData" localSheetId="0" hidden="1">PAC!$A$5:$AV$581</definedName>
    <definedName name="Z_A7E1B925_E43F_4CB6_B381_A51B1E9F5050_.wvu.FilterData" localSheetId="0" hidden="1">PAC!$A$5:$BO$665</definedName>
    <definedName name="Z_A838C0AC_0D74_4040_B88C_E0C7C4BB2858_.wvu.FilterData" localSheetId="11" hidden="1">'OUTRAS AÇÕES'!$A$3:$AZ$22</definedName>
    <definedName name="Z_A838C0AC_0D74_4040_B88C_E0C7C4BB2858_.wvu.FilterData" localSheetId="0" hidden="1">PAC!$A$5:$BB$582</definedName>
    <definedName name="Z_A87FD3A2_43D5_436A_A2FE_7EC5029E9002_.wvu.FilterData" localSheetId="0" hidden="1">PAC!$A$5:$BO$665</definedName>
    <definedName name="Z_A8BC19C1_EF2F_4951_A64D_4CB17A45B3E5_.wvu.FilterData" localSheetId="0" hidden="1">PAC!$A$5:$BO$665</definedName>
    <definedName name="Z_A8D81082_38F2_4435_B83A_1D7C0522A280_.wvu.FilterData" localSheetId="0" hidden="1">PAC!$A$5:$BB$582</definedName>
    <definedName name="Z_A904B1DE_F457_4662_A40A_CB2763BF1747_.wvu.FilterData" localSheetId="0" hidden="1">PAC!$A$5:$BB$582</definedName>
    <definedName name="Z_A90DABDE_DE83_43CD_9CE8_A49001F85130_.wvu.FilterData" localSheetId="0" hidden="1">PAC!$A$5:$BO$665</definedName>
    <definedName name="Z_AA325EA8_E732_405A_8937_22A577B0C91F_.wvu.FilterData" localSheetId="0" hidden="1">PAC!$A$5:$AV$581</definedName>
    <definedName name="Z_AA6B84C1_5577_42DB_9F7B_4DB9D1AE835D_.wvu.FilterData" localSheetId="0" hidden="1">PAC!$A$5:$BO$665</definedName>
    <definedName name="Z_AA850459_FF13_447B_BB98_813E15682C81_.wvu.FilterData" localSheetId="0" hidden="1">PAC!$A$5:$BB$582</definedName>
    <definedName name="Z_AB3E5EF3_521C_45E6_ACAB_2D8B819E369A_.wvu.FilterData" localSheetId="0" hidden="1">PAC!$A$5:$BB$582</definedName>
    <definedName name="Z_AB448F1D_636B_411D_B6B2_86918BF069AD_.wvu.FilterData" localSheetId="0" hidden="1">PAC!$A$5:$AV$206</definedName>
    <definedName name="Z_AB7AF0C3_5414_4384_BA5A_C7073E3F17F2_.wvu.FilterData" localSheetId="0" hidden="1">PAC!$A$5:$AV$206</definedName>
    <definedName name="Z_ABC45168_C6C2_4CC5_B34A_10D683662432_.wvu.FilterData" localSheetId="0" hidden="1">PAC!$A$5:$BB$582</definedName>
    <definedName name="Z_ABC46771_5158_4393_A03D_BF7583FACA53_.wvu.FilterData" localSheetId="0" hidden="1">PAC!$A$5:$BO$665</definedName>
    <definedName name="Z_ABCD7BC6_2F04_4925_8CEF_A7DE59206269_.wvu.FilterData" localSheetId="0" hidden="1">PAC!$A$5:$AZ$581</definedName>
    <definedName name="Z_AC062F30_932F_4B7F_BC30_5C0668460721_.wvu.FilterData" localSheetId="0" hidden="1">PAC!$A$5:$AV$206</definedName>
    <definedName name="Z_AC500CE5_9F0A_4F98_AB96_2CA5A48B6A74_.wvu.FilterData" localSheetId="0" hidden="1">PAC!$A$5:$BB$582</definedName>
    <definedName name="Z_ACA986DB_C425_4A61_B37A_D52ED1E7C5E9_.wvu.FilterData" localSheetId="0" hidden="1">PAC!$A$5:$BB$581</definedName>
    <definedName name="Z_ACBCA272_4BF0_464F_9826_B88631775C9A_.wvu.Cols" localSheetId="0" hidden="1">PAC!$A:$A,PAC!$C:$D,PAC!$H:$H,PAC!$K:$L,PAC!$Q:$Q,PAC!$T:$W,PAC!$Y:$Y</definedName>
    <definedName name="Z_ACBCA272_4BF0_464F_9826_B88631775C9A_.wvu.FilterData" localSheetId="11" hidden="1">'OUTRAS AÇÕES'!$A$3:$AZ$22</definedName>
    <definedName name="Z_ACBCA272_4BF0_464F_9826_B88631775C9A_.wvu.FilterData" localSheetId="0" hidden="1">PAC!$A$5:$BB$582</definedName>
    <definedName name="Z_ACBCA272_4BF0_464F_9826_B88631775C9A_.wvu.PrintArea" localSheetId="0" hidden="1">PAC!$A$1:$U$301</definedName>
    <definedName name="Z_ACBCA272_4BF0_464F_9826_B88631775C9A_.wvu.PrintTitles" localSheetId="0" hidden="1">PAC!$2:$5</definedName>
    <definedName name="Z_ACC0C8B7_A18A_4D84_A12F_B10494596185_.wvu.FilterData" localSheetId="0" hidden="1">PAC!$A$5:$BB$582</definedName>
    <definedName name="Z_ACD9C688_8C00_4A6D_A706_D4D26D204433_.wvu.FilterData" localSheetId="0" hidden="1">PAC!$A$5:$AZ$581</definedName>
    <definedName name="Z_ACEBA423_C247_49EA_A524_EA5963C25B5C_.wvu.FilterData" localSheetId="0" hidden="1">PAC!$A$5:$AV$581</definedName>
    <definedName name="Z_ACF8F2B5_8C61_48B9_A4C4_BC56448F5E29_.wvu.FilterData" localSheetId="0" hidden="1">PAC!$A$5:$AV$581</definedName>
    <definedName name="Z_AD5DFAAF_C8D7_43CF_8C2B_76D11C97B34D_.wvu.FilterData" localSheetId="0" hidden="1">PAC!$A$5:$AV$581</definedName>
    <definedName name="Z_AD7CE3F1_A0B7_485F_8C0F_F0A515117D17_.wvu.FilterData" localSheetId="0" hidden="1">PAC!$A$5:$BO$665</definedName>
    <definedName name="Z_AD89E904_07F4_4BF8_A443_734016FBA704_.wvu.FilterData" localSheetId="0" hidden="1">PAC!$A$5:$BB$582</definedName>
    <definedName name="Z_ADC93E18_3E49_4A16_AAC7_46846C616DDC_.wvu.FilterData" localSheetId="0" hidden="1">PAC!$A$5:$BB$582</definedName>
    <definedName name="Z_ADCDC105_E2FC_4537_BB12_E20AAAE198D0_.wvu.FilterData" localSheetId="0" hidden="1">PAC!$A$5:$BO$665</definedName>
    <definedName name="Z_AEC36717_CC50_4782_8E8E_64072068A06B_.wvu.FilterData" localSheetId="0" hidden="1">PAC!$A$5:$BB$582</definedName>
    <definedName name="Z_AEDD7762_1DC2_4146_A882_D88ACCC36AB3_.wvu.FilterData" localSheetId="0" hidden="1">PAC!$A$5:$AV$430</definedName>
    <definedName name="Z_AF100736_8CC2_483F_BD64_2FF3010E856F_.wvu.FilterData" localSheetId="0" hidden="1">PAC!$A$5:$BB$582</definedName>
    <definedName name="Z_AF805D19_E426_4BEC_9CD4_704C24A3D08C_.wvu.FilterData" localSheetId="0" hidden="1">PAC!$A$5:$BO$665</definedName>
    <definedName name="Z_B01DA506_10D7_42DE_90C9_8F1D688A517B_.wvu.FilterData" localSheetId="0" hidden="1">PAC!$A$5:$BO$665</definedName>
    <definedName name="Z_B05B17FD_B7D0_4085_8AEC_7CEAEBB43C2D_.wvu.FilterData" localSheetId="0" hidden="1">PAC!$A$5:$BO$665</definedName>
    <definedName name="Z_B0C06402_94C3_43AA_8870_FC3429302019_.wvu.FilterData" localSheetId="0" hidden="1">PAC!$A$5:$AV$581</definedName>
    <definedName name="Z_B0D0C215_9D0A_4D97_BDB2_6FB694869442_.wvu.FilterData" localSheetId="0" hidden="1">PAC!$A$5:$BO$665</definedName>
    <definedName name="Z_B0FDE4F3_399C_4324_9173_86D415E27295_.wvu.FilterData" localSheetId="0" hidden="1">PAC!$A$5:$BB$581</definedName>
    <definedName name="Z_B13D886E_BAB8_4D14_822A_F08281218447_.wvu.FilterData" localSheetId="11" hidden="1">'OUTRAS AÇÕES'!$A$3:$AZ$22</definedName>
    <definedName name="Z_B13D886E_BAB8_4D14_822A_F08281218447_.wvu.FilterData" localSheetId="0" hidden="1">PAC!$A$5:$BB$582</definedName>
    <definedName name="Z_B13D886E_BAB8_4D14_822A_F08281218447_.wvu.PrintArea" localSheetId="0" hidden="1">PAC!$E$1:$AF$488</definedName>
    <definedName name="Z_B13D886E_BAB8_4D14_822A_F08281218447_.wvu.PrintTitles" localSheetId="0" hidden="1">PAC!$4:$5</definedName>
    <definedName name="Z_B14AE04A_F9DB_4422_A479_7A0390D36B29_.wvu.FilterData" localSheetId="0" hidden="1">PAC!$A$5:$BB$582</definedName>
    <definedName name="Z_B15975CC_AE8B_4A0F_95A8_57B9060107C0_.wvu.FilterData" localSheetId="0" hidden="1">PAC!$A$5:$BO$665</definedName>
    <definedName name="Z_B29E0100_A352_4D71_97F9_9D244F0E359F_.wvu.FilterData" localSheetId="0" hidden="1">PAC!$A$5:$BB$581</definedName>
    <definedName name="Z_B2CC0502_9F12_4B1D_8216_E1D566866D0B_.wvu.FilterData" localSheetId="0" hidden="1">PAC!$A$5:$BO$665</definedName>
    <definedName name="Z_B2F933DC_A9A8_40D6_BF9A_4185FB053FEC_.wvu.FilterData" localSheetId="0" hidden="1">PAC!$A$5:$BB$581</definedName>
    <definedName name="Z_B3061011_877A_43C2_8CA4_9C439D6E098E_.wvu.FilterData" localSheetId="0" hidden="1">PAC!$A$5:$BB$582</definedName>
    <definedName name="Z_B397FDFC_D692_4CD4_9BCD_5E04E4A47A8A_.wvu.FilterData" localSheetId="0" hidden="1">PAC!$A$5:$BO$665</definedName>
    <definedName name="Z_B397FDFC_D692_4CD4_9BCD_5E04E4A47A8A_.wvu.PrintArea" localSheetId="12" hidden="1">Domínios!$B$2:$N$40</definedName>
    <definedName name="Z_B397FDFC_D692_4CD4_9BCD_5E04E4A47A8A_.wvu.PrintArea" localSheetId="0" hidden="1">PAC!$A$5:$AF$488</definedName>
    <definedName name="Z_B397FDFC_D692_4CD4_9BCD_5E04E4A47A8A_.wvu.PrintTitles" localSheetId="0" hidden="1">PAC!$4:$5</definedName>
    <definedName name="Z_B3F0487F_6A49_4E65_8EAD_B33F32A28F0C_.wvu.FilterData" localSheetId="0" hidden="1">PAC!$A$5:$AV$581</definedName>
    <definedName name="Z_B418FB18_96C7_4246_9CB9_720A29A50AF0_.wvu.FilterData" localSheetId="0" hidden="1">PAC!$A$5:$BB$582</definedName>
    <definedName name="Z_B46488F3_5932_47C0_934A_57249A607C02_.wvu.FilterData" localSheetId="0" hidden="1">PAC!$A$5:$BB$582</definedName>
    <definedName name="Z_B490623E_3CAC_438E_9171_C0F320ED8154_.wvu.FilterData" localSheetId="0" hidden="1">PAC!$A$5:$BB$582</definedName>
    <definedName name="Z_B4A0608E_5B0D_4D13_B9EF_ACB9C56DFD7F_.wvu.FilterData" localSheetId="0" hidden="1">PAC!$A$5:$BO$665</definedName>
    <definedName name="Z_B4A60C39_322F_402E_B0BF_2D55F2B19AD9_.wvu.FilterData" localSheetId="0" hidden="1">PAC!$A$5:$AZ$581</definedName>
    <definedName name="Z_B4FEF639_A105_4E74_B8E8_154371314836_.wvu.FilterData" localSheetId="0" hidden="1">PAC!$A$5:$BB$582</definedName>
    <definedName name="Z_B5219D43_3129_471E_B9B4_E3451A496354_.wvu.FilterData" localSheetId="0" hidden="1">PAC!$A$5:$BO$665</definedName>
    <definedName name="Z_B544107E_AC69_4180_A644_89DF99DF905B_.wvu.FilterData" localSheetId="0" hidden="1">PAC!$A$5:$BO$665</definedName>
    <definedName name="Z_B5673ED7_ABF8_4786_B1E7_C4C8A034A97A_.wvu.FilterData" localSheetId="0" hidden="1">PAC!$A$5:$AV$581</definedName>
    <definedName name="Z_B597DC87_C984_48D5_82BD_49BDD2987853_.wvu.FilterData" localSheetId="0" hidden="1">PAC!$A$5:$BO$665</definedName>
    <definedName name="Z_B5E02B32_F2F7_495B_91E2_BF824B677FAF_.wvu.FilterData" localSheetId="0" hidden="1">PAC!$A$5:$AV$581</definedName>
    <definedName name="Z_B60F7166_30D0_4D62_A8F2_B668CCE25784_.wvu.FilterData" localSheetId="0" hidden="1">PAC!$A$5:$AV$426</definedName>
    <definedName name="Z_B6285CCD_BEEE_4626_B03F_13C82D9A9114_.wvu.FilterData" localSheetId="0" hidden="1">PAC!$A$5:$BO$665</definedName>
    <definedName name="Z_B66C39C1_4453_48C8_A3A1_C5137A1F0156_.wvu.FilterData" localSheetId="0" hidden="1">PAC!$A$5:$BB$582</definedName>
    <definedName name="Z_B705C2AC_1081_4B5B_A81A_0BC300499757_.wvu.FilterData" localSheetId="0" hidden="1">PAC!$A$5:$AV$581</definedName>
    <definedName name="Z_B70AC0DF_195F_4230_A013_E8E80F33946C_.wvu.FilterData" localSheetId="0" hidden="1">PAC!$A$5:$BO$665</definedName>
    <definedName name="Z_B721D6E1_AA1F_4C3B_82AD_9D97034E501C_.wvu.FilterData" localSheetId="0" hidden="1">PAC!$A$5:$BO$665</definedName>
    <definedName name="Z_B7530C83_CB61_467E_86DD_2918129C947F_.wvu.FilterData" localSheetId="0" hidden="1">PAC!$A$5:$BB$582</definedName>
    <definedName name="Z_B7CFD04F_D3A9_4AE7_8375_5E3366D047AE_.wvu.FilterData" localSheetId="0" hidden="1">PAC!$A$5:$BO$665</definedName>
    <definedName name="Z_B7EE3EC6_AF5B_4401_B485_1228E3736638_.wvu.FilterData" localSheetId="0" hidden="1">PAC!$A$5:$AV$430</definedName>
    <definedName name="Z_B800A56E_B8A6_4CD0_B036_95822BE0EE69_.wvu.FilterData" localSheetId="0" hidden="1">PAC!$A$5:$AV$581</definedName>
    <definedName name="Z_B84CD497_BF6A_41F9_AE6E_49A8CC94B843_.wvu.FilterData" localSheetId="0" hidden="1">PAC!$A$5:$BB$581</definedName>
    <definedName name="Z_B8508A99_79A6_4CDE_88FE_D7D95B494A6C_.wvu.FilterData" localSheetId="0" hidden="1">PAC!$A$5:$BO$665</definedName>
    <definedName name="Z_B889E5B8_E0AB_4A26_9FA4_EC7CAC6523D8_.wvu.FilterData" localSheetId="0" hidden="1">PAC!$A$5:$AV$581</definedName>
    <definedName name="Z_B89606B7_BAB8_4387_8591_7A49515DB092_.wvu.FilterData" localSheetId="0" hidden="1">PAC!$A$5:$BB$582</definedName>
    <definedName name="Z_B8A1D877_3F4C_4EF9_B052_8FAF6B7A7171_.wvu.FilterData" localSheetId="0" hidden="1">PAC!$A$5:$BB$582</definedName>
    <definedName name="Z_B8D48487_2DFB_4551_B811_692B86960409_.wvu.FilterData" localSheetId="0" hidden="1">PAC!$A$5:$AV$581</definedName>
    <definedName name="Z_B8DFC611_C21F_438C_849E_FD191B573006_.wvu.FilterData" localSheetId="0" hidden="1">PAC!$A$5:$AV$581</definedName>
    <definedName name="Z_B900CF8B_CDA1_4924_B2BF_B9ECB97F7CD8_.wvu.FilterData" localSheetId="0" hidden="1">PAC!$A$5:$BO$665</definedName>
    <definedName name="Z_B91256D1_A825_456A_8C0C_4E9CDB789ACF_.wvu.FilterData" localSheetId="0" hidden="1">PAC!$A$5:$BO$665</definedName>
    <definedName name="Z_B9165B26_801D_4990_A7DB_35A416C1C643_.wvu.FilterData" localSheetId="0" hidden="1">PAC!$A$5:$BB$581</definedName>
    <definedName name="Z_B9C5AB90_5906_4D09_81B9_8A1C2253C7D1_.wvu.FilterData" localSheetId="0" hidden="1">PAC!$A$5:$BB$582</definedName>
    <definedName name="Z_B9F10FAB_36D0_49FC_9A78_1C951F961A04_.wvu.FilterData" localSheetId="0" hidden="1">PAC!$A$5:$BO$665</definedName>
    <definedName name="Z_BA1AF751_C922_4D59_8473_2C0EE6F451BE_.wvu.FilterData" localSheetId="0" hidden="1">PAC!$A$5:$BO$665</definedName>
    <definedName name="Z_BA3E0240_66E2_4F37_B1CE_516B8F90CC5E_.wvu.FilterData" localSheetId="0" hidden="1">PAC!$A$5:$AZ$581</definedName>
    <definedName name="Z_BA976764_FB7A_424A_8875_0DF4898640DA_.wvu.FilterData" localSheetId="0" hidden="1">PAC!$A$5:$AV$426</definedName>
    <definedName name="Z_BAA7869F_E44F_4ECF_9A64_700A3F26F111_.wvu.FilterData" localSheetId="0" hidden="1">PAC!$A$5:$BB$581</definedName>
    <definedName name="Z_BAE69E15_722A_4AD3_AA39_26D3FB03A867_.wvu.FilterData" localSheetId="0" hidden="1">PAC!$A$5:$BB$582</definedName>
    <definedName name="Z_BAEF2DD0_CB6A_4455_927E_0174EB9F91B7_.wvu.FilterData" localSheetId="0" hidden="1">PAC!$A$5:$BO$665</definedName>
    <definedName name="Z_BB310030_FC86_44C0_9BEA_FC412CA0FF00_.wvu.FilterData" localSheetId="0" hidden="1">PAC!$A$5:$BO$665</definedName>
    <definedName name="Z_BB828E6E_CA9B_4BBA_90AF_46C54A4C46AE_.wvu.FilterData" localSheetId="0" hidden="1">PAC!$A$5:$AV$426</definedName>
    <definedName name="Z_BBA3565F_F9F9_4CDD_9F4B_A347A237A27A_.wvu.FilterData" localSheetId="0" hidden="1">PAC!$A$5:$AV$581</definedName>
    <definedName name="Z_BBBE2F8B_237C_41B8_9FC8_221E7F46B13B_.wvu.FilterData" localSheetId="0" hidden="1">PAC!$A$5:$AZ$581</definedName>
    <definedName name="Z_BBD0A6BA_8AB6_486E_AFE9_6F19F35CC85F_.wvu.FilterData" localSheetId="0" hidden="1">PAC!$A$5:$BO$665</definedName>
    <definedName name="Z_BC11ED1D_DD25_450A_AEBD_ADC7ED5176D2_.wvu.FilterData" localSheetId="0" hidden="1">PAC!$A$5:$BB$582</definedName>
    <definedName name="Z_BC829787_B93F_4F66_8A80_B39F8E9FAB80_.wvu.FilterData" localSheetId="0" hidden="1">PAC!$A$5:$BB$582</definedName>
    <definedName name="Z_BCC46787_77DE_490D_B217_66ECFC6759A6_.wvu.FilterData" localSheetId="0" hidden="1">PAC!$A$5:$BO$665</definedName>
    <definedName name="Z_BCEED72F_C154_49B1_BB8D_8ABD526DE7E9_.wvu.FilterData" localSheetId="0" hidden="1">PAC!$A$5:$BB$582</definedName>
    <definedName name="Z_BCF99334_DC53_4E55_9756_BB8690CB7FA7_.wvu.FilterData" localSheetId="0" hidden="1">PAC!$A$5:$AV$581</definedName>
    <definedName name="Z_BD070A60_FB9E_4DDE_9C45_84C057469816_.wvu.FilterData" localSheetId="0" hidden="1">PAC!$A$5:$BO$665</definedName>
    <definedName name="Z_BD32A8B3_E103_4327_990C_AF9C919008AD_.wvu.FilterData" localSheetId="0" hidden="1">PAC!$A$5:$BO$665</definedName>
    <definedName name="Z_BDACD516_C670_452E_ACFB_DB1BAFAC075A_.wvu.FilterData" localSheetId="0" hidden="1">PAC!$A$5:$BO$665</definedName>
    <definedName name="Z_BDCF9551_65C1_4C83_80B1_353AD8E2AB34_.wvu.FilterData" localSheetId="0" hidden="1">PAC!$A$5:$BB$582</definedName>
    <definedName name="Z_BDDF7CB4_91B4_49FB_958E_973217FEFAC1_.wvu.FilterData" localSheetId="0" hidden="1">PAC!$A$5:$BO$665</definedName>
    <definedName name="Z_BE6EA046_B955_4D4F_A0AD_CD37BD2D43BC_.wvu.Cols" localSheetId="0" hidden="1">PAC!$B:$D,PAC!$F:$F,PAC!$I:$I,PAC!$L:$W,PAC!$AA:$AG</definedName>
    <definedName name="Z_BE6EA046_B955_4D4F_A0AD_CD37BD2D43BC_.wvu.FilterData" localSheetId="0" hidden="1">PAC!$A$5:$AV$581</definedName>
    <definedName name="Z_BE6EA046_B955_4D4F_A0AD_CD37BD2D43BC_.wvu.PrintArea" localSheetId="12" hidden="1">Domínios!$L$2:$L$20</definedName>
    <definedName name="Z_BE6EA046_B955_4D4F_A0AD_CD37BD2D43BC_.wvu.PrintArea" localSheetId="0" hidden="1">PAC!$A$2:$AV$206</definedName>
    <definedName name="Z_BE6EA046_B955_4D4F_A0AD_CD37BD2D43BC_.wvu.PrintTitles" localSheetId="0" hidden="1">PAC!$2:$5</definedName>
    <definedName name="Z_BE86C6A8_8FF8_48B5_9382_13C4F73E2BC2_.wvu.FilterData" localSheetId="0" hidden="1">PAC!$A$5:$BO$665</definedName>
    <definedName name="Z_BEAAEBCA_CC9A_430C_8A42_D33D8FF08828_.wvu.FilterData" localSheetId="0" hidden="1">PAC!$A$5:$AZ$581</definedName>
    <definedName name="Z_BEB0EC20_54CE_4820_B851_9F64FFBE1A6F_.wvu.FilterData" localSheetId="0" hidden="1">PAC!$A$5:$AZ$581</definedName>
    <definedName name="Z_BEB96599_796B_4789_9FFA_5075BE3E7257_.wvu.FilterData" localSheetId="0" hidden="1">PAC!$A$5:$BO$665</definedName>
    <definedName name="Z_BF093681_77D4_400C_A202_65298D2DFFA6_.wvu.FilterData" localSheetId="0" hidden="1">PAC!$A$5:$BO$665</definedName>
    <definedName name="Z_BF6806D2_FCA5_4CF9_A6EF_75E73529DDF9_.wvu.FilterData" localSheetId="0" hidden="1">PAC!$A$5:$AV$430</definedName>
    <definedName name="Z_BF7F0610_7B73_4B79_92EA_4CD96BB9B7A7_.wvu.FilterData" localSheetId="0" hidden="1">PAC!$A$5:$BO$665</definedName>
    <definedName name="Z_BF80A4FE_369E_4E54_A390_AD82396DFA17_.wvu.FilterData" localSheetId="0" hidden="1">PAC!$A$5:$BB$582</definedName>
    <definedName name="Z_BFBEEA55_ECA6_4240_BBB3_E7308752075A_.wvu.FilterData" localSheetId="0" hidden="1">PAC!$A$5:$BB$581</definedName>
    <definedName name="Z_BFDCF17D_7F4C_47AD_8214_46F3D2BC9D6B_.wvu.FilterData" localSheetId="0" hidden="1">PAC!$A$5:$AV$581</definedName>
    <definedName name="Z_C01E181E_43B1_44DE_8540_AE2C9BCE4487_.wvu.FilterData" localSheetId="0" hidden="1">PAC!$A$5:$AV$206</definedName>
    <definedName name="Z_C076D8B0_2A0D_4120_A1DC_4C2E57373F18_.wvu.FilterData" localSheetId="0" hidden="1">PAC!$A$5:$AZ$581</definedName>
    <definedName name="Z_C0A33525_2FAA_4399_909F_1A52282E6E9A_.wvu.Cols" localSheetId="0" hidden="1">PAC!$A:$A</definedName>
    <definedName name="Z_C0A33525_2FAA_4399_909F_1A52282E6E9A_.wvu.FilterData" localSheetId="11" hidden="1">'OUTRAS AÇÕES'!$A$3:$AZ$22</definedName>
    <definedName name="Z_C0A33525_2FAA_4399_909F_1A52282E6E9A_.wvu.FilterData" localSheetId="0" hidden="1">PAC!$A$5:$BB$582</definedName>
    <definedName name="Z_C0A33525_2FAA_4399_909F_1A52282E6E9A_.wvu.PrintArea" localSheetId="0" hidden="1">PAC!$A$1:$BB$488</definedName>
    <definedName name="Z_C0A33525_2FAA_4399_909F_1A52282E6E9A_.wvu.PrintTitles" localSheetId="0" hidden="1">PAC!$4:$5</definedName>
    <definedName name="Z_C0B14C3B_3080_4F0F_865E_90C500BF0D8B_.wvu.FilterData" localSheetId="0" hidden="1">PAC!$A$5:$BB$582</definedName>
    <definedName name="Z_C0B73CC6_E867_496E_B64B_A063C39D081E_.wvu.FilterData" localSheetId="0" hidden="1">PAC!$A$5:$BB$582</definedName>
    <definedName name="Z_C0CDECC4_368E_48BB_8F25_B713CF376460_.wvu.FilterData" localSheetId="0" hidden="1">PAC!$A$5:$BB$582</definedName>
    <definedName name="Z_C133CC15_623B_4967_8EC4_CCAA36A2D9BA_.wvu.FilterData" localSheetId="0" hidden="1">PAC!$A$5:$BO$665</definedName>
    <definedName name="Z_C1C6B6BE_D0FE_43A5_BEA5_E1BB55C0EDA8_.wvu.FilterData" localSheetId="0" hidden="1">PAC!$A$5:$BB$581</definedName>
    <definedName name="Z_C1E77A0F_2D09_4D5B_888B_48BF655A5122_.wvu.FilterData" localSheetId="0" hidden="1">PAC!$A$5:$BO$665</definedName>
    <definedName name="Z_C232A68B_285D_449C_BD1C_AD055BBDF5CD_.wvu.FilterData" localSheetId="0" hidden="1">PAC!$A$5:$BB$582</definedName>
    <definedName name="Z_C2404CB0_31B1_4CF9_B3A0_C2B896B55FBD_.wvu.FilterData" localSheetId="0" hidden="1">PAC!$A$5:$BO$665</definedName>
    <definedName name="Z_C25D0312_FA7A_489A_80D2_A4C50B4817C1_.wvu.FilterData" localSheetId="0" hidden="1">PAC!$A$5:$AV$206</definedName>
    <definedName name="Z_C2944B41_6D8D_4A9E_A9EC_7A2285D10399_.wvu.FilterData" localSheetId="0" hidden="1">PAC!$A$5:$BO$665</definedName>
    <definedName name="Z_C29F147A_EA02_4DF0_AE05_B942C68D1E84_.wvu.FilterData" localSheetId="0" hidden="1">PAC!$A$5:$AV$581</definedName>
    <definedName name="Z_C30EEED7_7E47_4F87_B9B2_B3EB657E0FE9_.wvu.FilterData" localSheetId="0" hidden="1">PAC!$A$5:$BO$665</definedName>
    <definedName name="Z_C3E86BF8_0748_4CAD_8829_C3AC9834828A_.wvu.FilterData" localSheetId="0" hidden="1">PAC!$A$5:$BO$665</definedName>
    <definedName name="Z_C43FD440_BAA5_4CCA_A567_F009E103131F_.wvu.FilterData" localSheetId="0" hidden="1">PAC!$A$5:$BO$665</definedName>
    <definedName name="Z_C48C164A_1FF1_4AA3_A432_FD66FF8ABC8B_.wvu.FilterData" localSheetId="0" hidden="1">PAC!$A$5:$BO$665</definedName>
    <definedName name="Z_C494EB05_13C8_4493_9F67_E9496B4F2AA9_.wvu.FilterData" localSheetId="0" hidden="1">PAC!$A$5:$AZ$581</definedName>
    <definedName name="Z_C49DCA3D_1EC6_48C1_BD7D_B3CB0E77DBF3_.wvu.FilterData" localSheetId="0" hidden="1">PAC!$A$5:$BO$665</definedName>
    <definedName name="Z_C4BA45CA_05B3_43B3_87A9_32C79BABD8BA_.wvu.FilterData" localSheetId="0" hidden="1">PAC!$A$5:$BB$582</definedName>
    <definedName name="Z_C4BD9BA9_3A5C_4460_A068_39CA155C8EC1_.wvu.FilterData" localSheetId="0" hidden="1">PAC!$A$5:$BB$582</definedName>
    <definedName name="Z_C4C632CE_DAF9_490A_9AB8_320B84EB85E3_.wvu.FilterData" localSheetId="0" hidden="1">PAC!$A$5:$AZ$581</definedName>
    <definedName name="Z_C522B015_72C3_4A7C_A494_3494637192F3_.wvu.FilterData" localSheetId="0" hidden="1">PAC!$A$5:$AV$581</definedName>
    <definedName name="Z_C5371693_72D9_45E0_9332_A5A1FB2E7B37_.wvu.FilterData" localSheetId="0" hidden="1">PAC!$A$5:$AV$206</definedName>
    <definedName name="Z_C5864B50_CE07_47D8_82A6_AEA3CC695984_.wvu.FilterData" localSheetId="0" hidden="1">PAC!$A$5:$AV$430</definedName>
    <definedName name="Z_C59A0A29_E0E3_4FF3_87D8_E867CF87AC4C_.wvu.FilterData" localSheetId="0" hidden="1">PAC!$A$5:$BB$582</definedName>
    <definedName name="Z_C5BB45D5_0938_4AD7_8E4B_59621593AED9_.wvu.FilterData" localSheetId="0" hidden="1">PAC!$A$5:$BB$582</definedName>
    <definedName name="Z_C5D564A2_07B1_4243_954B_BB1373BBE6D6_.wvu.FilterData" localSheetId="0" hidden="1">PAC!$A$5:$AV$581</definedName>
    <definedName name="Z_C64D1CF2_0234_4617_9C1E_5FF029232CA5_.wvu.FilterData" localSheetId="0" hidden="1">PAC!$A$5:$BO$665</definedName>
    <definedName name="Z_C67CDD12_35FA_4EC6_B4DA_167E4873EBFD_.wvu.FilterData" localSheetId="0" hidden="1">PAC!$A$5:$AV$206</definedName>
    <definedName name="Z_C6958CB7_C1E0_41C6_9ACB_6401D3AD4533_.wvu.FilterData" localSheetId="0" hidden="1">PAC!$A$5:$BB$581</definedName>
    <definedName name="Z_C69D3783_4AEC_4C72_931E_0001AF463D1A_.wvu.FilterData" localSheetId="0" hidden="1">PAC!$A$5:$BO$665</definedName>
    <definedName name="Z_C6BBDD73_E280_488F_BBCA_82FB6EA32DA8_.wvu.FilterData" localSheetId="0" hidden="1">PAC!$A$5:$AZ$581</definedName>
    <definedName name="Z_C6BC2AEB_6A2D_4575_8FC8_714EEFE1F6E6_.wvu.FilterData" localSheetId="0" hidden="1">PAC!$A$5:$BO$665</definedName>
    <definedName name="Z_C6C8A2B8_82F5_4C44_8311_FC0E4341E8E5_.wvu.FilterData" localSheetId="0" hidden="1">PAC!$A$5:$AZ$581</definedName>
    <definedName name="Z_C6CD6F89_328F_42AF_ACAA_AEBCC97CD67B_.wvu.FilterData" localSheetId="0" hidden="1">PAC!$A$5:$AV$581</definedName>
    <definedName name="Z_C6D77834_F669_4553_B6C0_6DBF97530BB1_.wvu.FilterData" localSheetId="0" hidden="1">PAC!$A$5:$BO$665</definedName>
    <definedName name="Z_C701D53D_C2E1_4F36_948F_BB11B8D01E0E_.wvu.FilterData" localSheetId="0" hidden="1">PAC!$A$5:$BO$665</definedName>
    <definedName name="Z_C71E16F7_7B0B_4418_9DEF_14E34FB4BB20_.wvu.FilterData" localSheetId="0" hidden="1">PAC!$A$5:$BO$665</definedName>
    <definedName name="Z_C74B7458_CA0D_46AE_91E1_2D9A2A167581_.wvu.FilterData" localSheetId="0" hidden="1">PAC!$A$5:$BO$665</definedName>
    <definedName name="Z_C75FDF13_97B1_4513_8E91_921C93BB97C3_.wvu.FilterData" localSheetId="0" hidden="1">PAC!$A$5:$AV$581</definedName>
    <definedName name="Z_C764A269_5112_4707_9022_F7FD8BE4E904_.wvu.FilterData" localSheetId="0" hidden="1">PAC!$A$5:$BB$582</definedName>
    <definedName name="Z_C7BEBF84_8572_4E17_856A_1AB19EF06C6B_.wvu.FilterData" localSheetId="0" hidden="1">PAC!$A$5:$BO$665</definedName>
    <definedName name="Z_C7E28CD8_3930_4187_BC73_B7AEF3C6B2C7_.wvu.FilterData" localSheetId="0" hidden="1">PAC!$A$5:$BO$665</definedName>
    <definedName name="Z_C7EF2CCE_A2A2_49AF_A64F_456CD598E6EA_.wvu.FilterData" localSheetId="0" hidden="1">PAC!$A$5:$BB$582</definedName>
    <definedName name="Z_C8498702_4974_4AAE_A95A_0152674AF1AB_.wvu.FilterData" localSheetId="0" hidden="1">PAC!$A$5:$AZ$581</definedName>
    <definedName name="Z_C897A671_2527_43C0_AEF3_F90218EDC4CE_.wvu.FilterData" localSheetId="0" hidden="1">PAC!$A$5:$BO$665</definedName>
    <definedName name="Z_C8A79418_EAC3_4385_915A_F2A84F9DEBED_.wvu.FilterData" localSheetId="0" hidden="1">PAC!$A$5:$AV$206</definedName>
    <definedName name="Z_C9323EC8_BF0C_4475_B1B4_339215A624A7_.wvu.FilterData" localSheetId="0" hidden="1">PAC!$A$5:$BB$582</definedName>
    <definedName name="Z_C9870795_A664_46D5_8C70_2FBF1D64E3CC_.wvu.FilterData" localSheetId="0" hidden="1">PAC!$A$5:$AV$581</definedName>
    <definedName name="Z_C9CB659D_FAD1_46C6_AA95_FB91D76C5183_.wvu.FilterData" localSheetId="0" hidden="1">PAC!$A$5:$BB$582</definedName>
    <definedName name="Z_CA214D92_3CEB_4309_A2B4_2C370EC84CFF_.wvu.FilterData" localSheetId="0" hidden="1">PAC!$A$5:$BO$665</definedName>
    <definedName name="Z_CA332974_1D4D_44C9_ABD1_6476746ECC64_.wvu.FilterData" localSheetId="0" hidden="1">PAC!$A$5:$BB$581</definedName>
    <definedName name="Z_CA55DB2A_E678_4174_92D3_BC272136F42A_.wvu.FilterData" localSheetId="0" hidden="1">PAC!$A$5:$BO$665</definedName>
    <definedName name="Z_CA5F528E_ED79_479A_9F55_D51764F09EB1_.wvu.FilterData" localSheetId="0" hidden="1">PAC!$A$5:$BB$581</definedName>
    <definedName name="Z_CAF4A57A_0BFE_4861_9CB9_F04950F1C668_.wvu.FilterData" localSheetId="0" hidden="1">PAC!$A$5:$BB$582</definedName>
    <definedName name="Z_CB188EA7_EA0C_4713_8A96_035A62320889_.wvu.FilterData" localSheetId="0" hidden="1">PAC!$A$5:$BB$582</definedName>
    <definedName name="Z_CB1D9D3B_3754_4A67_A488_53E6648952FC_.wvu.FilterData" localSheetId="0" hidden="1">PAC!$A$5:$BO$665</definedName>
    <definedName name="Z_CB83F373_65FD_490C_9354_58A8139182BA_.wvu.FilterData" localSheetId="0" hidden="1">PAC!$A$5:$BO$665</definedName>
    <definedName name="Z_CBE2DA39_2612_465F_B793_A2842CBA1640_.wvu.FilterData" localSheetId="0" hidden="1">PAC!$A$5:$BB$582</definedName>
    <definedName name="Z_CC1A8081_9455_47EE_928D_E9CE184B8C0E_.wvu.FilterData" localSheetId="0" hidden="1">PAC!$A$5:$BO$665</definedName>
    <definedName name="Z_CC6B3FC1_C71F_42D1_96A7_D0AB16A27353_.wvu.FilterData" localSheetId="0" hidden="1">PAC!$A$5:$AV$581</definedName>
    <definedName name="Z_CC79D028_6417_4928_8460_CE1FC18C3392_.wvu.FilterData" localSheetId="0" hidden="1">PAC!$A$5:$AZ$581</definedName>
    <definedName name="Z_CC9ADD03_1DDB_4DBF_A1E5_2ECCBEBE3BA3_.wvu.FilterData" localSheetId="0" hidden="1">PAC!$A$5:$BB$582</definedName>
    <definedName name="Z_CCA368AC_3746_48FB_9178_6AFADAF15CD6_.wvu.FilterData" localSheetId="0" hidden="1">PAC!$A$5:$BB$581</definedName>
    <definedName name="Z_CCA813FA_4DB4_4458_939A_5A91834A6D21_.wvu.FilterData" localSheetId="0" hidden="1">PAC!$A$5:$AV$581</definedName>
    <definedName name="Z_CCC7FED5_B40A_43C1_9E11_921ACB6AB46A_.wvu.FilterData" localSheetId="0" hidden="1">PAC!$A$5:$BB$582</definedName>
    <definedName name="Z_CD06B37B_EEE9_460B_9409_02F9E4D1E162_.wvu.FilterData" localSheetId="0" hidden="1">PAC!$A$5:$BO$665</definedName>
    <definedName name="Z_CD1E36C6_2BDA_4A40_8F79_34D9ACB38431_.wvu.FilterData" localSheetId="0" hidden="1">PAC!$A$5:$AV$430</definedName>
    <definedName name="Z_CD2A7480_653C_4B38_9AB0_D0534F8A60A4_.wvu.FilterData" localSheetId="0" hidden="1">PAC!$A$5:$BO$665</definedName>
    <definedName name="Z_CD37F9CF_97B8_4692_BD28_D1E75D2C196B_.wvu.FilterData" localSheetId="0" hidden="1">PAC!$A$5:$AV$581</definedName>
    <definedName name="Z_CDC35B72_0D02_497E_BFD7_C387F3B411D1_.wvu.FilterData" localSheetId="0" hidden="1">PAC!$A$5:$AV$430</definedName>
    <definedName name="Z_CDD456B3_0996_4D4A_BC4E_ECB63B91EA9A_.wvu.FilterData" localSheetId="0" hidden="1">PAC!$A$5:$BO$665</definedName>
    <definedName name="Z_CDDD5C26_3092_4451_B154_542718CC7AE5_.wvu.FilterData" localSheetId="0" hidden="1">PAC!$A$5:$AV$581</definedName>
    <definedName name="Z_CE0F947B_76D8_4420_9ACB_57C2A4CCE14C_.wvu.FilterData" localSheetId="0" hidden="1">PAC!$A$5:$BO$665</definedName>
    <definedName name="Z_CE69ED1F_7213_4E3C_9DE9_7399F58CC8D5_.wvu.FilterData" localSheetId="0" hidden="1">PAC!$A$5:$BO$665</definedName>
    <definedName name="Z_CE808D95_834E_4052_9B38_EF21071C6D49_.wvu.FilterData" localSheetId="0" hidden="1">PAC!$A$5:$AV$430</definedName>
    <definedName name="Z_CEA65187_FFE5_4BD9_BAC1_9F136B8EF654_.wvu.FilterData" localSheetId="0" hidden="1">PAC!$A$5:$BB$582</definedName>
    <definedName name="Z_CF014F6D_1FC2_4974_B482_E0CBCC6D96D4_.wvu.FilterData" localSheetId="0" hidden="1">PAC!$A$5:$BB$582</definedName>
    <definedName name="Z_CF287A84_CEE7_48B0_A259_4CE9553AA11C_.wvu.FilterData" localSheetId="0" hidden="1">PAC!$A$5:$BB$582</definedName>
    <definedName name="Z_CF4E1FF1_9FAC_4757_A5C8_E49193A704E0_.wvu.FilterData" localSheetId="0" hidden="1">PAC!$A$5:$BB$581</definedName>
    <definedName name="Z_CF5A85F8_01BA_42DB_A6A4_64E40903FCF0_.wvu.FilterData" localSheetId="0" hidden="1">PAC!$A$5:$BB$582</definedName>
    <definedName name="Z_CF5F2431_8ADC_41E2_B614_94773F4926EF_.wvu.FilterData" localSheetId="0" hidden="1">PAC!$A$5:$AV$581</definedName>
    <definedName name="Z_CF771382_7C6C_490B_AFBB_7288DCA3AD27_.wvu.FilterData" localSheetId="0" hidden="1">PAC!$A$5:$BO$665</definedName>
    <definedName name="Z_CFA3768A_3A2B_4D87_9D3F_72DFAF23C5EE_.wvu.FilterData" localSheetId="0" hidden="1">PAC!$A$5:$BO$665</definedName>
    <definedName name="Z_CFC6015C_30F4_4A7B_93DC_F6F6A8D56821_.wvu.FilterData" localSheetId="0" hidden="1">PAC!$A$5:$BO$665</definedName>
    <definedName name="Z_CFD3E17B_3789_419D_9EF2_C448B37A1B1A_.wvu.FilterData" localSheetId="0" hidden="1">PAC!$A$5:$BB$582</definedName>
    <definedName name="Z_CFF4E8D6_1A44_4E00_A406_EECF823F4BB7_.wvu.FilterData" localSheetId="0" hidden="1">PAC!$A$5:$BO$665</definedName>
    <definedName name="Z_D07066E9_C1EF_4B33_AAC9_40A1DD1D56AC_.wvu.FilterData" localSheetId="0" hidden="1">PAC!$A$5:$BB$581</definedName>
    <definedName name="Z_D0F8422C_3648_49B3_AE21_B757B14D7CB6_.wvu.FilterData" localSheetId="0" hidden="1">PAC!$A$5:$BO$665</definedName>
    <definedName name="Z_D10CD04A_7008_48BF_B126_6955A116DA63_.wvu.FilterData" localSheetId="0" hidden="1">PAC!$A$5:$BO$665</definedName>
    <definedName name="Z_D11F26F2_B9CF_48E3_9AA8_A8A84AAFBE25_.wvu.FilterData" localSheetId="0" hidden="1">PAC!$A$5:$AV$581</definedName>
    <definedName name="Z_D14A7627_FA90_4B21_98E5_A2371A048643_.wvu.FilterData" localSheetId="0" hidden="1">PAC!$A$5:$AV$581</definedName>
    <definedName name="Z_D1722278_7E79_40D0_A838_1DE7F82E3415_.wvu.FilterData" localSheetId="0" hidden="1">PAC!$A$5:$AV$206</definedName>
    <definedName name="Z_D183D387_9691_47AA_A282_FDD66B911E19_.wvu.FilterData" localSheetId="0" hidden="1">PAC!$A$5:$AV$581</definedName>
    <definedName name="Z_D2BCB3BD_990D_4763_96C5_8D433AEA7954_.wvu.FilterData" localSheetId="0" hidden="1">PAC!$A$5:$BO$665</definedName>
    <definedName name="Z_D34EAA90_EA67_47E2_A96B_247B9D2BA5E6_.wvu.FilterData" localSheetId="0" hidden="1">PAC!$A$5:$BB$581</definedName>
    <definedName name="Z_D373811A_A797_4752_B6E0_C3D38196E998_.wvu.FilterData" localSheetId="0" hidden="1">PAC!$A$5:$BB$582</definedName>
    <definedName name="Z_D44C75A7_0376_4B21_89D8_12F1054D40D1_.wvu.FilterData" localSheetId="0" hidden="1">PAC!$A$5:$AV$581</definedName>
    <definedName name="Z_D457754A_17CD_4A82_9DC3_B73446BDB5D3_.wvu.FilterData" localSheetId="0" hidden="1">PAC!$A$5:$AV$581</definedName>
    <definedName name="Z_D46448D0_7E98_4B05_BFAC_FCA9171EA0B5_.wvu.FilterData" localSheetId="0" hidden="1">PAC!$A$5:$AV$581</definedName>
    <definedName name="Z_D478EF42_074A_40E2_9A2E_D98CA7244E0B_.wvu.FilterData" localSheetId="0" hidden="1">PAC!$A$5:$BO$665</definedName>
    <definedName name="Z_D4AEE72C_0F7C_4950_A638_4375ED8170F1_.wvu.FilterData" localSheetId="0" hidden="1">PAC!$A$5:$BB$581</definedName>
    <definedName name="Z_D4F48722_9276_4865_929D_5D14F1F6EC08_.wvu.FilterData" localSheetId="0" hidden="1">PAC!$A$5:$BB$582</definedName>
    <definedName name="Z_D4F7F7C7_E8B3_4D56_8060_77A6185D91EF_.wvu.FilterData" localSheetId="0" hidden="1">PAC!$A$5:$BO$665</definedName>
    <definedName name="Z_D5210075_C413_42FF_9260_81827F138875_.wvu.FilterData" localSheetId="0" hidden="1">PAC!$A$5:$BB$582</definedName>
    <definedName name="Z_D52C5FE5_3EB4_4ABF_88F0_560656D1B818_.wvu.FilterData" localSheetId="0" hidden="1">PAC!$A$5:$BB$582</definedName>
    <definedName name="Z_D5707DC1_6055_44A8_8A60_726B3E260BB0_.wvu.FilterData" localSheetId="0" hidden="1">PAC!$A$5:$BB$582</definedName>
    <definedName name="Z_D62F4FD7_D83A_4A33_9EF3_EFA696D6C87C_.wvu.FilterData" localSheetId="0" hidden="1">PAC!$A$5:$BO$665</definedName>
    <definedName name="Z_D6547BE1_1659_4F93_82B9_44678ECE0A12_.wvu.FilterData" localSheetId="0" hidden="1">PAC!$A$5:$BB$582</definedName>
    <definedName name="Z_D67A409E_DB25_41E8_BBBA_258CAA6196DF_.wvu.FilterData" localSheetId="0" hidden="1">PAC!$A$5:$BB$582</definedName>
    <definedName name="Z_D697B490_E6D5_4290_806F_BE53D3D19AD6_.wvu.FilterData" localSheetId="0" hidden="1">PAC!$A$5:$BB$581</definedName>
    <definedName name="Z_D6C5FC3C_E7CC_49C8_9B05_9796435B32D4_.wvu.FilterData" localSheetId="0" hidden="1">PAC!$A$5:$AV$206</definedName>
    <definedName name="Z_D6DECCDF_7CE9_4848_A4CF_567990DDB7EA_.wvu.FilterData" localSheetId="0" hidden="1">PAC!$A$5:$BB$582</definedName>
    <definedName name="Z_D717D9F8_C478_4763_9FA6_76DE2047EECE_.wvu.FilterData" localSheetId="0" hidden="1">PAC!$A$5:$BO$665</definedName>
    <definedName name="Z_D719AB18_DF6D_4528_951F_D1C758D02E88_.wvu.FilterData" localSheetId="0" hidden="1">PAC!$A$5:$BO$665</definedName>
    <definedName name="Z_D7606604_88F2_465B_BEC1_FAE5CF88EDC6_.wvu.FilterData" localSheetId="0" hidden="1">PAC!$A$5:$BB$581</definedName>
    <definedName name="Z_D78A6BED_CF9A_417E_85A5_788094780827_.wvu.FilterData" localSheetId="0" hidden="1">PAC!$A$5:$BB$582</definedName>
    <definedName name="Z_D795FD86_1DD8_4269_90C8_889C7A6F8BD4_.wvu.FilterData" localSheetId="0" hidden="1">PAC!$A$5:$BB$581</definedName>
    <definedName name="Z_D8880B0F_B68C_450B_8851_1A776775B641_.wvu.FilterData" localSheetId="0" hidden="1">PAC!$A$5:$BO$665</definedName>
    <definedName name="Z_D8ABEF36_DA5B_4C58_9EC2_00D34C134F38_.wvu.FilterData" localSheetId="0" hidden="1">PAC!$A$5:$BB$582</definedName>
    <definedName name="Z_D8DCF320_E2F1_4396_8260_C54C083FA775_.wvu.FilterData" localSheetId="0" hidden="1">PAC!$A$5:$BO$665</definedName>
    <definedName name="Z_D91120E5_81E1_4082_9ADD_40B18E7A8776_.wvu.FilterData" localSheetId="0" hidden="1">PAC!$A$5:$AV$430</definedName>
    <definedName name="Z_D91F47E8_F4E3_4485_BC2B_C04D3C937EA8_.wvu.FilterData" localSheetId="0" hidden="1">PAC!$A$5:$BB$582</definedName>
    <definedName name="Z_D92AA7C4_35C3_49A9_B067_D0F2ADA931C3_.wvu.FilterData" localSheetId="0" hidden="1">PAC!$A$5:$BB$582</definedName>
    <definedName name="Z_D969BB9C_AD89_4C68_9345_12562F08894B_.wvu.FilterData" localSheetId="0" hidden="1">PAC!$A$5:$AZ$581</definedName>
    <definedName name="Z_D9AEAF01_B831_4DC9_B758_069C965C1FB4_.wvu.FilterData" localSheetId="0" hidden="1">PAC!$A$5:$BB$582</definedName>
    <definedName name="Z_D9AFE157_A916_4AED_A3DC_128A43647997_.wvu.FilterData" localSheetId="0" hidden="1">PAC!$A$5:$BO$665</definedName>
    <definedName name="Z_DA006A09_3920_4EB8_8D18_05EA3B77B1BA_.wvu.FilterData" localSheetId="0" hidden="1">PAC!$A$5:$AV$206</definedName>
    <definedName name="Z_DA395631_73C5_45A4_9CF8_062EC96E15BF_.wvu.FilterData" localSheetId="0" hidden="1">PAC!$A$5:$AV$581</definedName>
    <definedName name="Z_DAB2AD7E_F897_4BFC_B45E_D0078B7A7817_.wvu.FilterData" localSheetId="0" hidden="1">PAC!$A$5:$BO$665</definedName>
    <definedName name="Z_DAB5E49A_57CE_4C01_AB5E_888E3EB8609C_.wvu.FilterData" localSheetId="0" hidden="1">PAC!$A$5:$AV$206</definedName>
    <definedName name="Z_DAC7BE6F_31DE_4CC1_B003_60B496048C9F_.wvu.FilterData" localSheetId="0" hidden="1">PAC!$A$5:$AV$430</definedName>
    <definedName name="Z_DBC6E6B8_D807_411F_8E84_CCBAEC4B896C_.wvu.FilterData" localSheetId="0" hidden="1">PAC!$A$5:$BO$665</definedName>
    <definedName name="Z_DC44D205_F703_4FED_99CE_8BC18D8556DF_.wvu.FilterData" localSheetId="0" hidden="1">PAC!$A$5:$BB$581</definedName>
    <definedName name="Z_DC5C6885_E68F_4434_91D4_11AC24EA7DC1_.wvu.FilterData" localSheetId="0" hidden="1">PAC!$A$5:$AZ$581</definedName>
    <definedName name="Z_DC6EA27D_2954_414C_B21C_92B0E0E6959D_.wvu.FilterData" localSheetId="0" hidden="1">PAC!$A$5:$BB$582</definedName>
    <definedName name="Z_DC9157CD_2DAF_4329_8FDD_8B50F60655C1_.wvu.FilterData" localSheetId="0" hidden="1">PAC!$A$5:$BB$582</definedName>
    <definedName name="Z_DCE89B74_54A6_4F8D_823B_C52076CB0B1D_.wvu.FilterData" localSheetId="0" hidden="1">PAC!$A$5:$BO$665</definedName>
    <definedName name="Z_DCEE469A_6811_438D_8916_F4917F853478_.wvu.FilterData" localSheetId="0" hidden="1">PAC!$A$5:$BO$665</definedName>
    <definedName name="Z_DD19FCEA_BE60_47B5_8A8A_73DFE5FF49CF_.wvu.FilterData" localSheetId="0" hidden="1">PAC!$A$5:$BB$582</definedName>
    <definedName name="Z_DD3C4617_8A01_40C2_9E92_6C4834B4EA38_.wvu.FilterData" localSheetId="0" hidden="1">PAC!$A$5:$BB$581</definedName>
    <definedName name="Z_DD75F63C_452F_4076_AFDF_688758D9682B_.wvu.FilterData" localSheetId="0" hidden="1">PAC!$A$5:$BB$582</definedName>
    <definedName name="Z_DDA50D38_E855_42CD_B8D8_B05844D4E4B4_.wvu.FilterData" localSheetId="0" hidden="1">PAC!$A$5:$BB$582</definedName>
    <definedName name="Z_DDA5C451_E0C8_44B2_8F7A_C825143AD6B4_.wvu.FilterData" localSheetId="0" hidden="1">PAC!$A$5:$AV$430</definedName>
    <definedName name="Z_DDB7858D_4148_40C1_9688_54ECABB153D7_.wvu.FilterData" localSheetId="0" hidden="1">PAC!$A$5:$AZ$581</definedName>
    <definedName name="Z_DDF3EB74_46A4_4EA1_AF7C_4AD61936515A_.wvu.FilterData" localSheetId="0" hidden="1">PAC!$A$5:$BB$581</definedName>
    <definedName name="Z_DDFD7014_31A7_498B_9854_46F5C8505045_.wvu.FilterData" localSheetId="0" hidden="1">PAC!$A$5:$BB$582</definedName>
    <definedName name="Z_DE33E31D_E728_473A_B84B_AF97D6CCD6E2_.wvu.FilterData" localSheetId="0" hidden="1">PAC!$A$5:$AV$430</definedName>
    <definedName name="Z_DE98C240_0935_49F1_BD48_D0AC23DFF329_.wvu.FilterData" localSheetId="0" hidden="1">PAC!$A$5:$BB$582</definedName>
    <definedName name="Z_DEA4DC02_2959_4542_904D_7E71489E19BC_.wvu.FilterData" localSheetId="0" hidden="1">PAC!$A$5:$BO$665</definedName>
    <definedName name="Z_DF2C41C7_4ED9_4541_B53A_347690C55A70_.wvu.FilterData" localSheetId="0" hidden="1">PAC!$A$5:$BO$665</definedName>
    <definedName name="Z_DFACD1E6_EE8E_466F_AE4B_1B3E756A1A8A_.wvu.FilterData" localSheetId="0" hidden="1">PAC!$A$5:$AZ$581</definedName>
    <definedName name="Z_DFB92930_9B94_41CD_8434_F722661B4A1E_.wvu.FilterData" localSheetId="0" hidden="1">PAC!$A$5:$BO$665</definedName>
    <definedName name="Z_DFE6F656_F2D7_4214_AF10_BFB257762708_.wvu.FilterData" localSheetId="0" hidden="1">PAC!$A$5:$AV$206</definedName>
    <definedName name="Z_DFEF3855_D0DC_4AB6_9651_14FB103C3415_.wvu.FilterData" localSheetId="0" hidden="1">PAC!$A$5:$BO$665</definedName>
    <definedName name="Z_E0111159_13D7_45C3_B7BF_932B98CC7986_.wvu.FilterData" localSheetId="0" hidden="1">PAC!$A$5:$BB$581</definedName>
    <definedName name="Z_E0153A06_994B_47F0_801E_782640423463_.wvu.FilterData" localSheetId="0" hidden="1">PAC!$A$5:$BO$665</definedName>
    <definedName name="Z_E0448F15_3878_4975_AFE8_3447570AA82C_.wvu.FilterData" localSheetId="0" hidden="1">PAC!$A$5:$BB$582</definedName>
    <definedName name="Z_E0BE391A_CC67_4A60_89AA_92E5B9D3D6FE_.wvu.FilterData" localSheetId="0" hidden="1">PAC!$A$5:$BO$665</definedName>
    <definedName name="Z_E0E0D605_FEE7_4674_8D0D_D88EF66A1C73_.wvu.FilterData" localSheetId="0" hidden="1">PAC!$A$5:$BB$581</definedName>
    <definedName name="Z_E0F9F9D3_315F_4B3D_8208_5DCEB30DEF83_.wvu.FilterData" localSheetId="0" hidden="1">PAC!$A$5:$BO$665</definedName>
    <definedName name="Z_E114DD48_20F8_45BD_8430_5CC4A7385A3E_.wvu.FilterData" localSheetId="0" hidden="1">PAC!$A$5:$AV$206</definedName>
    <definedName name="Z_E14466F5_A176_42B5_843F_747DDF79BBC7_.wvu.FilterData" localSheetId="0" hidden="1">PAC!$A$5:$BO$665</definedName>
    <definedName name="Z_E1567E5E_F0F7_4872_80AD_FD3F89FB94BF_.wvu.FilterData" localSheetId="0" hidden="1">PAC!$A$5:$BO$665</definedName>
    <definedName name="Z_E1B62CBA_59F6_4581_BA84_F5776F92FA65_.wvu.FilterData" localSheetId="0" hidden="1">PAC!$A$5:$AV$581</definedName>
    <definedName name="Z_E1BB512E_C93B_4AFE_A0F8_C99BAEB406CF_.wvu.FilterData" localSheetId="0" hidden="1">PAC!$A$5:$AV$581</definedName>
    <definedName name="Z_E1D687FD_80B7_4E1E_A1D0_A79A39974782_.wvu.FilterData" localSheetId="0" hidden="1">PAC!$A$5:$BO$665</definedName>
    <definedName name="Z_E20810C3_4518_4317_B61B_5393598711C9_.wvu.FilterData" localSheetId="0" hidden="1">PAC!$A$5:$BB$581</definedName>
    <definedName name="Z_E21289E9_D675_4B47_BF31_0EFB36DC0C89_.wvu.FilterData" localSheetId="0" hidden="1">PAC!$A$5:$BO$665</definedName>
    <definedName name="Z_E23021BF_E1A2_4F01_BF6A_382317788E72_.wvu.FilterData" localSheetId="0" hidden="1">PAC!$A$5:$AV$581</definedName>
    <definedName name="Z_E2549E0A_4416_4D0E_968C_BD2223E5686C_.wvu.FilterData" localSheetId="0" hidden="1">PAC!$A$5:$BO$665</definedName>
    <definedName name="Z_E2A14379_E019_4B5E_A355_1DFC880EBEC9_.wvu.FilterData" localSheetId="0" hidden="1">PAC!$A$5:$BO$665</definedName>
    <definedName name="Z_E2CCA331_18E9_4117_A82E_B8CA7F75B255_.wvu.FilterData" localSheetId="0" hidden="1">PAC!$A$5:$BO$665</definedName>
    <definedName name="Z_E2DF7259_AFC2_477C_B1D1_2C9D708171E2_.wvu.FilterData" localSheetId="0" hidden="1">PAC!$A$5:$BO$665</definedName>
    <definedName name="Z_E2F69574_B8A9_43F1_95D4_5C65FB00CE30_.wvu.FilterData" localSheetId="0" hidden="1">PAC!$A$5:$AV$581</definedName>
    <definedName name="Z_E377701B_12B0_40ED_A888_0BA05348DF5A_.wvu.FilterData" localSheetId="0" hidden="1">PAC!$A$5:$BO$665</definedName>
    <definedName name="Z_E3BD65C7_28AF_4588_B550_0F7E84154BAA_.wvu.FilterData" localSheetId="11" hidden="1">'OUTRAS AÇÕES'!$A$3:$AZ$22</definedName>
    <definedName name="Z_E3BD65C7_28AF_4588_B550_0F7E84154BAA_.wvu.FilterData" localSheetId="0" hidden="1">PAC!$A$5:$BB$582</definedName>
    <definedName name="Z_E3BD65C7_28AF_4588_B550_0F7E84154BAA_.wvu.PrintArea" localSheetId="0" hidden="1">PAC!$B$2:$AC$471</definedName>
    <definedName name="Z_E3BD65C7_28AF_4588_B550_0F7E84154BAA_.wvu.PrintTitles" localSheetId="0" hidden="1">PAC!$4:$5</definedName>
    <definedName name="Z_E47B36BD_A84E_42B1_A0D0_7ABFE0ED1863_.wvu.FilterData" localSheetId="0" hidden="1">PAC!$A$5:$AV$581</definedName>
    <definedName name="Z_E49A87C6_7EE3_463A_88E8_AAF26F23EA8A_.wvu.FilterData" localSheetId="0" hidden="1">PAC!$A$5:$BB$582</definedName>
    <definedName name="Z_E4B979B4_6481_42BE_A778_795A2A243E1E_.wvu.FilterData" localSheetId="0" hidden="1">PAC!$A$5:$BB$581</definedName>
    <definedName name="Z_E54C15AA_6B4B_4B70_BD5D_F9B29D6E2578_.wvu.FilterData" localSheetId="0" hidden="1">PAC!$A$5:$BB$582</definedName>
    <definedName name="Z_E57A6DDB_8D98_4597_86C3_31E9281205EF_.wvu.FilterData" localSheetId="0" hidden="1">PAC!$A$5:$BO$665</definedName>
    <definedName name="Z_E587C152_5D34_4510_A2FD_E3CB75228B4E_.wvu.FilterData" localSheetId="0" hidden="1">PAC!$A$5:$BB$581</definedName>
    <definedName name="Z_E59ACA51_124F_4528_A23C_038B0E8AC2F0_.wvu.FilterData" localSheetId="0" hidden="1">PAC!$A$5:$BB$582</definedName>
    <definedName name="Z_E5DBFF97_FC47_41C9_97A9_D955B552FE19_.wvu.FilterData" localSheetId="0" hidden="1">PAC!$A$5:$AZ$581</definedName>
    <definedName name="Z_E5F33FC1_449E_471D_B258_4226503DECF5_.wvu.FilterData" localSheetId="0" hidden="1">PAC!$A$5:$AV$206</definedName>
    <definedName name="Z_E61A195D_6898_4D8B_9C7C_C2BC60671B42_.wvu.FilterData" localSheetId="0" hidden="1">PAC!$A$5:$BO$665</definedName>
    <definedName name="Z_E654B642_D755_4382_A201_AE3DBE011C24_.wvu.FilterData" localSheetId="0" hidden="1">PAC!$A$5:$BB$581</definedName>
    <definedName name="Z_E68492C6_5D00_4758_8363_E1905F9720A1_.wvu.FilterData" localSheetId="0" hidden="1">PAC!$A$5:$BO$665</definedName>
    <definedName name="Z_E689F3E4_5B8E_45C4_A3A8_E1237534FE8C_.wvu.FilterData" localSheetId="0" hidden="1">PAC!$A$5:$AV$581</definedName>
    <definedName name="Z_E68F9862_EC00_4BB5_BB6F_BABE96D0301C_.wvu.FilterData" localSheetId="0" hidden="1">PAC!$A$5:$BB$582</definedName>
    <definedName name="Z_E6C47E81_507C_420C_BA97_3AA7DCCCB32F_.wvu.FilterData" localSheetId="0" hidden="1">PAC!$A$5:$AV$581</definedName>
    <definedName name="Z_E6D1B2F7_685F_4625_8CCB_2EF9C5824C49_.wvu.FilterData" localSheetId="0" hidden="1">PAC!$A$5:$BO$665</definedName>
    <definedName name="Z_E6D7D49A_8C28_44B4_AA67_3E818C3BDA11_.wvu.FilterData" localSheetId="0" hidden="1">PAC!$A$5:$BO$665</definedName>
    <definedName name="Z_E70C786B_5142_4B32_AAAD_438254F1CF8B_.wvu.FilterData" localSheetId="0" hidden="1">PAC!$A$5:$BB$582</definedName>
    <definedName name="Z_E7BE41BB_DD64_4867_A36C_80123B4FA4B4_.wvu.FilterData" localSheetId="0" hidden="1">PAC!$A$5:$BO$665</definedName>
    <definedName name="Z_E7BFBB0C_3D6E_4726_BF34_6BD9D00275EA_.wvu.FilterData" localSheetId="0" hidden="1">PAC!$A$5:$BO$665</definedName>
    <definedName name="Z_E7C5CA2A_CB9D_478C_94BC_9E929E2F0150_.wvu.FilterData" localSheetId="0" hidden="1">PAC!$A$5:$BB$582</definedName>
    <definedName name="Z_E7DCC505_A16E_4124_9594_103064851557_.wvu.FilterData" localSheetId="0" hidden="1">PAC!$A$5:$BB$581</definedName>
    <definedName name="Z_E7E5CF6F_8048_4F83_AEFA_7C62E3F1663B_.wvu.FilterData" localSheetId="0" hidden="1">PAC!$A$5:$BB$582</definedName>
    <definedName name="Z_E7E97602_CAD1_491B_A4D3_2C3EEDDA41DE_.wvu.FilterData" localSheetId="0" hidden="1">PAC!$A$5:$BO$665</definedName>
    <definedName name="Z_E8A2E9A1_EF8C_40A3_8A0B_10C5FB7D93E9_.wvu.FilterData" localSheetId="0" hidden="1">PAC!$A$5:$BB$582</definedName>
    <definedName name="Z_E8F8DA6A_8861_418A_836D_43DD62E67864_.wvu.FilterData" localSheetId="0" hidden="1">PAC!$A$5:$AV$581</definedName>
    <definedName name="Z_E93B68B3_A4E3_4473_ADDC_66523F7AAAF8_.wvu.FilterData" localSheetId="0" hidden="1">PAC!$A$5:$BO$665</definedName>
    <definedName name="Z_EA7A2DBF_83EA_4740_B636_6F792B73671C_.wvu.FilterData" localSheetId="0" hidden="1">PAC!$A$5:$AZ$581</definedName>
    <definedName name="Z_EAA2B647_3112_4975_8812_BD1074ACF8DF_.wvu.FilterData" localSheetId="0" hidden="1">PAC!$A$5:$AV$581</definedName>
    <definedName name="Z_EAABEBBB_765E_46D7_8902_C53FF7B26FAE_.wvu.FilterData" localSheetId="0" hidden="1">PAC!$A$5:$BO$665</definedName>
    <definedName name="Z_EABA83E1_4C49_4358_A435_D6B442CCA6C1_.wvu.FilterData" localSheetId="0" hidden="1">PAC!$A$5:$AZ$581</definedName>
    <definedName name="Z_EAC0BF0F_5322_480B_9F0D_09C3A2E39AE3_.wvu.FilterData" localSheetId="0" hidden="1">PAC!$A$5:$BB$582</definedName>
    <definedName name="Z_EAD16454_0809_4B50_AAB2_3CECDCA92CD2_.wvu.FilterData" localSheetId="0" hidden="1">PAC!$A$5:$BB$582</definedName>
    <definedName name="Z_EAE56EC0_AF0B_4255_97D9_C9C983472D45_.wvu.FilterData" localSheetId="0" hidden="1">PAC!$A$5:$BB$582</definedName>
    <definedName name="Z_EB08D8E3_7B3C_4F5E_99A3_3F7AFA059C8B_.wvu.FilterData" localSheetId="0" hidden="1">PAC!$A$5:$BO$665</definedName>
    <definedName name="Z_EB0FDF68_1F63_433D_A97B_9F739F6A4321_.wvu.FilterData" localSheetId="0" hidden="1">PAC!$A$5:$BB$582</definedName>
    <definedName name="Z_EC2AF34D_1171_46B0_B313_7A6E59AE4236_.wvu.FilterData" localSheetId="0" hidden="1">PAC!$A$5:$AV$426</definedName>
    <definedName name="Z_EC3FF2EE_BE57_4317_9B2A_C9E532B86AFE_.wvu.FilterData" localSheetId="0" hidden="1">PAC!$A$5:$BO$665</definedName>
    <definedName name="Z_EC643484_2C39_47AB_8476_2484DC1D192C_.wvu.FilterData" localSheetId="0" hidden="1">PAC!$A$5:$BO$665</definedName>
    <definedName name="Z_ED153DEE_EE11_4CF3_8706_4AC352F3A563_.wvu.FilterData" localSheetId="0" hidden="1">PAC!$A$5:$BO$665</definedName>
    <definedName name="Z_ED1B5C85_9B80_490E_8588_6B2C7D651C3C_.wvu.FilterData" localSheetId="11" hidden="1">'OUTRAS AÇÕES'!$A$3:$AZ$22</definedName>
    <definedName name="Z_ED1B5C85_9B80_490E_8588_6B2C7D651C3C_.wvu.FilterData" localSheetId="0" hidden="1">PAC!$A$5:$BB$582</definedName>
    <definedName name="Z_ED1B5C85_9B80_490E_8588_6B2C7D651C3C_.wvu.PrintArea" localSheetId="0" hidden="1">PAC!$A$5:$BO$665</definedName>
    <definedName name="Z_ED1B5C85_9B80_490E_8588_6B2C7D651C3C_.wvu.PrintTitles" localSheetId="0" hidden="1">PAC!$4:$5</definedName>
    <definedName name="Z_ED5ED91A_0EF7_4782_AD86_E0F69CE65B8B_.wvu.FilterData" localSheetId="0" hidden="1">PAC!$A$5:$BB$582</definedName>
    <definedName name="Z_EDA0EAF1_61AF_410F_9C71_9C7CDACD0550_.wvu.FilterData" localSheetId="0" hidden="1">PAC!$A$5:$BO$665</definedName>
    <definedName name="Z_EDA76ED7_1C85_4867_9600_58862C684838_.wvu.FilterData" localSheetId="0" hidden="1">PAC!$A$5:$BO$665</definedName>
    <definedName name="Z_EDB9C18E_8D08_4B25_917D_4F88BC1D7058_.wvu.FilterData" localSheetId="0" hidden="1">PAC!$A$5:$BB$581</definedName>
    <definedName name="Z_EDC128F7_1B14_4997_A781_928A7A45A03A_.wvu.FilterData" localSheetId="0" hidden="1">PAC!$A$5:$BB$581</definedName>
    <definedName name="Z_EDC8F3E5_BA2B_4273_90B9_442AD532113F_.wvu.FilterData" localSheetId="0" hidden="1">PAC!$A$5:$BO$665</definedName>
    <definedName name="Z_EDE12B12_D723_4C09_A92A_0D4187E157D9_.wvu.FilterData" localSheetId="0" hidden="1">PAC!$A$5:$BB$582</definedName>
    <definedName name="Z_EE14E751_B929_42D1_A00E_E33701A5870E_.wvu.FilterData" localSheetId="0" hidden="1">PAC!$A$5:$BO$665</definedName>
    <definedName name="Z_EE2D742F_3618_4E24_83D8_5B6C69AC19E5_.wvu.FilterData" localSheetId="0" hidden="1">PAC!$A$5:$AV$430</definedName>
    <definedName name="Z_EE92EC33_80C9_465C_BCCA_D001A79AE7E4_.wvu.FilterData" localSheetId="0" hidden="1">PAC!$A$5:$AZ$581</definedName>
    <definedName name="Z_EEC1D6A9_2746_4B84_981B_22E4CA558C8E_.wvu.FilterData" localSheetId="0" hidden="1">PAC!$A$5:$BB$582</definedName>
    <definedName name="Z_EECC4A09_14FA_4107_AA6D_3FD21CCD674C_.wvu.FilterData" localSheetId="0" hidden="1">PAC!$A$5:$BB$581</definedName>
    <definedName name="Z_EEDEE505_EB1F_48B0_BB88_AFD14B4551A3_.wvu.FilterData" localSheetId="0" hidden="1">PAC!$A$5:$BB$582</definedName>
    <definedName name="Z_EEFD3E25_39BC_4730_AF7A_1C9616A0801F_.wvu.FilterData" localSheetId="0" hidden="1">PAC!$A$5:$BO$665</definedName>
    <definedName name="Z_EF21D67A_9B81_4FC8_94F1_6E66F9D8E9C2_.wvu.FilterData" localSheetId="0" hidden="1">PAC!$A$5:$AZ$581</definedName>
    <definedName name="Z_EF9C6711_EF77_4B8D_AC36_935C1B285A8B_.wvu.FilterData" localSheetId="0" hidden="1">PAC!$A$5:$AV$581</definedName>
    <definedName name="Z_F0167C97_9BEB_40D0_8DC2_06F70C94151A_.wvu.FilterData" localSheetId="0" hidden="1">PAC!$A$5:$BB$582</definedName>
    <definedName name="Z_F05FCB7A_6843_460E_8D2C_940DE3FF5CAE_.wvu.FilterData" localSheetId="0" hidden="1">PAC!$A$5:$BO$665</definedName>
    <definedName name="Z_F06978CC_B6F9_41C1_876C_0E2AAA2D7978_.wvu.FilterData" localSheetId="0" hidden="1">PAC!$A$5:$BB$582</definedName>
    <definedName name="Z_F06C4D61_9E5C_45A4_8328_DABD42482D84_.wvu.FilterData" localSheetId="0" hidden="1">PAC!$A$5:$BO$665</definedName>
    <definedName name="Z_F15EA0FE_4094_4799_8CB0_9AF4C45C01BD_.wvu.FilterData" localSheetId="0" hidden="1">PAC!$A$5:$BO$665</definedName>
    <definedName name="Z_F17F65A4_85C2_4D60_9C64_1B0F2BBD878B_.wvu.FilterData" localSheetId="0" hidden="1">PAC!$A$5:$BO$665</definedName>
    <definedName name="Z_F191AEC0_8929_4EC7_B6C6_58CFBDAAAE2A_.wvu.FilterData" localSheetId="0" hidden="1">PAC!$A$5:$AV$581</definedName>
    <definedName name="Z_F1AE41E4_3EDA_4125_94FC_9F5E32B8D1DD_.wvu.FilterData" localSheetId="0" hidden="1">PAC!$A$5:$BO$665</definedName>
    <definedName name="Z_F21D988F_30F3_484E_B9F5_3A2FE6209A2B_.wvu.FilterData" localSheetId="0" hidden="1">PAC!$A$5:$AV$581</definedName>
    <definedName name="Z_F232F9BF_3C0C_4DCD_92F8_EF287B744439_.wvu.FilterData" localSheetId="0" hidden="1">PAC!$A$5:$BB$581</definedName>
    <definedName name="Z_F24C1948_87FA_4726_9939_8E4E1065A0A6_.wvu.FilterData" localSheetId="0" hidden="1">PAC!$A$5:$BB$582</definedName>
    <definedName name="Z_F27221E9_00C1_4357_98D4_82BA8142C316_.wvu.FilterData" localSheetId="0" hidden="1">PAC!$A$5:$BB$581</definedName>
    <definedName name="Z_F294859A_F920_49D7_AB9E_11A304061F55_.wvu.FilterData" localSheetId="0" hidden="1">PAC!$A$5:$BO$665</definedName>
    <definedName name="Z_F2B2F3EB_4F05_449B_9445_4F55512E2CF6_.wvu.FilterData" localSheetId="0" hidden="1">PAC!$A$5:$BO$665</definedName>
    <definedName name="Z_F2FD9ADA_283A_4F5C_85E5_BFB842558D80_.wvu.FilterData" localSheetId="0" hidden="1">PAC!$A$5:$AZ$581</definedName>
    <definedName name="Z_F34BCE78_CF95_4EBE_ADDD_9A117B8EB764_.wvu.FilterData" localSheetId="0" hidden="1">PAC!$A$5:$AZ$581</definedName>
    <definedName name="Z_F36756CE_F93F_4AA4_9E2B_593283B5F31E_.wvu.FilterData" localSheetId="0" hidden="1">PAC!$A$5:$BB$582</definedName>
    <definedName name="Z_F3B599C5_3712_48B8_9878_231D7E4E53FC_.wvu.FilterData" localSheetId="0" hidden="1">PAC!$A$5:$BB$581</definedName>
    <definedName name="Z_F42F70C2_D55A_4310_A67A_7BA5FEF8FF8A_.wvu.FilterData" localSheetId="0" hidden="1">PAC!$A$5:$BO$665</definedName>
    <definedName name="Z_F47A10C7_250C_43E4_937B_3D84EF6D1306_.wvu.FilterData" localSheetId="0" hidden="1">PAC!$A$5:$BO$665</definedName>
    <definedName name="Z_F4CD2759_5FE4_4E32_80A1_DF2384925960_.wvu.FilterData" localSheetId="0" hidden="1">PAC!$A$5:$BB$581</definedName>
    <definedName name="Z_F4E3F34D_13F7_4D66_B394_41CB07F9C91F_.wvu.FilterData" localSheetId="0" hidden="1">PAC!$A$5:$BB$582</definedName>
    <definedName name="Z_F4F91DFE_AD22_4D2D_B528_5B3E6DC38FDA_.wvu.FilterData" localSheetId="0" hidden="1">PAC!$A$5:$BO$665</definedName>
    <definedName name="Z_F553293C_9E7D_4643_893F_57FA2AAB330C_.wvu.FilterData" localSheetId="0" hidden="1">PAC!$A$5:$AV$581</definedName>
    <definedName name="Z_F5C6980C_68BB_418D_9DCD_BCA8B958E881_.wvu.FilterData" localSheetId="0" hidden="1">PAC!$A$5:$BB$582</definedName>
    <definedName name="Z_F5CBC877_27B3_4AFA_97FA_ACC2D66B4ACB_.wvu.FilterData" localSheetId="0" hidden="1">PAC!$A$5:$AV$581</definedName>
    <definedName name="Z_F6206C53_55AD_41A7_A10F_E54EE17424A2_.wvu.FilterData" localSheetId="0" hidden="1">PAC!$A$5:$BB$581</definedName>
    <definedName name="Z_F6355009_ED4C_47E5_BADB_7D062B594002_.wvu.FilterData" localSheetId="0" hidden="1">PAC!$A$5:$BB$581</definedName>
    <definedName name="Z_F65731D5_1657_4B35_A502_6EC4FB462B07_.wvu.FilterData" localSheetId="0" hidden="1">PAC!$A$5:$AV$430</definedName>
    <definedName name="Z_F6687631_A8E8_40CA_886C_3999EB3F6896_.wvu.FilterData" localSheetId="0" hidden="1">PAC!$A$5:$BO$665</definedName>
    <definedName name="Z_F6B91AFA_AC89_4A01_B306_F835AA020812_.wvu.FilterData" localSheetId="0" hidden="1">PAC!$A$5:$BO$665</definedName>
    <definedName name="Z_F6CE299B_88F6_430A_82D5_9498FC591715_.wvu.FilterData" localSheetId="0" hidden="1">PAC!$A$5:$AV$581</definedName>
    <definedName name="Z_F74BF07F_57C5_47E0_BE18_C1159AA0BDC0_.wvu.FilterData" localSheetId="0" hidden="1">PAC!$A$5:$BO$665</definedName>
    <definedName name="Z_F757C784_4F54_4785_87CE_DC596F7C2254_.wvu.FilterData" localSheetId="0" hidden="1">PAC!$A$5:$BB$581</definedName>
    <definedName name="Z_F780A66B_053A_4B47_9532_6086161284CF_.wvu.FilterData" localSheetId="0" hidden="1">PAC!$A$5:$BB$581</definedName>
    <definedName name="Z_F78CCC08_6F6A_4C23_B976_6861072767B1_.wvu.FilterData" localSheetId="0" hidden="1">PAC!$A$5:$BB$582</definedName>
    <definedName name="Z_F7A611BD_B230_4BBB_BD5B_7B2AD3BD0AC3_.wvu.FilterData" localSheetId="0" hidden="1">PAC!$A$5:$BB$582</definedName>
    <definedName name="Z_F7CFC454_7D97_4D10_ADC6_8CAF07CC5184_.wvu.FilterData" localSheetId="0" hidden="1">PAC!$A$5:$BO$665</definedName>
    <definedName name="Z_F7EF11E2_DC06_498C_B9AA_80EAC2CF0820_.wvu.FilterData" localSheetId="0" hidden="1">PAC!$A$5:$AV$581</definedName>
    <definedName name="Z_F8596893_5DE1_41F5_BC89_DDA58858406E_.wvu.FilterData" localSheetId="0" hidden="1">PAC!$A$5:$BB$582</definedName>
    <definedName name="Z_F85ACAF7_EA72_4F5D_9460_72EF1A4E38C7_.wvu.FilterData" localSheetId="0" hidden="1">PAC!$A$5:$BB$581</definedName>
    <definedName name="Z_F8828228_061C_4EF2_B3AA_E090F0CEFB79_.wvu.FilterData" localSheetId="0" hidden="1">PAC!$A$5:$BO$665</definedName>
    <definedName name="Z_F884841F_E685_474A_AED0_AE4B4A7640CA_.wvu.FilterData" localSheetId="0" hidden="1">PAC!$A$5:$BB$581</definedName>
    <definedName name="Z_F8B48DE1_6D12_4045_919D_AD0448E4CFC9_.wvu.FilterData" localSheetId="0" hidden="1">PAC!$A$5:$AV$581</definedName>
    <definedName name="Z_F8EA2BA4_615A_48D2_86E4_5BB131F682EF_.wvu.FilterData" localSheetId="0" hidden="1">PAC!$A$5:$AZ$581</definedName>
    <definedName name="Z_F926D341_C8EC_425B_BCFA_8978C5011358_.wvu.FilterData" localSheetId="0" hidden="1">PAC!$A$5:$AV$581</definedName>
    <definedName name="Z_F9E1AFF5_4D6C_440E_A682_75DDBB2BDFDF_.wvu.FilterData" localSheetId="0" hidden="1">PAC!$A$5:$BO$665</definedName>
    <definedName name="Z_F9F9035F_ED7D_49FA_BEC7_0721493AEA63_.wvu.FilterData" localSheetId="0" hidden="1">PAC!$A$5:$BB$582</definedName>
    <definedName name="Z_FA1383C3_09B8_40DE_9653_7F23F08F4CDA_.wvu.FilterData" localSheetId="0" hidden="1">PAC!$A$5:$BO$665</definedName>
    <definedName name="Z_FABD8524_5558_425A_95D7_81FAF0ED9F4E_.wvu.FilterData" localSheetId="0" hidden="1">PAC!$A$5:$AV$581</definedName>
    <definedName name="Z_FAE656D8_0AD7_4282_BE78_DE5E4D528AE7_.wvu.FilterData" localSheetId="0" hidden="1">PAC!$A$5:$AZ$581</definedName>
    <definedName name="Z_FB42F3CB_0805_494C_8E35_F8219567B3A3_.wvu.FilterData" localSheetId="0" hidden="1">PAC!$A$5:$BB$582</definedName>
    <definedName name="Z_FB54D7B5_6E76_4D53_B26D_268D31596CAD_.wvu.FilterData" localSheetId="0" hidden="1">PAC!$A$5:$BO$665</definedName>
    <definedName name="Z_FB70C525_0FB3_42C3_B192_91F8CD50D955_.wvu.FilterData" localSheetId="0" hidden="1">PAC!$A$5:$BB$582</definedName>
    <definedName name="Z_FBA13493_E2D0_4B40_9337_55F00137D335_.wvu.FilterData" localSheetId="0" hidden="1">PAC!$A$5:$BO$665</definedName>
    <definedName name="Z_FBE5C5FC_3CFB_4719_881D_FB1134F5E485_.wvu.FilterData" localSheetId="0" hidden="1">PAC!$A$5:$AV$581</definedName>
    <definedName name="Z_FC2535B7_1D00_4907_A177_62A81B1B05F8_.wvu.FilterData" localSheetId="0" hidden="1">PAC!$A$5:$BO$665</definedName>
    <definedName name="Z_FC5B96A5_3E8A_40C4_865C_3E8149E23A46_.wvu.FilterData" localSheetId="0" hidden="1">PAC!$A$5:$BB$582</definedName>
    <definedName name="Z_FCD36AEE_A6E2_465A_ADFB_2E31FA6B77B7_.wvu.FilterData" localSheetId="0" hidden="1">PAC!$A$5:$AV$206</definedName>
    <definedName name="Z_FCDAC3CE_92D1_45D7_8D28_746A60A770F4_.wvu.FilterData" localSheetId="0" hidden="1">PAC!$A$5:$BO$665</definedName>
    <definedName name="Z_FCDAC3CE_92D1_45D7_8D28_746A60A770F4_.wvu.PrintArea" localSheetId="12" hidden="1">Domínios!$B$2:$N$40</definedName>
    <definedName name="Z_FCDAC3CE_92D1_45D7_8D28_746A60A770F4_.wvu.PrintArea" localSheetId="0" hidden="1">PAC!$A$5:$AF$488</definedName>
    <definedName name="Z_FCDAC3CE_92D1_45D7_8D28_746A60A770F4_.wvu.PrintTitles" localSheetId="0" hidden="1">PAC!$4:$5</definedName>
    <definedName name="Z_FD41DB69_A550_4E87_B4AF_2EF9EBBB3316_.wvu.FilterData" localSheetId="0" hidden="1">PAC!$A$5:$BO$665</definedName>
    <definedName name="Z_FD6CEC2C_1365_49D5_BD43_1C8FCBADA8F2_.wvu.FilterData" localSheetId="0" hidden="1">PAC!$A$5:$AZ$581</definedName>
    <definedName name="Z_FD85E7A1_70D3_4CA2_BA77_6D07188D4B98_.wvu.FilterData" localSheetId="0" hidden="1">PAC!$A$5:$AV$581</definedName>
    <definedName name="Z_FE143428_D4FB_4917_A9CB_425AE9BDC6C3_.wvu.FilterData" localSheetId="0" hidden="1">PAC!$A$5:$AV$581</definedName>
    <definedName name="Z_FE14D6FF_CB16_44A5_873D_78A8D17AB487_.wvu.FilterData" localSheetId="0" hidden="1">PAC!$A$5:$BO$665</definedName>
    <definedName name="Z_FE2174D7_E2A4_4EBD_BAFC_D1DC9CA3DB10_.wvu.FilterData" localSheetId="0" hidden="1">PAC!$A$5:$BO$665</definedName>
    <definedName name="Z_FE4ED23E_DB27_4AF7_A5BD_749744415864_.wvu.FilterData" localSheetId="0" hidden="1">PAC!$A$5:$BO$665</definedName>
    <definedName name="Z_FE7ADCA9_4E25_43E6_9626_78AE3E0DC960_.wvu.FilterData" localSheetId="0" hidden="1">PAC!$A$5:$BO$665</definedName>
    <definedName name="Z_FFA3143A_5270_4495_A6AA_AD89717A1E71_.wvu.FilterData" localSheetId="0" hidden="1">PAC!$A$5:$BO$665</definedName>
    <definedName name="Z_FFA6311E_90EF_4866_80A8_38FCEE3D923D_.wvu.FilterData" localSheetId="0" hidden="1">PAC!$A$5:$AV$581</definedName>
    <definedName name="Z_FFAF710E_F604_4E5B_8DF8_79D69302BB4C_.wvu.FilterData" localSheetId="0" hidden="1">PAC!$A$5:$BB$582</definedName>
    <definedName name="Z_FFC36279_2DC3_4877_8099_261BB71F65FF_.wvu.FilterData" localSheetId="0" hidden="1">PAC!$A$5:$AV$430</definedName>
    <definedName name="Z_FFF67E43_F855_4278_85BC_42FF223AAAF1_.wvu.FilterData" localSheetId="0" hidden="1">PAC!$A$5:$AV$206</definedName>
  </definedNames>
  <calcPr calcId="162913"/>
  <customWorkbookViews>
    <customWorkbookView name="Marcelo Pereira dos Santos - Modo de exibição pessoal" guid="{A10EBD83-7D03-4E3F-9980-D4843478A706}" mergeInterval="0" personalView="1" maximized="1" xWindow="-8" yWindow="-8" windowWidth="1616" windowHeight="876" tabRatio="574" activeSheetId="1"/>
    <customWorkbookView name="Tatiane Cruz Souza - Modo de exibição pessoal" guid="{270E95A7-3B6C-4D9D-97B0-E7320BA4DFF7}" mergeInterval="0" personalView="1" maximized="1" xWindow="-8" yWindow="-8" windowWidth="1456" windowHeight="876" tabRatio="623" activeSheetId="1"/>
    <customWorkbookView name="Joélio Balbino Santana - Modo de exibição pessoal" guid="{C0A33525-2FAA-4399-909F-1A52282E6E9A}" mergeInterval="0" personalView="1" maximized="1" xWindow="-8" yWindow="-8" windowWidth="1616" windowHeight="876" tabRatio="428" activeSheetId="1"/>
    <customWorkbookView name="Antonio Carlos Guimarães Deiró - Modo de exibição pessoal" guid="{650C7FD6-1755-4668-8EF1-3B7C3B405ED0}" mergeInterval="0" personalView="1" maximized="1" xWindow="-8" yWindow="-8" windowWidth="1616" windowHeight="876" activeSheetId="1"/>
    <customWorkbookView name="Henrique Araujo Santana - Modo de exibição pessoal" guid="{ED1B5C85-9B80-490E-8588-6B2C7D651C3C}" mergeInterval="0" personalView="1" maximized="1" xWindow="-8" yWindow="-8" windowWidth="1616" windowHeight="876" activeSheetId="1"/>
    <customWorkbookView name="Diego Figueiredo - Modo de exibição pessoal" guid="{1F5D5C3B-584A-4E1D-921E-CC88F424DC57}" mergeInterval="0" personalView="1" maximized="1" xWindow="-9" yWindow="-9" windowWidth="1938" windowHeight="1038" activeSheetId="1"/>
    <customWorkbookView name="User - Modo de exibição pessoal" guid="{83779279-67B1-4521-A1E4-214B232BDCAE}" mergeInterval="0" personalView="1" maximized="1" xWindow="-8" yWindow="-8" windowWidth="1936" windowHeight="1048" tabRatio="599" activeSheetId="1"/>
    <customWorkbookView name="sup - Modo de exibição pessoal" guid="{B397FDFC-D692-4CD4-9BCD-5E04E4A47A8A}" mergeInterval="0" personalView="1" maximized="1" xWindow="-8" yWindow="-8" windowWidth="1382" windowHeight="744" tabRatio="656" activeSheetId="1"/>
    <customWorkbookView name="Nilton Rocha Calmon Júnior - Modo de exibição pessoal" guid="{8AF3F23F-962F-4238-A668-E07C224D58CD}" mergeInterval="0" personalView="1" maximized="1" xWindow="-8" yWindow="-8" windowWidth="1616" windowHeight="876" activeSheetId="13"/>
    <customWorkbookView name="Renata Santos de Carvalho - Modo de exibição pessoal" guid="{6CBADB44-6CEA-447F-B9B3-3F538C995614}" mergeInterval="0" personalView="1" maximized="1" xWindow="-9" yWindow="-9" windowWidth="1618" windowHeight="868" activeSheetId="1"/>
    <customWorkbookView name="Nélia de Souza Barreto - Modo de exibição pessoal" guid="{970D1C79-0BDD-428A-B1F8-9D0298518B53}" mergeInterval="0" personalView="1" maximized="1" xWindow="-8" yWindow="-8" windowWidth="1456" windowHeight="876" activeSheetId="12"/>
    <customWorkbookView name="Armindo Gonzalez - Modo de exibição pessoal" guid="{FCDAC3CE-92D1-45D7-8D28-746A60A770F4}" mergeInterval="0" personalView="1" maximized="1" xWindow="-9" yWindow="-9" windowWidth="1618" windowHeight="868" activeSheetId="1"/>
    <customWorkbookView name="Administrador - Modo de exibição pessoal" guid="{BE6EA046-B955-4D4F-A0AD-CD37BD2D43BC}" mergeInterval="0" personalView="1" maximized="1" xWindow="-8" yWindow="-8" windowWidth="1382" windowHeight="744" activeSheetId="1"/>
    <customWorkbookView name="Vanessa Santana Pereira - Modo de exibição pessoal" guid="{535F29DD-DAB5-45F1-B721-096B9A19B9FA}" mergeInterval="0" personalView="1" maximized="1" xWindow="-8" yWindow="-8" windowWidth="1936" windowHeight="1056" tabRatio="428" activeSheetId="1"/>
    <customWorkbookView name="Estefane Vitoria Santos da Cruz - Modo de exibição pessoal" guid="{ACBCA272-4BF0-464F-9826-B88631775C9A}" mergeInterval="0" personalView="1" maximized="1" xWindow="-8" yWindow="-8" windowWidth="1936" windowHeight="1056" tabRatio="599" activeSheetId="1"/>
    <customWorkbookView name="Cleidyanne dos Santos Couto - Modo de exibição pessoal" guid="{76D6D523-3A20-4FC6-B305-B0C40BA9EF5B}" mergeInterval="0" personalView="1" maximized="1" xWindow="-1032" yWindow="64" windowWidth="1040" windowHeight="744" tabRatio="656" activeSheetId="1"/>
    <customWorkbookView name="Renata Lobão de Souza - Modo de exibição pessoal" guid="{9AE7F4FF-DFFA-490F-8AF2-4FB45EA2475B}" mergeInterval="0" personalView="1" maximized="1" xWindow="-8" yWindow="-8" windowWidth="1616" windowHeight="876" activeSheetId="1"/>
    <customWorkbookView name="Silvana Mendes da Silva - Modo de exibição pessoal" guid="{13E94A3C-CB3A-4F58-A512-0396BF6DE7DC}" mergeInterval="0" personalView="1" maximized="1" xWindow="-8" yWindow="-8" windowWidth="1382" windowHeight="744" tabRatio="599" activeSheetId="1"/>
    <customWorkbookView name="Mário Sérgio Santos da Conceição - Modo de exibição pessoal" guid="{083D9386-A209-4E4D-86CD-025B1176CEB5}" mergeInterval="0" personalView="1" maximized="1" xWindow="1912" yWindow="172" windowWidth="1616" windowHeight="868" activeSheetId="1"/>
    <customWorkbookView name="Lucitania Santana Brandão de Jesus - Modo de exibição pessoal" guid="{46BB051B-272B-49C8-A4C3-B4237F6E1B7D}" mergeInterval="0" personalView="1" maximized="1" xWindow="-8" yWindow="-8" windowWidth="1936" windowHeight="1048" activeSheetId="1"/>
    <customWorkbookView name="Juliana Fortunato Ferreira - Modo de exibição pessoal" guid="{B13D886E-BAB8-4D14-822A-F08281218447}" mergeInterval="0" personalView="1" maximized="1" xWindow="-8" yWindow="-8" windowWidth="1936" windowHeight="1056" activeSheetId="1"/>
    <customWorkbookView name="Taís Silva Dos Santos - Modo de exibição pessoal" guid="{129416D2-3637-48C1-A749-90B02AD0693E}" mergeInterval="0" personalView="1" maximized="1" xWindow="-8" yWindow="-8" windowWidth="1616" windowHeight="868" tabRatio="474" activeSheetId="1"/>
    <customWorkbookView name="Suzana Nascimento de Oliveira - Modo de exibição pessoal" guid="{0FB74A6A-4A44-4BA5-9EB0-B86297CD9790}" mergeInterval="0" personalView="1" maximized="1" xWindow="-8" yWindow="-8" windowWidth="1616" windowHeight="876" activeSheetId="1"/>
    <customWorkbookView name="Diego Rocha Figueiredo - Modo de exibição pessoal" guid="{E3BD65C7-28AF-4588-B550-0F7E84154BAA}" mergeInterval="0" personalView="1" maximized="1" xWindow="-8" yWindow="-8" windowWidth="1616" windowHeight="876" activeSheetId="1"/>
  </customWorkbookView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8" i="1" l="1"/>
  <c r="AX7" i="1" l="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187" i="1"/>
  <c r="AX188" i="1"/>
  <c r="AX189" i="1"/>
  <c r="AX190" i="1"/>
  <c r="AX191" i="1"/>
  <c r="AX192" i="1"/>
  <c r="AX193" i="1"/>
  <c r="AX194" i="1"/>
  <c r="AX195" i="1"/>
  <c r="AX196" i="1"/>
  <c r="AX197" i="1"/>
  <c r="AX198" i="1"/>
  <c r="AX199" i="1"/>
  <c r="AX200" i="1"/>
  <c r="AX201" i="1"/>
  <c r="AX202" i="1"/>
  <c r="AX203" i="1"/>
  <c r="AX204" i="1"/>
  <c r="AX205" i="1"/>
  <c r="AX206" i="1"/>
  <c r="AX207" i="1"/>
  <c r="AX208" i="1"/>
  <c r="AX209" i="1"/>
  <c r="AX210" i="1"/>
  <c r="AX211" i="1"/>
  <c r="AX212" i="1"/>
  <c r="AX213" i="1"/>
  <c r="AX214" i="1"/>
  <c r="AX215" i="1"/>
  <c r="AX216" i="1"/>
  <c r="AX217" i="1"/>
  <c r="AX218" i="1"/>
  <c r="AX219" i="1"/>
  <c r="AX220" i="1"/>
  <c r="AX221" i="1"/>
  <c r="AX222" i="1"/>
  <c r="AX223" i="1"/>
  <c r="AX224" i="1"/>
  <c r="AX225" i="1"/>
  <c r="AX226" i="1"/>
  <c r="AX227" i="1"/>
  <c r="AX228" i="1"/>
  <c r="AX229" i="1"/>
  <c r="AX230" i="1"/>
  <c r="AX231" i="1"/>
  <c r="AX232" i="1"/>
  <c r="AX233" i="1"/>
  <c r="AX234" i="1"/>
  <c r="AX235" i="1"/>
  <c r="AX236" i="1"/>
  <c r="AX237" i="1"/>
  <c r="AX238" i="1"/>
  <c r="AX239" i="1"/>
  <c r="AX240" i="1"/>
  <c r="AX241" i="1"/>
  <c r="AX242" i="1"/>
  <c r="AX243" i="1"/>
  <c r="AX244" i="1"/>
  <c r="AX245" i="1"/>
  <c r="AX246" i="1"/>
  <c r="AX247" i="1"/>
  <c r="AX248" i="1"/>
  <c r="AX249" i="1"/>
  <c r="AX250" i="1"/>
  <c r="AX251" i="1"/>
  <c r="AX252" i="1"/>
  <c r="AX253" i="1"/>
  <c r="AX254" i="1"/>
  <c r="AX255" i="1"/>
  <c r="AX256" i="1"/>
  <c r="AX257" i="1"/>
  <c r="AX258" i="1"/>
  <c r="AX259" i="1"/>
  <c r="AX260" i="1"/>
  <c r="AX261" i="1"/>
  <c r="AX262" i="1"/>
  <c r="AX263" i="1"/>
  <c r="AX264" i="1"/>
  <c r="AX265" i="1"/>
  <c r="AX266" i="1"/>
  <c r="AX267" i="1"/>
  <c r="AX268" i="1"/>
  <c r="AX269" i="1"/>
  <c r="AX270" i="1"/>
  <c r="AX271" i="1"/>
  <c r="AX272" i="1"/>
  <c r="AX273" i="1"/>
  <c r="AX274" i="1"/>
  <c r="AX275" i="1"/>
  <c r="AX276" i="1"/>
  <c r="AX277" i="1"/>
  <c r="AX278" i="1"/>
  <c r="AX279" i="1"/>
  <c r="AX280" i="1"/>
  <c r="AX281" i="1"/>
  <c r="AX282" i="1"/>
  <c r="AX283" i="1"/>
  <c r="AX284" i="1"/>
  <c r="AX285" i="1"/>
  <c r="AX286" i="1"/>
  <c r="AX287" i="1"/>
  <c r="AX288" i="1"/>
  <c r="AX289" i="1"/>
  <c r="AX290" i="1"/>
  <c r="AX291" i="1"/>
  <c r="AX292" i="1"/>
  <c r="AX293" i="1"/>
  <c r="AX294" i="1"/>
  <c r="AX295" i="1"/>
  <c r="AX296" i="1"/>
  <c r="AX297" i="1"/>
  <c r="AX298" i="1"/>
  <c r="AX299" i="1"/>
  <c r="AX300" i="1"/>
  <c r="AX301" i="1"/>
  <c r="AX302" i="1"/>
  <c r="AX303" i="1"/>
  <c r="AX304" i="1"/>
  <c r="AX305" i="1"/>
  <c r="AX306" i="1"/>
  <c r="AX307" i="1"/>
  <c r="AX308" i="1"/>
  <c r="AX309" i="1"/>
  <c r="AX310" i="1"/>
  <c r="AX311" i="1"/>
  <c r="AX312" i="1"/>
  <c r="AX313" i="1"/>
  <c r="AX314" i="1"/>
  <c r="AX315" i="1"/>
  <c r="AX316" i="1"/>
  <c r="AX317" i="1"/>
  <c r="AX318" i="1"/>
  <c r="AX319" i="1"/>
  <c r="AX320" i="1"/>
  <c r="AX321" i="1"/>
  <c r="AX322" i="1"/>
  <c r="AX323" i="1"/>
  <c r="AX324" i="1"/>
  <c r="AX325" i="1"/>
  <c r="AX326" i="1"/>
  <c r="AX327" i="1"/>
  <c r="AX328" i="1"/>
  <c r="AX329" i="1"/>
  <c r="AX330" i="1"/>
  <c r="AX331" i="1"/>
  <c r="AX332" i="1"/>
  <c r="AX333" i="1"/>
  <c r="AX334" i="1"/>
  <c r="AX335" i="1"/>
  <c r="AX336" i="1"/>
  <c r="AX337" i="1"/>
  <c r="AX338" i="1"/>
  <c r="AX339" i="1"/>
  <c r="AX340" i="1"/>
  <c r="AX341" i="1"/>
  <c r="AX342" i="1"/>
  <c r="AX343" i="1"/>
  <c r="AX344" i="1"/>
  <c r="AX345" i="1"/>
  <c r="AX346" i="1"/>
  <c r="AX347" i="1"/>
  <c r="AX348" i="1"/>
  <c r="AX349" i="1"/>
  <c r="AX350" i="1"/>
  <c r="AX351" i="1"/>
  <c r="AX352" i="1"/>
  <c r="AX353" i="1"/>
  <c r="AX354" i="1"/>
  <c r="AX355" i="1"/>
  <c r="AX356" i="1"/>
  <c r="AX357" i="1"/>
  <c r="AX358" i="1"/>
  <c r="AX359" i="1"/>
  <c r="AX360" i="1"/>
  <c r="AX361" i="1"/>
  <c r="AX362" i="1"/>
  <c r="AX363" i="1"/>
  <c r="AX364" i="1"/>
  <c r="AX365" i="1"/>
  <c r="AX366" i="1"/>
  <c r="AX367" i="1"/>
  <c r="AX368" i="1"/>
  <c r="AX369" i="1"/>
  <c r="AX370" i="1"/>
  <c r="AX371" i="1"/>
  <c r="AX372" i="1"/>
  <c r="AX373" i="1"/>
  <c r="AX374" i="1"/>
  <c r="AX375" i="1"/>
  <c r="AX376" i="1"/>
  <c r="AX377" i="1"/>
  <c r="AX378" i="1"/>
  <c r="AX379" i="1"/>
  <c r="AX380" i="1"/>
  <c r="AX381" i="1"/>
  <c r="AX382" i="1"/>
  <c r="AX383" i="1"/>
  <c r="AX384" i="1"/>
  <c r="AX385" i="1"/>
  <c r="AX386" i="1"/>
  <c r="AX387" i="1"/>
  <c r="AX388" i="1"/>
  <c r="AX389" i="1"/>
  <c r="AX390" i="1"/>
  <c r="AX391" i="1"/>
  <c r="AX392" i="1"/>
  <c r="AX393" i="1"/>
  <c r="AX394" i="1"/>
  <c r="AX395" i="1"/>
  <c r="AX396" i="1"/>
  <c r="AX397" i="1"/>
  <c r="AX398" i="1"/>
  <c r="AX399" i="1"/>
  <c r="AX400" i="1"/>
  <c r="AX401" i="1"/>
  <c r="AX402" i="1"/>
  <c r="AX403" i="1"/>
  <c r="AX404" i="1"/>
  <c r="AX405" i="1"/>
  <c r="AX406" i="1"/>
  <c r="AX407" i="1"/>
  <c r="AX408" i="1"/>
  <c r="AX409" i="1"/>
  <c r="AX410" i="1"/>
  <c r="AX411" i="1"/>
  <c r="AX412" i="1"/>
  <c r="AX413" i="1"/>
  <c r="AX414" i="1"/>
  <c r="AX415" i="1"/>
  <c r="AX416" i="1"/>
  <c r="AX417" i="1"/>
  <c r="AX418" i="1"/>
  <c r="AX419" i="1"/>
  <c r="AX420" i="1"/>
  <c r="AX421" i="1"/>
  <c r="AX422" i="1"/>
  <c r="AX423" i="1"/>
  <c r="AX424" i="1"/>
  <c r="AX425" i="1"/>
  <c r="AX426" i="1"/>
  <c r="AX427" i="1"/>
  <c r="AX428" i="1"/>
  <c r="AX429" i="1"/>
  <c r="AX430" i="1"/>
  <c r="AX431" i="1"/>
  <c r="AX432" i="1"/>
  <c r="AX433" i="1"/>
  <c r="AX434" i="1"/>
  <c r="AX435" i="1"/>
  <c r="AX436" i="1"/>
  <c r="AX437" i="1"/>
  <c r="AX438" i="1"/>
  <c r="AX439" i="1"/>
  <c r="AX440" i="1"/>
  <c r="AX441" i="1"/>
  <c r="AX442" i="1"/>
  <c r="AX443" i="1"/>
  <c r="AX444" i="1"/>
  <c r="AX445" i="1"/>
  <c r="AX446" i="1"/>
  <c r="AX447" i="1"/>
  <c r="AX448" i="1"/>
  <c r="AX449" i="1"/>
  <c r="AX450" i="1"/>
  <c r="AX451" i="1"/>
  <c r="AX452" i="1"/>
  <c r="AX453" i="1"/>
  <c r="AX454" i="1"/>
  <c r="AX455" i="1"/>
  <c r="AX456" i="1"/>
  <c r="AX457" i="1"/>
  <c r="AX458" i="1"/>
  <c r="AX459" i="1"/>
  <c r="AX460" i="1"/>
  <c r="AX461" i="1"/>
  <c r="AX462" i="1"/>
  <c r="AX463" i="1"/>
  <c r="AX464" i="1"/>
  <c r="AX465" i="1"/>
  <c r="AX466" i="1"/>
  <c r="AX467" i="1"/>
  <c r="AX468" i="1"/>
  <c r="AX469" i="1"/>
  <c r="AX470" i="1"/>
  <c r="AX471" i="1"/>
  <c r="AX472" i="1"/>
  <c r="AX473" i="1"/>
  <c r="AX474" i="1"/>
  <c r="AX475" i="1"/>
  <c r="AX476" i="1"/>
  <c r="AX477" i="1"/>
  <c r="AX478" i="1"/>
  <c r="AX479" i="1"/>
  <c r="AX480" i="1"/>
  <c r="AX481" i="1"/>
  <c r="AX482" i="1"/>
  <c r="AX483" i="1"/>
  <c r="AX484" i="1"/>
  <c r="AX485" i="1"/>
  <c r="AX486" i="1"/>
  <c r="AX487" i="1"/>
  <c r="AX488" i="1"/>
  <c r="AX489" i="1"/>
  <c r="AX490" i="1"/>
  <c r="AX491" i="1"/>
  <c r="AX492" i="1"/>
  <c r="AX493" i="1"/>
  <c r="AX494" i="1"/>
  <c r="AX495" i="1"/>
  <c r="AX496" i="1"/>
  <c r="AX497" i="1"/>
  <c r="AX498" i="1"/>
  <c r="AX499" i="1"/>
  <c r="AX500" i="1"/>
  <c r="AX501" i="1"/>
  <c r="AX502" i="1"/>
  <c r="AX503" i="1"/>
  <c r="AX504" i="1"/>
  <c r="AX505" i="1"/>
  <c r="AX506" i="1"/>
  <c r="AX507" i="1"/>
  <c r="AX508" i="1"/>
  <c r="AX509" i="1"/>
  <c r="AX510" i="1"/>
  <c r="AX511" i="1"/>
  <c r="AX512" i="1"/>
  <c r="AX513" i="1"/>
  <c r="AX514" i="1"/>
  <c r="AX515" i="1"/>
  <c r="AX516" i="1"/>
  <c r="AX517" i="1"/>
  <c r="AX518" i="1"/>
  <c r="AX519" i="1"/>
  <c r="AX520" i="1"/>
  <c r="AX521" i="1"/>
  <c r="AX522" i="1"/>
  <c r="AX523" i="1"/>
  <c r="AX524" i="1"/>
  <c r="AX525" i="1"/>
  <c r="AX526" i="1"/>
  <c r="AX527" i="1"/>
  <c r="AX528" i="1"/>
  <c r="AX529" i="1"/>
  <c r="AX530" i="1"/>
  <c r="AX531" i="1"/>
  <c r="AX532" i="1"/>
  <c r="AX533" i="1"/>
  <c r="AX534" i="1"/>
  <c r="AX535" i="1"/>
  <c r="AX536" i="1"/>
  <c r="AX537" i="1"/>
  <c r="AX538" i="1"/>
  <c r="AX539" i="1"/>
  <c r="AX540" i="1"/>
  <c r="AX541" i="1"/>
  <c r="AX542" i="1"/>
  <c r="AX543" i="1"/>
  <c r="AX544" i="1"/>
  <c r="AX545" i="1"/>
  <c r="AX546" i="1"/>
  <c r="AX547" i="1"/>
  <c r="AX548" i="1"/>
  <c r="AX549" i="1"/>
  <c r="AX550" i="1"/>
  <c r="AX551" i="1"/>
  <c r="AX552" i="1"/>
  <c r="AX553" i="1"/>
  <c r="AX554" i="1"/>
  <c r="AX555" i="1"/>
  <c r="AX556" i="1"/>
  <c r="AX557" i="1"/>
  <c r="AX558" i="1"/>
  <c r="AX559" i="1"/>
  <c r="AX560" i="1"/>
  <c r="AX561" i="1"/>
  <c r="AX562" i="1"/>
  <c r="AX563" i="1"/>
  <c r="AX564" i="1"/>
  <c r="AX565" i="1"/>
  <c r="AX566" i="1"/>
  <c r="AX567" i="1"/>
  <c r="AX568" i="1"/>
  <c r="AX569" i="1"/>
  <c r="AX570" i="1"/>
  <c r="AX571" i="1"/>
  <c r="AX572" i="1"/>
  <c r="AX573" i="1"/>
  <c r="AX574" i="1"/>
  <c r="AX575" i="1"/>
  <c r="AX576" i="1"/>
  <c r="AX577" i="1"/>
  <c r="AX578" i="1"/>
  <c r="AX579" i="1"/>
  <c r="AX580" i="1"/>
  <c r="AX581" i="1"/>
  <c r="AX582" i="1"/>
  <c r="AY7" i="1"/>
  <c r="AY8" i="1"/>
  <c r="AY9" i="1"/>
  <c r="AY10" i="1"/>
  <c r="AY11" i="1"/>
  <c r="AY12" i="1"/>
  <c r="AY13" i="1"/>
  <c r="AY14" i="1"/>
  <c r="AY15" i="1"/>
  <c r="AY16" i="1"/>
  <c r="AY17" i="1"/>
  <c r="AY18" i="1"/>
  <c r="AY19" i="1"/>
  <c r="AY20" i="1"/>
  <c r="AY21" i="1"/>
  <c r="AY22" i="1"/>
  <c r="AY23" i="1"/>
  <c r="AY24" i="1"/>
  <c r="AY25" i="1"/>
  <c r="AY26" i="1"/>
  <c r="AY27" i="1"/>
  <c r="AY28" i="1"/>
  <c r="AY29" i="1"/>
  <c r="AY30" i="1"/>
  <c r="AY31" i="1"/>
  <c r="AY32" i="1"/>
  <c r="AY33" i="1"/>
  <c r="AY34" i="1"/>
  <c r="AY35" i="1"/>
  <c r="AY36" i="1"/>
  <c r="AY37" i="1"/>
  <c r="AY38" i="1"/>
  <c r="AY39" i="1"/>
  <c r="AY40" i="1"/>
  <c r="AY41" i="1"/>
  <c r="AY42" i="1"/>
  <c r="AY43" i="1"/>
  <c r="AY44" i="1"/>
  <c r="AY45" i="1"/>
  <c r="AY46" i="1"/>
  <c r="AY47" i="1"/>
  <c r="AY48" i="1"/>
  <c r="AY49" i="1"/>
  <c r="AY50" i="1"/>
  <c r="AY51" i="1"/>
  <c r="AY52" i="1"/>
  <c r="AY53" i="1"/>
  <c r="AY54" i="1"/>
  <c r="AY55" i="1"/>
  <c r="AY56" i="1"/>
  <c r="AY57" i="1"/>
  <c r="AY58" i="1"/>
  <c r="AY59" i="1"/>
  <c r="AY60" i="1"/>
  <c r="AY61" i="1"/>
  <c r="AY62" i="1"/>
  <c r="AY63" i="1"/>
  <c r="AY64" i="1"/>
  <c r="AY65" i="1"/>
  <c r="AY66" i="1"/>
  <c r="AY67" i="1"/>
  <c r="AY68" i="1"/>
  <c r="AY69" i="1"/>
  <c r="AY70" i="1"/>
  <c r="AY71" i="1"/>
  <c r="AY72" i="1"/>
  <c r="AY73" i="1"/>
  <c r="AY74" i="1"/>
  <c r="AY75" i="1"/>
  <c r="AY76" i="1"/>
  <c r="AY77" i="1"/>
  <c r="AY78" i="1"/>
  <c r="AY79" i="1"/>
  <c r="AY80" i="1"/>
  <c r="AY81" i="1"/>
  <c r="AY82" i="1"/>
  <c r="AY83" i="1"/>
  <c r="AY84" i="1"/>
  <c r="AY85" i="1"/>
  <c r="AY86" i="1"/>
  <c r="AY87" i="1"/>
  <c r="AY88" i="1"/>
  <c r="AY89" i="1"/>
  <c r="AY90" i="1"/>
  <c r="AY91" i="1"/>
  <c r="AY92" i="1"/>
  <c r="AY93" i="1"/>
  <c r="AY94" i="1"/>
  <c r="AY95" i="1"/>
  <c r="AY96" i="1"/>
  <c r="AY97" i="1"/>
  <c r="AY98" i="1"/>
  <c r="AY99" i="1"/>
  <c r="AY100" i="1"/>
  <c r="AY101" i="1"/>
  <c r="AY102" i="1"/>
  <c r="AY103" i="1"/>
  <c r="AY104" i="1"/>
  <c r="AY105" i="1"/>
  <c r="AY106" i="1"/>
  <c r="AY107" i="1"/>
  <c r="AY108" i="1"/>
  <c r="AY109" i="1"/>
  <c r="AY110" i="1"/>
  <c r="AY111" i="1"/>
  <c r="AY112" i="1"/>
  <c r="AY113" i="1"/>
  <c r="AY114" i="1"/>
  <c r="AY115" i="1"/>
  <c r="AY116" i="1"/>
  <c r="AY117" i="1"/>
  <c r="AY118" i="1"/>
  <c r="AY119" i="1"/>
  <c r="AY120" i="1"/>
  <c r="AY121" i="1"/>
  <c r="AY122" i="1"/>
  <c r="AY123" i="1"/>
  <c r="AY124" i="1"/>
  <c r="AY125" i="1"/>
  <c r="AY126" i="1"/>
  <c r="AY127" i="1"/>
  <c r="AY128" i="1"/>
  <c r="AY129" i="1"/>
  <c r="AY130" i="1"/>
  <c r="AY131" i="1"/>
  <c r="AY132" i="1"/>
  <c r="AY133" i="1"/>
  <c r="AY134" i="1"/>
  <c r="AY135" i="1"/>
  <c r="AY136" i="1"/>
  <c r="AY137" i="1"/>
  <c r="AY138" i="1"/>
  <c r="AY139" i="1"/>
  <c r="AY140" i="1"/>
  <c r="AY141" i="1"/>
  <c r="AY142" i="1"/>
  <c r="AY143" i="1"/>
  <c r="AY144" i="1"/>
  <c r="AY145" i="1"/>
  <c r="AY146" i="1"/>
  <c r="AY147" i="1"/>
  <c r="AY148" i="1"/>
  <c r="AY149" i="1"/>
  <c r="AY150" i="1"/>
  <c r="AY151" i="1"/>
  <c r="AY152" i="1"/>
  <c r="AY153" i="1"/>
  <c r="AY154" i="1"/>
  <c r="AY155" i="1"/>
  <c r="AY156" i="1"/>
  <c r="AY157" i="1"/>
  <c r="AY158" i="1"/>
  <c r="AY159" i="1"/>
  <c r="AY160" i="1"/>
  <c r="AY161" i="1"/>
  <c r="AY162" i="1"/>
  <c r="AY163" i="1"/>
  <c r="AY164" i="1"/>
  <c r="AY165" i="1"/>
  <c r="AY166" i="1"/>
  <c r="AY167" i="1"/>
  <c r="AY168" i="1"/>
  <c r="AY169" i="1"/>
  <c r="AY170" i="1"/>
  <c r="AY171" i="1"/>
  <c r="AY172" i="1"/>
  <c r="AY173" i="1"/>
  <c r="AY174" i="1"/>
  <c r="AY175" i="1"/>
  <c r="AY176" i="1"/>
  <c r="AY177" i="1"/>
  <c r="AY178" i="1"/>
  <c r="AY179" i="1"/>
  <c r="AY180" i="1"/>
  <c r="AY181" i="1"/>
  <c r="AY182" i="1"/>
  <c r="AY183" i="1"/>
  <c r="AY184" i="1"/>
  <c r="AY185" i="1"/>
  <c r="AY186" i="1"/>
  <c r="AY187" i="1"/>
  <c r="AY188" i="1"/>
  <c r="AY189" i="1"/>
  <c r="AY190" i="1"/>
  <c r="AY191" i="1"/>
  <c r="AY192" i="1"/>
  <c r="AY193" i="1"/>
  <c r="AY194" i="1"/>
  <c r="AY195" i="1"/>
  <c r="AY196" i="1"/>
  <c r="AY197" i="1"/>
  <c r="AY198" i="1"/>
  <c r="AY199" i="1"/>
  <c r="AY200" i="1"/>
  <c r="AY201" i="1"/>
  <c r="AY202" i="1"/>
  <c r="AY203" i="1"/>
  <c r="AY204" i="1"/>
  <c r="AY205" i="1"/>
  <c r="AY206" i="1"/>
  <c r="AY207" i="1"/>
  <c r="AY208" i="1"/>
  <c r="AY209" i="1"/>
  <c r="AY210" i="1"/>
  <c r="AY211" i="1"/>
  <c r="AY212" i="1"/>
  <c r="AY213" i="1"/>
  <c r="AY214" i="1"/>
  <c r="AY215" i="1"/>
  <c r="AY216" i="1"/>
  <c r="AY217" i="1"/>
  <c r="AY218" i="1"/>
  <c r="AY219" i="1"/>
  <c r="AY220" i="1"/>
  <c r="AY221" i="1"/>
  <c r="AY222" i="1"/>
  <c r="AY223" i="1"/>
  <c r="AY224" i="1"/>
  <c r="AY225" i="1"/>
  <c r="AY226" i="1"/>
  <c r="AY227" i="1"/>
  <c r="AY228" i="1"/>
  <c r="AY229" i="1"/>
  <c r="AY230" i="1"/>
  <c r="AY231" i="1"/>
  <c r="AY232" i="1"/>
  <c r="AY233" i="1"/>
  <c r="AY234" i="1"/>
  <c r="AY235" i="1"/>
  <c r="AY236" i="1"/>
  <c r="AY237" i="1"/>
  <c r="AY238" i="1"/>
  <c r="AY239" i="1"/>
  <c r="AY240" i="1"/>
  <c r="AY241" i="1"/>
  <c r="AY242" i="1"/>
  <c r="AY243" i="1"/>
  <c r="AY244" i="1"/>
  <c r="AY245" i="1"/>
  <c r="AY246" i="1"/>
  <c r="AY247" i="1"/>
  <c r="AY248" i="1"/>
  <c r="AY249" i="1"/>
  <c r="AY250" i="1"/>
  <c r="AY251" i="1"/>
  <c r="AY252" i="1"/>
  <c r="AY253" i="1"/>
  <c r="AY254" i="1"/>
  <c r="AY255" i="1"/>
  <c r="AY256" i="1"/>
  <c r="AY257" i="1"/>
  <c r="AY258" i="1"/>
  <c r="AY259" i="1"/>
  <c r="AY260" i="1"/>
  <c r="AY261" i="1"/>
  <c r="AY262" i="1"/>
  <c r="AY263" i="1"/>
  <c r="AY264" i="1"/>
  <c r="AY265" i="1"/>
  <c r="AY266" i="1"/>
  <c r="AY267" i="1"/>
  <c r="AY268" i="1"/>
  <c r="AY269" i="1"/>
  <c r="AY270" i="1"/>
  <c r="AY271" i="1"/>
  <c r="AY272" i="1"/>
  <c r="AY273" i="1"/>
  <c r="AY274" i="1"/>
  <c r="AY275" i="1"/>
  <c r="AY276" i="1"/>
  <c r="AY277" i="1"/>
  <c r="AY278" i="1"/>
  <c r="AY279" i="1"/>
  <c r="AY280" i="1"/>
  <c r="AY281" i="1"/>
  <c r="AY282" i="1"/>
  <c r="AY283" i="1"/>
  <c r="AY284" i="1"/>
  <c r="AY285" i="1"/>
  <c r="AY286" i="1"/>
  <c r="AY287" i="1"/>
  <c r="AY288" i="1"/>
  <c r="AY289" i="1"/>
  <c r="AY290" i="1"/>
  <c r="AY291" i="1"/>
  <c r="AY292" i="1"/>
  <c r="AY293" i="1"/>
  <c r="AY294" i="1"/>
  <c r="AY295" i="1"/>
  <c r="AY296" i="1"/>
  <c r="AY297" i="1"/>
  <c r="AY298" i="1"/>
  <c r="AY299" i="1"/>
  <c r="AY300" i="1"/>
  <c r="AY301" i="1"/>
  <c r="AY302" i="1"/>
  <c r="AY303" i="1"/>
  <c r="AY304" i="1"/>
  <c r="AY305" i="1"/>
  <c r="AY306" i="1"/>
  <c r="AY307" i="1"/>
  <c r="AY308" i="1"/>
  <c r="AY309" i="1"/>
  <c r="AY310" i="1"/>
  <c r="AY311" i="1"/>
  <c r="AY312" i="1"/>
  <c r="AY313" i="1"/>
  <c r="AY314" i="1"/>
  <c r="AY315" i="1"/>
  <c r="AY316" i="1"/>
  <c r="AY317" i="1"/>
  <c r="AY318" i="1"/>
  <c r="AY319" i="1"/>
  <c r="AY320" i="1"/>
  <c r="AY321" i="1"/>
  <c r="AY322" i="1"/>
  <c r="AY323" i="1"/>
  <c r="AY324" i="1"/>
  <c r="AY325" i="1"/>
  <c r="AY326" i="1"/>
  <c r="AY327" i="1"/>
  <c r="AY328" i="1"/>
  <c r="AY329" i="1"/>
  <c r="AY330" i="1"/>
  <c r="AY331" i="1"/>
  <c r="AY332" i="1"/>
  <c r="AY333" i="1"/>
  <c r="AY334" i="1"/>
  <c r="AY335" i="1"/>
  <c r="AY336" i="1"/>
  <c r="AY337" i="1"/>
  <c r="AY338" i="1"/>
  <c r="AY339" i="1"/>
  <c r="AY340" i="1"/>
  <c r="AY341" i="1"/>
  <c r="AY342" i="1"/>
  <c r="AY343" i="1"/>
  <c r="AY344" i="1"/>
  <c r="AY345" i="1"/>
  <c r="AY346" i="1"/>
  <c r="AY347" i="1"/>
  <c r="AY348" i="1"/>
  <c r="AY349" i="1"/>
  <c r="AY350" i="1"/>
  <c r="AY351" i="1"/>
  <c r="AY352" i="1"/>
  <c r="AY353" i="1"/>
  <c r="AY354" i="1"/>
  <c r="AY355" i="1"/>
  <c r="AY356" i="1"/>
  <c r="AY357" i="1"/>
  <c r="AY358" i="1"/>
  <c r="AY359" i="1"/>
  <c r="AY360" i="1"/>
  <c r="AY361" i="1"/>
  <c r="AY362" i="1"/>
  <c r="AY363" i="1"/>
  <c r="AY364" i="1"/>
  <c r="AY365" i="1"/>
  <c r="AY366" i="1"/>
  <c r="AY367" i="1"/>
  <c r="AY368" i="1"/>
  <c r="AY369" i="1"/>
  <c r="AY370" i="1"/>
  <c r="AY371" i="1"/>
  <c r="AY372" i="1"/>
  <c r="AY373" i="1"/>
  <c r="AY374" i="1"/>
  <c r="AY375" i="1"/>
  <c r="AY376" i="1"/>
  <c r="AY377" i="1"/>
  <c r="AY378" i="1"/>
  <c r="AY379" i="1"/>
  <c r="AY380" i="1"/>
  <c r="AY381" i="1"/>
  <c r="AY382" i="1"/>
  <c r="AY383" i="1"/>
  <c r="AY384" i="1"/>
  <c r="AY385" i="1"/>
  <c r="AY386" i="1"/>
  <c r="AY387" i="1"/>
  <c r="AY388" i="1"/>
  <c r="AY389" i="1"/>
  <c r="AY390" i="1"/>
  <c r="AY391" i="1"/>
  <c r="AY392" i="1"/>
  <c r="AY393" i="1"/>
  <c r="AY394" i="1"/>
  <c r="AY395" i="1"/>
  <c r="AY396" i="1"/>
  <c r="AY397" i="1"/>
  <c r="AY398" i="1"/>
  <c r="AY399" i="1"/>
  <c r="AY400" i="1"/>
  <c r="AY401" i="1"/>
  <c r="AY402" i="1"/>
  <c r="AY403" i="1"/>
  <c r="AY404" i="1"/>
  <c r="AY405" i="1"/>
  <c r="AY406" i="1"/>
  <c r="AY407" i="1"/>
  <c r="AY408" i="1"/>
  <c r="AY409" i="1"/>
  <c r="AY410" i="1"/>
  <c r="AY411" i="1"/>
  <c r="AY412" i="1"/>
  <c r="AY413" i="1"/>
  <c r="AY414" i="1"/>
  <c r="AY415" i="1"/>
  <c r="AY416" i="1"/>
  <c r="AY417" i="1"/>
  <c r="AY418" i="1"/>
  <c r="AY419" i="1"/>
  <c r="AY420" i="1"/>
  <c r="AY421" i="1"/>
  <c r="AY422" i="1"/>
  <c r="AY423" i="1"/>
  <c r="AY424" i="1"/>
  <c r="AY425" i="1"/>
  <c r="AY426" i="1"/>
  <c r="AY427" i="1"/>
  <c r="AY428" i="1"/>
  <c r="AY429" i="1"/>
  <c r="AY430" i="1"/>
  <c r="AY431" i="1"/>
  <c r="AY432" i="1"/>
  <c r="AY433" i="1"/>
  <c r="AY434" i="1"/>
  <c r="AY435" i="1"/>
  <c r="AY436" i="1"/>
  <c r="AY437" i="1"/>
  <c r="AY438" i="1"/>
  <c r="AY439" i="1"/>
  <c r="AY440" i="1"/>
  <c r="AY441" i="1"/>
  <c r="AY442" i="1"/>
  <c r="AY443" i="1"/>
  <c r="AY444" i="1"/>
  <c r="AY445" i="1"/>
  <c r="AY446" i="1"/>
  <c r="AY447" i="1"/>
  <c r="AY448" i="1"/>
  <c r="AY449" i="1"/>
  <c r="AY450" i="1"/>
  <c r="AY451" i="1"/>
  <c r="AY452" i="1"/>
  <c r="AY453" i="1"/>
  <c r="AY454" i="1"/>
  <c r="AY455" i="1"/>
  <c r="AY456" i="1"/>
  <c r="AY457" i="1"/>
  <c r="AY458" i="1"/>
  <c r="AY459" i="1"/>
  <c r="AY460" i="1"/>
  <c r="AY461" i="1"/>
  <c r="AY462" i="1"/>
  <c r="AY463" i="1"/>
  <c r="AY464" i="1"/>
  <c r="AY465" i="1"/>
  <c r="AY466" i="1"/>
  <c r="AY467" i="1"/>
  <c r="AY468" i="1"/>
  <c r="AY469" i="1"/>
  <c r="AY470" i="1"/>
  <c r="AY471" i="1"/>
  <c r="AY472" i="1"/>
  <c r="AY473" i="1"/>
  <c r="AY474" i="1"/>
  <c r="AY475" i="1"/>
  <c r="AY476" i="1"/>
  <c r="AY477" i="1"/>
  <c r="AY478" i="1"/>
  <c r="AY479" i="1"/>
  <c r="AY480" i="1"/>
  <c r="AY481" i="1"/>
  <c r="AY482" i="1"/>
  <c r="AY483" i="1"/>
  <c r="AY484" i="1"/>
  <c r="AY485" i="1"/>
  <c r="AY486" i="1"/>
  <c r="AY487" i="1"/>
  <c r="AY488" i="1"/>
  <c r="AY489" i="1"/>
  <c r="AY490" i="1"/>
  <c r="AY491" i="1"/>
  <c r="AY492" i="1"/>
  <c r="AY493" i="1"/>
  <c r="AY494" i="1"/>
  <c r="AY495" i="1"/>
  <c r="AY496" i="1"/>
  <c r="AY497" i="1"/>
  <c r="AY498" i="1"/>
  <c r="AY499" i="1"/>
  <c r="AY500" i="1"/>
  <c r="AY501" i="1"/>
  <c r="AY502" i="1"/>
  <c r="AY503" i="1"/>
  <c r="AY504" i="1"/>
  <c r="AY505" i="1"/>
  <c r="AY506" i="1"/>
  <c r="AY507" i="1"/>
  <c r="AY508" i="1"/>
  <c r="AY509" i="1"/>
  <c r="AY510" i="1"/>
  <c r="AY511" i="1"/>
  <c r="AY512" i="1"/>
  <c r="AY513" i="1"/>
  <c r="AY514" i="1"/>
  <c r="AY515" i="1"/>
  <c r="AY516" i="1"/>
  <c r="AY517" i="1"/>
  <c r="AY518" i="1"/>
  <c r="AY519" i="1"/>
  <c r="AY520" i="1"/>
  <c r="AY521" i="1"/>
  <c r="AY522" i="1"/>
  <c r="AY523" i="1"/>
  <c r="AY524" i="1"/>
  <c r="AY525" i="1"/>
  <c r="AY526" i="1"/>
  <c r="AY527" i="1"/>
  <c r="AY528" i="1"/>
  <c r="AY529" i="1"/>
  <c r="AY530" i="1"/>
  <c r="AY531" i="1"/>
  <c r="AY532" i="1"/>
  <c r="AY533" i="1"/>
  <c r="AY534" i="1"/>
  <c r="AY535" i="1"/>
  <c r="AY536" i="1"/>
  <c r="AY537" i="1"/>
  <c r="AY538" i="1"/>
  <c r="AY539" i="1"/>
  <c r="AY540" i="1"/>
  <c r="AY541" i="1"/>
  <c r="AY542" i="1"/>
  <c r="AY543" i="1"/>
  <c r="AY544" i="1"/>
  <c r="AY545" i="1"/>
  <c r="AY546" i="1"/>
  <c r="AY547" i="1"/>
  <c r="AY548" i="1"/>
  <c r="AY549" i="1"/>
  <c r="AY550" i="1"/>
  <c r="AY551" i="1"/>
  <c r="AY552" i="1"/>
  <c r="AY553" i="1"/>
  <c r="AY554" i="1"/>
  <c r="AY555" i="1"/>
  <c r="AY556" i="1"/>
  <c r="AY557" i="1"/>
  <c r="AY558" i="1"/>
  <c r="AY559" i="1"/>
  <c r="AY560" i="1"/>
  <c r="AY561" i="1"/>
  <c r="AY562" i="1"/>
  <c r="AY563" i="1"/>
  <c r="AY564" i="1"/>
  <c r="AY565" i="1"/>
  <c r="AY566" i="1"/>
  <c r="AY567" i="1"/>
  <c r="AY568" i="1"/>
  <c r="AY569" i="1"/>
  <c r="AY570" i="1"/>
  <c r="AY571" i="1"/>
  <c r="AY572" i="1"/>
  <c r="AY573" i="1"/>
  <c r="AY574" i="1"/>
  <c r="AY575" i="1"/>
  <c r="AY576" i="1"/>
  <c r="AY577" i="1"/>
  <c r="AY578" i="1"/>
  <c r="AY579" i="1"/>
  <c r="AY580" i="1"/>
  <c r="AY581" i="1"/>
  <c r="AY582" i="1"/>
  <c r="AZ10" i="1"/>
  <c r="AZ11" i="1"/>
  <c r="AZ12" i="1"/>
  <c r="AZ13" i="1"/>
  <c r="AZ14" i="1"/>
  <c r="AZ15" i="1"/>
  <c r="AZ16" i="1"/>
  <c r="AZ17" i="1"/>
  <c r="AZ18" i="1"/>
  <c r="AZ19" i="1"/>
  <c r="AZ20" i="1"/>
  <c r="AZ21" i="1"/>
  <c r="AZ22" i="1"/>
  <c r="AZ23" i="1"/>
  <c r="AZ24" i="1"/>
  <c r="AZ25" i="1"/>
  <c r="AZ26" i="1"/>
  <c r="AZ27" i="1"/>
  <c r="AZ28" i="1"/>
  <c r="AZ29" i="1"/>
  <c r="AZ30" i="1"/>
  <c r="AZ31" i="1"/>
  <c r="AZ32" i="1"/>
  <c r="AZ33" i="1"/>
  <c r="AZ34" i="1"/>
  <c r="AZ35" i="1"/>
  <c r="AZ36" i="1"/>
  <c r="AZ37" i="1"/>
  <c r="AZ38" i="1"/>
  <c r="AZ39" i="1"/>
  <c r="AZ40" i="1"/>
  <c r="AZ41" i="1"/>
  <c r="AZ42" i="1"/>
  <c r="AZ43" i="1"/>
  <c r="AZ44" i="1"/>
  <c r="AZ45" i="1"/>
  <c r="AZ46" i="1"/>
  <c r="AZ47" i="1"/>
  <c r="AZ48" i="1"/>
  <c r="AZ49" i="1"/>
  <c r="AZ50" i="1"/>
  <c r="AZ51" i="1"/>
  <c r="AZ52" i="1"/>
  <c r="AZ53" i="1"/>
  <c r="AZ54" i="1"/>
  <c r="AZ55" i="1"/>
  <c r="AZ56" i="1"/>
  <c r="AZ57" i="1"/>
  <c r="AZ58" i="1"/>
  <c r="AZ59" i="1"/>
  <c r="AZ60" i="1"/>
  <c r="AZ61" i="1"/>
  <c r="AZ62" i="1"/>
  <c r="AZ63" i="1"/>
  <c r="AZ64" i="1"/>
  <c r="AZ65" i="1"/>
  <c r="AZ66" i="1"/>
  <c r="AZ67" i="1"/>
  <c r="AZ68" i="1"/>
  <c r="AZ69" i="1"/>
  <c r="AZ70" i="1"/>
  <c r="AZ71" i="1"/>
  <c r="AZ72" i="1"/>
  <c r="AZ73" i="1"/>
  <c r="AZ74" i="1"/>
  <c r="AZ75" i="1"/>
  <c r="AZ76" i="1"/>
  <c r="AZ77" i="1"/>
  <c r="AZ78" i="1"/>
  <c r="AZ79" i="1"/>
  <c r="AZ80" i="1"/>
  <c r="AZ81" i="1"/>
  <c r="AZ82" i="1"/>
  <c r="AZ83" i="1"/>
  <c r="AZ84" i="1"/>
  <c r="AZ85" i="1"/>
  <c r="AZ86" i="1"/>
  <c r="AZ87" i="1"/>
  <c r="AZ88" i="1"/>
  <c r="AZ89" i="1"/>
  <c r="AZ90" i="1"/>
  <c r="AZ91" i="1"/>
  <c r="AZ92" i="1"/>
  <c r="AZ93" i="1"/>
  <c r="AZ94" i="1"/>
  <c r="AZ95" i="1"/>
  <c r="AZ96" i="1"/>
  <c r="AZ97" i="1"/>
  <c r="AZ98" i="1"/>
  <c r="AZ99" i="1"/>
  <c r="AZ100" i="1"/>
  <c r="AZ101" i="1"/>
  <c r="AZ102" i="1"/>
  <c r="AZ103" i="1"/>
  <c r="AZ104" i="1"/>
  <c r="AZ105" i="1"/>
  <c r="AZ106" i="1"/>
  <c r="AZ107" i="1"/>
  <c r="AZ108" i="1"/>
  <c r="AZ109" i="1"/>
  <c r="AZ110" i="1"/>
  <c r="AZ111" i="1"/>
  <c r="AZ112" i="1"/>
  <c r="AZ113" i="1"/>
  <c r="AZ114" i="1"/>
  <c r="AZ115" i="1"/>
  <c r="AZ116" i="1"/>
  <c r="AZ117" i="1"/>
  <c r="AZ118" i="1"/>
  <c r="AZ119" i="1"/>
  <c r="AZ120" i="1"/>
  <c r="AZ121" i="1"/>
  <c r="AZ122" i="1"/>
  <c r="AZ123" i="1"/>
  <c r="AZ124" i="1"/>
  <c r="AZ125" i="1"/>
  <c r="AZ126" i="1"/>
  <c r="AZ127" i="1"/>
  <c r="AZ128" i="1"/>
  <c r="AZ129" i="1"/>
  <c r="AZ130" i="1"/>
  <c r="AZ131" i="1"/>
  <c r="AZ132" i="1"/>
  <c r="AZ133" i="1"/>
  <c r="AZ134" i="1"/>
  <c r="AZ135" i="1"/>
  <c r="AZ136" i="1"/>
  <c r="AZ137" i="1"/>
  <c r="AZ138" i="1"/>
  <c r="AZ139" i="1"/>
  <c r="AZ140" i="1"/>
  <c r="AZ141" i="1"/>
  <c r="AZ142" i="1"/>
  <c r="AZ143" i="1"/>
  <c r="AZ144" i="1"/>
  <c r="AZ145" i="1"/>
  <c r="AZ146" i="1"/>
  <c r="AZ147" i="1"/>
  <c r="AZ148" i="1"/>
  <c r="AZ149" i="1"/>
  <c r="AZ150" i="1"/>
  <c r="AZ151" i="1"/>
  <c r="AZ152" i="1"/>
  <c r="AZ153" i="1"/>
  <c r="AZ154" i="1"/>
  <c r="AZ155" i="1"/>
  <c r="AZ156" i="1"/>
  <c r="AZ157" i="1"/>
  <c r="AZ158" i="1"/>
  <c r="AZ159" i="1"/>
  <c r="AZ160" i="1"/>
  <c r="AZ161" i="1"/>
  <c r="AZ162" i="1"/>
  <c r="AZ163" i="1"/>
  <c r="AZ164" i="1"/>
  <c r="AZ165" i="1"/>
  <c r="AZ166" i="1"/>
  <c r="AZ167" i="1"/>
  <c r="AZ168" i="1"/>
  <c r="AZ169" i="1"/>
  <c r="AZ170" i="1"/>
  <c r="AZ171" i="1"/>
  <c r="AZ172" i="1"/>
  <c r="AZ173" i="1"/>
  <c r="AZ174" i="1"/>
  <c r="AZ175" i="1"/>
  <c r="AZ176" i="1"/>
  <c r="AZ177" i="1"/>
  <c r="AZ178" i="1"/>
  <c r="AZ179" i="1"/>
  <c r="AZ180" i="1"/>
  <c r="AZ181" i="1"/>
  <c r="AZ182" i="1"/>
  <c r="AZ183" i="1"/>
  <c r="AZ184" i="1"/>
  <c r="AZ185" i="1"/>
  <c r="AZ186" i="1"/>
  <c r="AZ187" i="1"/>
  <c r="AZ188" i="1"/>
  <c r="AZ189" i="1"/>
  <c r="AZ190" i="1"/>
  <c r="AZ191" i="1"/>
  <c r="AZ192" i="1"/>
  <c r="AZ193" i="1"/>
  <c r="AZ194" i="1"/>
  <c r="AZ195" i="1"/>
  <c r="AZ196" i="1"/>
  <c r="AZ197" i="1"/>
  <c r="AZ198" i="1"/>
  <c r="AZ199" i="1"/>
  <c r="AZ200" i="1"/>
  <c r="AZ201" i="1"/>
  <c r="AZ202" i="1"/>
  <c r="AZ203" i="1"/>
  <c r="AZ204" i="1"/>
  <c r="AZ205" i="1"/>
  <c r="AZ206" i="1"/>
  <c r="AZ207" i="1"/>
  <c r="AZ208" i="1"/>
  <c r="AZ209" i="1"/>
  <c r="AZ210" i="1"/>
  <c r="AZ211" i="1"/>
  <c r="AZ212" i="1"/>
  <c r="AZ213" i="1"/>
  <c r="AZ214" i="1"/>
  <c r="AZ215" i="1"/>
  <c r="AZ216" i="1"/>
  <c r="AZ217" i="1"/>
  <c r="AZ218" i="1"/>
  <c r="AZ219" i="1"/>
  <c r="AZ220" i="1"/>
  <c r="AZ221" i="1"/>
  <c r="AZ222" i="1"/>
  <c r="AZ223" i="1"/>
  <c r="AZ224" i="1"/>
  <c r="AZ225" i="1"/>
  <c r="AZ226" i="1"/>
  <c r="AZ227" i="1"/>
  <c r="AZ228" i="1"/>
  <c r="AZ229" i="1"/>
  <c r="AZ230" i="1"/>
  <c r="AZ231" i="1"/>
  <c r="AZ232" i="1"/>
  <c r="AZ233" i="1"/>
  <c r="AZ234" i="1"/>
  <c r="AZ235" i="1"/>
  <c r="AZ236" i="1"/>
  <c r="AZ237" i="1"/>
  <c r="AZ238" i="1"/>
  <c r="AZ239" i="1"/>
  <c r="AZ240" i="1"/>
  <c r="AZ241" i="1"/>
  <c r="AZ242" i="1"/>
  <c r="AZ243" i="1"/>
  <c r="AZ244" i="1"/>
  <c r="AZ245" i="1"/>
  <c r="AZ246" i="1"/>
  <c r="AZ247" i="1"/>
  <c r="AZ248" i="1"/>
  <c r="AZ249" i="1"/>
  <c r="AZ250" i="1"/>
  <c r="AZ251" i="1"/>
  <c r="AZ252" i="1"/>
  <c r="AZ253" i="1"/>
  <c r="AZ254" i="1"/>
  <c r="AZ255" i="1"/>
  <c r="AZ256" i="1"/>
  <c r="AZ257" i="1"/>
  <c r="AZ258" i="1"/>
  <c r="AZ259" i="1"/>
  <c r="AZ260" i="1"/>
  <c r="AZ261" i="1"/>
  <c r="AZ262" i="1"/>
  <c r="AZ263" i="1"/>
  <c r="AZ264" i="1"/>
  <c r="AZ265" i="1"/>
  <c r="AZ266" i="1"/>
  <c r="AZ267" i="1"/>
  <c r="AZ268" i="1"/>
  <c r="AZ269" i="1"/>
  <c r="AZ270" i="1"/>
  <c r="AZ271" i="1"/>
  <c r="AZ272" i="1"/>
  <c r="AZ273" i="1"/>
  <c r="AZ274" i="1"/>
  <c r="AZ275" i="1"/>
  <c r="AZ276" i="1"/>
  <c r="AZ277" i="1"/>
  <c r="AZ278" i="1"/>
  <c r="AZ279" i="1"/>
  <c r="AZ280" i="1"/>
  <c r="AZ281" i="1"/>
  <c r="AZ282" i="1"/>
  <c r="AZ283" i="1"/>
  <c r="AZ284" i="1"/>
  <c r="AZ285" i="1"/>
  <c r="AZ286" i="1"/>
  <c r="AZ287" i="1"/>
  <c r="AZ288" i="1"/>
  <c r="AZ289" i="1"/>
  <c r="AZ290" i="1"/>
  <c r="AZ291" i="1"/>
  <c r="AZ292" i="1"/>
  <c r="AZ293" i="1"/>
  <c r="AZ294" i="1"/>
  <c r="AZ295" i="1"/>
  <c r="AZ296" i="1"/>
  <c r="AZ297" i="1"/>
  <c r="AZ298" i="1"/>
  <c r="AZ299" i="1"/>
  <c r="AZ300" i="1"/>
  <c r="AZ301" i="1"/>
  <c r="AZ302" i="1"/>
  <c r="AZ303" i="1"/>
  <c r="AZ304" i="1"/>
  <c r="AZ305" i="1"/>
  <c r="AZ306" i="1"/>
  <c r="AZ307" i="1"/>
  <c r="AZ308" i="1"/>
  <c r="AZ309" i="1"/>
  <c r="AZ310" i="1"/>
  <c r="AZ311" i="1"/>
  <c r="AZ312" i="1"/>
  <c r="AZ313" i="1"/>
  <c r="AZ314" i="1"/>
  <c r="AZ315" i="1"/>
  <c r="AZ316" i="1"/>
  <c r="AZ317" i="1"/>
  <c r="AZ318" i="1"/>
  <c r="AZ319" i="1"/>
  <c r="AZ320" i="1"/>
  <c r="AZ321" i="1"/>
  <c r="AZ322" i="1"/>
  <c r="AZ323" i="1"/>
  <c r="AZ324" i="1"/>
  <c r="AZ325" i="1"/>
  <c r="AZ326" i="1"/>
  <c r="AZ327" i="1"/>
  <c r="AZ328" i="1"/>
  <c r="AZ329" i="1"/>
  <c r="AZ330" i="1"/>
  <c r="AZ331" i="1"/>
  <c r="AZ332" i="1"/>
  <c r="AZ333" i="1"/>
  <c r="AZ334" i="1"/>
  <c r="AZ335" i="1"/>
  <c r="AZ336" i="1"/>
  <c r="AZ337" i="1"/>
  <c r="AZ338" i="1"/>
  <c r="AZ339" i="1"/>
  <c r="AZ340" i="1"/>
  <c r="AZ341" i="1"/>
  <c r="AZ342" i="1"/>
  <c r="AZ343" i="1"/>
  <c r="AZ344" i="1"/>
  <c r="AZ345" i="1"/>
  <c r="AZ346" i="1"/>
  <c r="AZ347" i="1"/>
  <c r="AZ348" i="1"/>
  <c r="AZ349" i="1"/>
  <c r="AZ350" i="1"/>
  <c r="AZ351" i="1"/>
  <c r="AZ352" i="1"/>
  <c r="AZ353" i="1"/>
  <c r="AZ354" i="1"/>
  <c r="AZ355" i="1"/>
  <c r="AZ356" i="1"/>
  <c r="AZ357" i="1"/>
  <c r="AZ358" i="1"/>
  <c r="AZ359" i="1"/>
  <c r="AZ360" i="1"/>
  <c r="AZ361" i="1"/>
  <c r="AZ362" i="1"/>
  <c r="AZ363" i="1"/>
  <c r="AZ364" i="1"/>
  <c r="AZ365" i="1"/>
  <c r="AZ366" i="1"/>
  <c r="AZ367" i="1"/>
  <c r="AZ368" i="1"/>
  <c r="AZ369" i="1"/>
  <c r="AZ370" i="1"/>
  <c r="AZ371" i="1"/>
  <c r="AZ372" i="1"/>
  <c r="AZ373" i="1"/>
  <c r="AZ374" i="1"/>
  <c r="AZ375" i="1"/>
  <c r="AZ376" i="1"/>
  <c r="AZ377" i="1"/>
  <c r="AZ378" i="1"/>
  <c r="AZ379" i="1"/>
  <c r="AZ380" i="1"/>
  <c r="AZ381" i="1"/>
  <c r="AZ382" i="1"/>
  <c r="AZ383" i="1"/>
  <c r="AZ384" i="1"/>
  <c r="AZ385" i="1"/>
  <c r="AZ386" i="1"/>
  <c r="AZ387" i="1"/>
  <c r="AZ388" i="1"/>
  <c r="AZ389" i="1"/>
  <c r="AZ390" i="1"/>
  <c r="AZ391" i="1"/>
  <c r="AZ392" i="1"/>
  <c r="AZ393" i="1"/>
  <c r="AZ394" i="1"/>
  <c r="AZ395" i="1"/>
  <c r="AZ396" i="1"/>
  <c r="AZ397" i="1"/>
  <c r="AZ398" i="1"/>
  <c r="AZ399" i="1"/>
  <c r="AZ400" i="1"/>
  <c r="AZ401" i="1"/>
  <c r="AZ402" i="1"/>
  <c r="AZ403" i="1"/>
  <c r="AZ404" i="1"/>
  <c r="AZ405" i="1"/>
  <c r="AZ406" i="1"/>
  <c r="AZ407" i="1"/>
  <c r="AZ408" i="1"/>
  <c r="AZ409" i="1"/>
  <c r="AZ410" i="1"/>
  <c r="AZ411" i="1"/>
  <c r="AZ412" i="1"/>
  <c r="AZ413" i="1"/>
  <c r="AZ414" i="1"/>
  <c r="AZ415" i="1"/>
  <c r="AZ416" i="1"/>
  <c r="AZ417" i="1"/>
  <c r="AZ418" i="1"/>
  <c r="AZ419" i="1"/>
  <c r="AZ420" i="1"/>
  <c r="AZ421" i="1"/>
  <c r="AZ422" i="1"/>
  <c r="AZ423" i="1"/>
  <c r="AZ424" i="1"/>
  <c r="AZ425" i="1"/>
  <c r="AZ426" i="1"/>
  <c r="AZ427" i="1"/>
  <c r="AZ428" i="1"/>
  <c r="AZ429" i="1"/>
  <c r="AZ430" i="1"/>
  <c r="AZ431" i="1"/>
  <c r="AZ432" i="1"/>
  <c r="AZ433" i="1"/>
  <c r="AZ434" i="1"/>
  <c r="AZ435" i="1"/>
  <c r="AZ436" i="1"/>
  <c r="AZ437" i="1"/>
  <c r="AZ438" i="1"/>
  <c r="AZ439" i="1"/>
  <c r="AZ440" i="1"/>
  <c r="AZ441" i="1"/>
  <c r="AZ442" i="1"/>
  <c r="AZ443" i="1"/>
  <c r="AZ444" i="1"/>
  <c r="AZ445" i="1"/>
  <c r="AZ446" i="1"/>
  <c r="AZ447" i="1"/>
  <c r="AZ448" i="1"/>
  <c r="AZ449" i="1"/>
  <c r="AZ450" i="1"/>
  <c r="AZ451" i="1"/>
  <c r="AZ452" i="1"/>
  <c r="AZ453" i="1"/>
  <c r="AZ454" i="1"/>
  <c r="AZ455" i="1"/>
  <c r="AZ456" i="1"/>
  <c r="AZ457" i="1"/>
  <c r="AZ458" i="1"/>
  <c r="AZ459" i="1"/>
  <c r="AZ460" i="1"/>
  <c r="AZ461" i="1"/>
  <c r="AZ462" i="1"/>
  <c r="AZ463" i="1"/>
  <c r="AZ464" i="1"/>
  <c r="AZ465" i="1"/>
  <c r="AZ466" i="1"/>
  <c r="AZ467" i="1"/>
  <c r="AZ468" i="1"/>
  <c r="AZ469" i="1"/>
  <c r="AZ470" i="1"/>
  <c r="AZ471" i="1"/>
  <c r="AZ472" i="1"/>
  <c r="AZ473" i="1"/>
  <c r="AZ474" i="1"/>
  <c r="AZ475" i="1"/>
  <c r="AZ476" i="1"/>
  <c r="AZ477" i="1"/>
  <c r="AZ478" i="1"/>
  <c r="AZ479" i="1"/>
  <c r="AZ480" i="1"/>
  <c r="AZ481" i="1"/>
  <c r="AZ482" i="1"/>
  <c r="AZ483" i="1"/>
  <c r="AZ484" i="1"/>
  <c r="AZ485" i="1"/>
  <c r="AZ486" i="1"/>
  <c r="AZ487" i="1"/>
  <c r="AZ488" i="1"/>
  <c r="AZ489" i="1"/>
  <c r="AZ490" i="1"/>
  <c r="AZ491" i="1"/>
  <c r="AZ492" i="1"/>
  <c r="AZ493" i="1"/>
  <c r="AZ494" i="1"/>
  <c r="AZ495" i="1"/>
  <c r="AZ496" i="1"/>
  <c r="AZ497" i="1"/>
  <c r="AZ498" i="1"/>
  <c r="AZ499" i="1"/>
  <c r="AZ500" i="1"/>
  <c r="AZ501" i="1"/>
  <c r="AZ502" i="1"/>
  <c r="AZ503" i="1"/>
  <c r="AZ504" i="1"/>
  <c r="AZ505" i="1"/>
  <c r="AZ506" i="1"/>
  <c r="AZ507" i="1"/>
  <c r="AZ508" i="1"/>
  <c r="AZ509" i="1"/>
  <c r="AZ510" i="1"/>
  <c r="AZ511" i="1"/>
  <c r="AZ512" i="1"/>
  <c r="AZ513" i="1"/>
  <c r="AZ514" i="1"/>
  <c r="AZ515" i="1"/>
  <c r="AZ516" i="1"/>
  <c r="AZ517" i="1"/>
  <c r="AZ518" i="1"/>
  <c r="AZ519" i="1"/>
  <c r="AZ520" i="1"/>
  <c r="AZ521" i="1"/>
  <c r="AZ522" i="1"/>
  <c r="AZ523" i="1"/>
  <c r="AZ524" i="1"/>
  <c r="AZ525" i="1"/>
  <c r="AZ526" i="1"/>
  <c r="AZ527" i="1"/>
  <c r="AZ528" i="1"/>
  <c r="AZ529" i="1"/>
  <c r="AZ530" i="1"/>
  <c r="AZ531" i="1"/>
  <c r="AZ532" i="1"/>
  <c r="AZ533" i="1"/>
  <c r="AZ534" i="1"/>
  <c r="AZ535" i="1"/>
  <c r="AZ536" i="1"/>
  <c r="AZ537" i="1"/>
  <c r="AZ538" i="1"/>
  <c r="AZ539" i="1"/>
  <c r="AZ540" i="1"/>
  <c r="AZ541" i="1"/>
  <c r="AZ542" i="1"/>
  <c r="AZ543" i="1"/>
  <c r="AZ544" i="1"/>
  <c r="AZ545" i="1"/>
  <c r="AZ546" i="1"/>
  <c r="AZ547" i="1"/>
  <c r="AZ548" i="1"/>
  <c r="AZ549" i="1"/>
  <c r="AZ550" i="1"/>
  <c r="AZ551" i="1"/>
  <c r="AZ552" i="1"/>
  <c r="AZ553" i="1"/>
  <c r="AZ554" i="1"/>
  <c r="AZ555" i="1"/>
  <c r="AZ556" i="1"/>
  <c r="AZ557" i="1"/>
  <c r="AZ558" i="1"/>
  <c r="AZ559" i="1"/>
  <c r="AZ560" i="1"/>
  <c r="AZ561" i="1"/>
  <c r="AZ562" i="1"/>
  <c r="AZ563" i="1"/>
  <c r="AZ564" i="1"/>
  <c r="AZ565" i="1"/>
  <c r="AZ566" i="1"/>
  <c r="AZ567" i="1"/>
  <c r="AZ568" i="1"/>
  <c r="AZ569" i="1"/>
  <c r="AZ570" i="1"/>
  <c r="AZ571" i="1"/>
  <c r="AZ572" i="1"/>
  <c r="AZ573" i="1"/>
  <c r="AZ574" i="1"/>
  <c r="AZ575" i="1"/>
  <c r="AZ576" i="1"/>
  <c r="AZ577" i="1"/>
  <c r="AZ578" i="1"/>
  <c r="AZ579" i="1"/>
  <c r="AZ580" i="1"/>
  <c r="AZ581" i="1"/>
  <c r="AZ582" i="1"/>
  <c r="AZ9" i="1"/>
  <c r="AZ7" i="1"/>
  <c r="AZ8" i="1"/>
  <c r="BA7" i="1"/>
  <c r="BA8" i="1"/>
  <c r="BA9" i="1"/>
  <c r="BA10" i="1"/>
  <c r="BA11" i="1"/>
  <c r="BA12" i="1"/>
  <c r="BA13" i="1"/>
  <c r="BA14" i="1"/>
  <c r="BA15" i="1"/>
  <c r="BA16" i="1"/>
  <c r="BA17" i="1"/>
  <c r="BA18" i="1"/>
  <c r="BA19" i="1"/>
  <c r="BA20" i="1"/>
  <c r="BA21" i="1"/>
  <c r="BA22" i="1"/>
  <c r="BA23" i="1"/>
  <c r="BA24" i="1"/>
  <c r="BA25" i="1"/>
  <c r="BA26" i="1"/>
  <c r="BA27" i="1"/>
  <c r="BA28" i="1"/>
  <c r="BA29" i="1"/>
  <c r="BA30" i="1"/>
  <c r="BA31" i="1"/>
  <c r="BA32" i="1"/>
  <c r="BA33" i="1"/>
  <c r="BA34" i="1"/>
  <c r="BA35" i="1"/>
  <c r="BA36" i="1"/>
  <c r="BA37" i="1"/>
  <c r="BA38" i="1"/>
  <c r="BA39" i="1"/>
  <c r="BA40" i="1"/>
  <c r="BA41" i="1"/>
  <c r="BA42" i="1"/>
  <c r="BA43" i="1"/>
  <c r="BA44" i="1"/>
  <c r="BA45" i="1"/>
  <c r="BA46" i="1"/>
  <c r="BA47" i="1"/>
  <c r="BA48" i="1"/>
  <c r="BA49" i="1"/>
  <c r="BA50" i="1"/>
  <c r="BA51" i="1"/>
  <c r="BA52" i="1"/>
  <c r="BA53" i="1"/>
  <c r="BA54" i="1"/>
  <c r="BA55" i="1"/>
  <c r="BA56" i="1"/>
  <c r="BA57" i="1"/>
  <c r="BA58" i="1"/>
  <c r="BA59" i="1"/>
  <c r="BA60" i="1"/>
  <c r="BA61" i="1"/>
  <c r="BA62" i="1"/>
  <c r="BA63" i="1"/>
  <c r="BA64" i="1"/>
  <c r="BA65" i="1"/>
  <c r="BA66" i="1"/>
  <c r="BA67" i="1"/>
  <c r="BA68" i="1"/>
  <c r="BA69" i="1"/>
  <c r="BA70" i="1"/>
  <c r="BA71" i="1"/>
  <c r="BA72" i="1"/>
  <c r="BA73" i="1"/>
  <c r="BA74" i="1"/>
  <c r="BA75" i="1"/>
  <c r="BA76" i="1"/>
  <c r="BA77" i="1"/>
  <c r="BA78" i="1"/>
  <c r="BA79" i="1"/>
  <c r="BA80" i="1"/>
  <c r="BA81" i="1"/>
  <c r="BA82" i="1"/>
  <c r="BA83" i="1"/>
  <c r="BA84" i="1"/>
  <c r="BA85" i="1"/>
  <c r="BA86" i="1"/>
  <c r="BA87" i="1"/>
  <c r="BA88" i="1"/>
  <c r="BA89" i="1"/>
  <c r="BA90" i="1"/>
  <c r="BA91" i="1"/>
  <c r="BA92" i="1"/>
  <c r="BA93" i="1"/>
  <c r="BA94" i="1"/>
  <c r="BA95" i="1"/>
  <c r="BA96" i="1"/>
  <c r="BA97" i="1"/>
  <c r="BA98" i="1"/>
  <c r="BA99" i="1"/>
  <c r="BA100" i="1"/>
  <c r="BA101" i="1"/>
  <c r="BA102" i="1"/>
  <c r="BA103" i="1"/>
  <c r="BA104" i="1"/>
  <c r="BA105" i="1"/>
  <c r="BA106" i="1"/>
  <c r="BA107" i="1"/>
  <c r="BA108" i="1"/>
  <c r="BA109" i="1"/>
  <c r="BA110" i="1"/>
  <c r="BA111" i="1"/>
  <c r="BA112" i="1"/>
  <c r="BA113" i="1"/>
  <c r="BA114" i="1"/>
  <c r="BA115" i="1"/>
  <c r="BA116" i="1"/>
  <c r="BA117" i="1"/>
  <c r="BA118" i="1"/>
  <c r="BA119" i="1"/>
  <c r="BA120" i="1"/>
  <c r="BA121" i="1"/>
  <c r="BA122" i="1"/>
  <c r="BA123" i="1"/>
  <c r="BA124" i="1"/>
  <c r="BA125" i="1"/>
  <c r="BA126" i="1"/>
  <c r="BA127" i="1"/>
  <c r="BA128" i="1"/>
  <c r="BA129" i="1"/>
  <c r="BA130" i="1"/>
  <c r="BA131" i="1"/>
  <c r="BA132" i="1"/>
  <c r="BA133" i="1"/>
  <c r="BA134" i="1"/>
  <c r="BA135" i="1"/>
  <c r="BA136" i="1"/>
  <c r="BA137" i="1"/>
  <c r="BA138" i="1"/>
  <c r="BA139" i="1"/>
  <c r="BA140" i="1"/>
  <c r="BA141" i="1"/>
  <c r="BA142" i="1"/>
  <c r="BA143" i="1"/>
  <c r="BA144" i="1"/>
  <c r="BA145" i="1"/>
  <c r="BA146" i="1"/>
  <c r="BA147" i="1"/>
  <c r="BA148" i="1"/>
  <c r="BA149" i="1"/>
  <c r="BA150" i="1"/>
  <c r="BA151" i="1"/>
  <c r="BA152" i="1"/>
  <c r="BA153" i="1"/>
  <c r="BA154" i="1"/>
  <c r="BA155" i="1"/>
  <c r="BA156" i="1"/>
  <c r="BA157" i="1"/>
  <c r="BA158" i="1"/>
  <c r="BA159" i="1"/>
  <c r="BA160" i="1"/>
  <c r="BA161" i="1"/>
  <c r="BA162" i="1"/>
  <c r="BA163" i="1"/>
  <c r="BA164" i="1"/>
  <c r="BA165" i="1"/>
  <c r="BA166" i="1"/>
  <c r="BA167" i="1"/>
  <c r="BA168" i="1"/>
  <c r="BA169" i="1"/>
  <c r="BA170" i="1"/>
  <c r="BA171" i="1"/>
  <c r="BA172" i="1"/>
  <c r="BA173" i="1"/>
  <c r="BA174" i="1"/>
  <c r="BA175" i="1"/>
  <c r="BA176" i="1"/>
  <c r="BA177" i="1"/>
  <c r="BA178" i="1"/>
  <c r="BA179" i="1"/>
  <c r="BA180" i="1"/>
  <c r="BA181" i="1"/>
  <c r="BA182" i="1"/>
  <c r="BA183" i="1"/>
  <c r="BA184" i="1"/>
  <c r="BA185" i="1"/>
  <c r="BA186" i="1"/>
  <c r="BA187" i="1"/>
  <c r="BA188" i="1"/>
  <c r="BA189" i="1"/>
  <c r="BA190" i="1"/>
  <c r="BA191" i="1"/>
  <c r="BA192" i="1"/>
  <c r="BA193" i="1"/>
  <c r="BA194" i="1"/>
  <c r="BA195" i="1"/>
  <c r="BA196" i="1"/>
  <c r="BA197" i="1"/>
  <c r="BA198" i="1"/>
  <c r="BA199" i="1"/>
  <c r="BA200" i="1"/>
  <c r="BA201" i="1"/>
  <c r="BA202" i="1"/>
  <c r="BA203" i="1"/>
  <c r="BA204" i="1"/>
  <c r="BA205" i="1"/>
  <c r="BA206" i="1"/>
  <c r="BA207" i="1"/>
  <c r="BA208" i="1"/>
  <c r="BA209" i="1"/>
  <c r="BA210" i="1"/>
  <c r="BA211" i="1"/>
  <c r="BA212" i="1"/>
  <c r="BA213" i="1"/>
  <c r="BA214" i="1"/>
  <c r="BA215" i="1"/>
  <c r="BA216" i="1"/>
  <c r="BA217" i="1"/>
  <c r="BA218" i="1"/>
  <c r="BA219" i="1"/>
  <c r="BA220" i="1"/>
  <c r="BA221" i="1"/>
  <c r="BA222" i="1"/>
  <c r="BA223" i="1"/>
  <c r="BA224" i="1"/>
  <c r="BA225" i="1"/>
  <c r="BA226" i="1"/>
  <c r="BA227" i="1"/>
  <c r="BA228" i="1"/>
  <c r="BA229" i="1"/>
  <c r="BA230" i="1"/>
  <c r="BA231" i="1"/>
  <c r="BA232" i="1"/>
  <c r="BA233" i="1"/>
  <c r="BA234" i="1"/>
  <c r="BA235" i="1"/>
  <c r="BA236" i="1"/>
  <c r="BA237" i="1"/>
  <c r="BA238" i="1"/>
  <c r="BA239" i="1"/>
  <c r="BA240" i="1"/>
  <c r="BA241" i="1"/>
  <c r="BA242" i="1"/>
  <c r="BA243" i="1"/>
  <c r="BA244" i="1"/>
  <c r="BA245" i="1"/>
  <c r="BA246" i="1"/>
  <c r="BA247" i="1"/>
  <c r="BA248" i="1"/>
  <c r="BA249" i="1"/>
  <c r="BA250" i="1"/>
  <c r="BA251" i="1"/>
  <c r="BA252" i="1"/>
  <c r="BA253" i="1"/>
  <c r="BA254" i="1"/>
  <c r="BA255" i="1"/>
  <c r="BA256" i="1"/>
  <c r="BA257" i="1"/>
  <c r="BA258" i="1"/>
  <c r="BA259" i="1"/>
  <c r="BA260" i="1"/>
  <c r="BA261" i="1"/>
  <c r="BA262" i="1"/>
  <c r="BA263" i="1"/>
  <c r="BA264" i="1"/>
  <c r="BA265" i="1"/>
  <c r="BA266" i="1"/>
  <c r="BA267" i="1"/>
  <c r="BA268" i="1"/>
  <c r="BA269" i="1"/>
  <c r="BA270" i="1"/>
  <c r="BA271" i="1"/>
  <c r="BA272" i="1"/>
  <c r="BA273" i="1"/>
  <c r="BA274" i="1"/>
  <c r="BA275" i="1"/>
  <c r="BA276" i="1"/>
  <c r="BA277" i="1"/>
  <c r="BA278" i="1"/>
  <c r="BA279" i="1"/>
  <c r="BA280" i="1"/>
  <c r="BA281" i="1"/>
  <c r="BA282" i="1"/>
  <c r="BA283" i="1"/>
  <c r="BA284" i="1"/>
  <c r="BA285" i="1"/>
  <c r="BA286" i="1"/>
  <c r="BA287" i="1"/>
  <c r="BA288" i="1"/>
  <c r="BA289" i="1"/>
  <c r="BA290" i="1"/>
  <c r="BA291" i="1"/>
  <c r="BA292" i="1"/>
  <c r="BA293" i="1"/>
  <c r="BA294" i="1"/>
  <c r="BA295" i="1"/>
  <c r="BA296" i="1"/>
  <c r="BA297" i="1"/>
  <c r="BA298" i="1"/>
  <c r="BA299" i="1"/>
  <c r="BA300" i="1"/>
  <c r="BA301" i="1"/>
  <c r="BA302" i="1"/>
  <c r="BA303" i="1"/>
  <c r="BA304" i="1"/>
  <c r="BA305" i="1"/>
  <c r="BA306" i="1"/>
  <c r="BA307" i="1"/>
  <c r="BA308" i="1"/>
  <c r="BA309" i="1"/>
  <c r="BA310" i="1"/>
  <c r="BA311" i="1"/>
  <c r="BA312" i="1"/>
  <c r="BA313" i="1"/>
  <c r="BA314" i="1"/>
  <c r="BA315" i="1"/>
  <c r="BA316" i="1"/>
  <c r="BA317" i="1"/>
  <c r="BA318" i="1"/>
  <c r="BA319" i="1"/>
  <c r="BA320" i="1"/>
  <c r="BA321" i="1"/>
  <c r="BA322" i="1"/>
  <c r="BA323" i="1"/>
  <c r="BA324" i="1"/>
  <c r="BA325" i="1"/>
  <c r="BA326" i="1"/>
  <c r="BA327" i="1"/>
  <c r="BA328" i="1"/>
  <c r="BA329" i="1"/>
  <c r="BA330" i="1"/>
  <c r="BA331" i="1"/>
  <c r="BA332" i="1"/>
  <c r="BA333" i="1"/>
  <c r="BA334" i="1"/>
  <c r="BA335" i="1"/>
  <c r="BA336" i="1"/>
  <c r="BA337" i="1"/>
  <c r="BA338" i="1"/>
  <c r="BA339" i="1"/>
  <c r="BA340" i="1"/>
  <c r="BA341" i="1"/>
  <c r="BA342" i="1"/>
  <c r="BA343" i="1"/>
  <c r="BA344" i="1"/>
  <c r="BA345" i="1"/>
  <c r="BA346" i="1"/>
  <c r="BA347" i="1"/>
  <c r="BA348" i="1"/>
  <c r="BA349" i="1"/>
  <c r="BA350" i="1"/>
  <c r="BA351" i="1"/>
  <c r="BA352" i="1"/>
  <c r="BA353" i="1"/>
  <c r="BA354" i="1"/>
  <c r="BA355" i="1"/>
  <c r="BA356" i="1"/>
  <c r="BA357" i="1"/>
  <c r="BA358" i="1"/>
  <c r="BA359" i="1"/>
  <c r="BA360" i="1"/>
  <c r="BA361" i="1"/>
  <c r="BA362" i="1"/>
  <c r="BA363" i="1"/>
  <c r="BA364" i="1"/>
  <c r="BA365" i="1"/>
  <c r="BA366" i="1"/>
  <c r="BA367" i="1"/>
  <c r="BA368" i="1"/>
  <c r="BA369" i="1"/>
  <c r="BA370" i="1"/>
  <c r="BA371" i="1"/>
  <c r="BA372" i="1"/>
  <c r="BA373" i="1"/>
  <c r="BA374" i="1"/>
  <c r="BA375" i="1"/>
  <c r="BA376" i="1"/>
  <c r="BA377" i="1"/>
  <c r="BA378" i="1"/>
  <c r="BA379" i="1"/>
  <c r="BA380" i="1"/>
  <c r="BA381" i="1"/>
  <c r="BA382" i="1"/>
  <c r="BA383" i="1"/>
  <c r="BA384" i="1"/>
  <c r="BA385" i="1"/>
  <c r="BA386" i="1"/>
  <c r="BA387" i="1"/>
  <c r="BA388" i="1"/>
  <c r="BA389" i="1"/>
  <c r="BA390" i="1"/>
  <c r="BA391" i="1"/>
  <c r="BA392" i="1"/>
  <c r="BA393" i="1"/>
  <c r="BA394" i="1"/>
  <c r="BA395" i="1"/>
  <c r="BA396" i="1"/>
  <c r="BA397" i="1"/>
  <c r="BA398" i="1"/>
  <c r="BA399" i="1"/>
  <c r="BA400" i="1"/>
  <c r="BA401" i="1"/>
  <c r="BA402" i="1"/>
  <c r="BA403" i="1"/>
  <c r="BA404" i="1"/>
  <c r="BA405" i="1"/>
  <c r="BA406" i="1"/>
  <c r="BA407" i="1"/>
  <c r="BA408" i="1"/>
  <c r="BA409" i="1"/>
  <c r="BA410" i="1"/>
  <c r="BA411" i="1"/>
  <c r="BA412" i="1"/>
  <c r="BA413" i="1"/>
  <c r="BA414" i="1"/>
  <c r="BA415" i="1"/>
  <c r="BA416" i="1"/>
  <c r="BA417" i="1"/>
  <c r="BA418" i="1"/>
  <c r="BA419" i="1"/>
  <c r="BA420" i="1"/>
  <c r="BA421" i="1"/>
  <c r="BA422" i="1"/>
  <c r="BA423" i="1"/>
  <c r="BA424" i="1"/>
  <c r="BA425" i="1"/>
  <c r="BA426" i="1"/>
  <c r="BA427" i="1"/>
  <c r="BA428" i="1"/>
  <c r="BA429" i="1"/>
  <c r="BA430" i="1"/>
  <c r="BA431" i="1"/>
  <c r="BA432" i="1"/>
  <c r="BA433" i="1"/>
  <c r="BA434" i="1"/>
  <c r="BA435" i="1"/>
  <c r="BA436" i="1"/>
  <c r="BA437" i="1"/>
  <c r="BA438" i="1"/>
  <c r="BA439" i="1"/>
  <c r="BA440" i="1"/>
  <c r="BA441" i="1"/>
  <c r="BA442" i="1"/>
  <c r="BA443" i="1"/>
  <c r="BA444" i="1"/>
  <c r="BA445" i="1"/>
  <c r="BA446" i="1"/>
  <c r="BA447" i="1"/>
  <c r="BA448" i="1"/>
  <c r="BA449" i="1"/>
  <c r="BA450" i="1"/>
  <c r="BA451" i="1"/>
  <c r="BA452" i="1"/>
  <c r="BA453" i="1"/>
  <c r="BA454" i="1"/>
  <c r="BA455" i="1"/>
  <c r="BA456" i="1"/>
  <c r="BA457" i="1"/>
  <c r="BA458" i="1"/>
  <c r="BA459" i="1"/>
  <c r="BA460" i="1"/>
  <c r="BA461" i="1"/>
  <c r="BA462" i="1"/>
  <c r="BA463" i="1"/>
  <c r="BA464" i="1"/>
  <c r="BA465" i="1"/>
  <c r="BA466" i="1"/>
  <c r="BA467" i="1"/>
  <c r="BA468" i="1"/>
  <c r="BA469" i="1"/>
  <c r="BA470" i="1"/>
  <c r="BA471" i="1"/>
  <c r="BA472" i="1"/>
  <c r="BA473" i="1"/>
  <c r="BA474" i="1"/>
  <c r="BA475" i="1"/>
  <c r="BA476" i="1"/>
  <c r="BA477" i="1"/>
  <c r="BA478" i="1"/>
  <c r="BA479" i="1"/>
  <c r="BA480" i="1"/>
  <c r="BA481" i="1"/>
  <c r="BA482" i="1"/>
  <c r="BA483" i="1"/>
  <c r="BA484" i="1"/>
  <c r="BA485" i="1"/>
  <c r="BA486" i="1"/>
  <c r="BA487" i="1"/>
  <c r="BA488" i="1"/>
  <c r="BA489" i="1"/>
  <c r="BA490" i="1"/>
  <c r="BA491" i="1"/>
  <c r="BA492" i="1"/>
  <c r="BA493" i="1"/>
  <c r="BA494" i="1"/>
  <c r="BA495" i="1"/>
  <c r="BA496" i="1"/>
  <c r="BA497" i="1"/>
  <c r="BA498" i="1"/>
  <c r="BA499" i="1"/>
  <c r="BA500" i="1"/>
  <c r="BA501" i="1"/>
  <c r="BA502" i="1"/>
  <c r="BA503" i="1"/>
  <c r="BA504" i="1"/>
  <c r="BA505" i="1"/>
  <c r="BA506" i="1"/>
  <c r="BA507" i="1"/>
  <c r="BA508" i="1"/>
  <c r="BA509" i="1"/>
  <c r="BA510" i="1"/>
  <c r="BA511" i="1"/>
  <c r="BA512" i="1"/>
  <c r="BA513" i="1"/>
  <c r="BA514" i="1"/>
  <c r="BA515" i="1"/>
  <c r="BA516" i="1"/>
  <c r="BA517" i="1"/>
  <c r="BA518" i="1"/>
  <c r="BA519" i="1"/>
  <c r="BA520" i="1"/>
  <c r="BA521" i="1"/>
  <c r="BA522" i="1"/>
  <c r="BA523" i="1"/>
  <c r="BA524" i="1"/>
  <c r="BA525" i="1"/>
  <c r="BA526" i="1"/>
  <c r="BA527" i="1"/>
  <c r="BA528" i="1"/>
  <c r="BA529" i="1"/>
  <c r="BA530" i="1"/>
  <c r="BA531" i="1"/>
  <c r="BA532" i="1"/>
  <c r="BA533" i="1"/>
  <c r="BA534" i="1"/>
  <c r="BA535" i="1"/>
  <c r="BA536" i="1"/>
  <c r="BA537" i="1"/>
  <c r="BA538" i="1"/>
  <c r="BA539" i="1"/>
  <c r="BA540" i="1"/>
  <c r="BA541" i="1"/>
  <c r="BA542" i="1"/>
  <c r="BA543" i="1"/>
  <c r="BA544" i="1"/>
  <c r="BA545" i="1"/>
  <c r="BA546" i="1"/>
  <c r="BA547" i="1"/>
  <c r="BA548" i="1"/>
  <c r="BA549" i="1"/>
  <c r="BA550" i="1"/>
  <c r="BA551" i="1"/>
  <c r="BA552" i="1"/>
  <c r="BA553" i="1"/>
  <c r="BA554" i="1"/>
  <c r="BA555" i="1"/>
  <c r="BA556" i="1"/>
  <c r="BA557" i="1"/>
  <c r="BA558" i="1"/>
  <c r="BA559" i="1"/>
  <c r="BA560" i="1"/>
  <c r="BA561" i="1"/>
  <c r="BA562" i="1"/>
  <c r="BA563" i="1"/>
  <c r="BA564" i="1"/>
  <c r="BA565" i="1"/>
  <c r="BA566" i="1"/>
  <c r="BA567" i="1"/>
  <c r="BA568" i="1"/>
  <c r="BA569" i="1"/>
  <c r="BA570" i="1"/>
  <c r="BA571" i="1"/>
  <c r="BA572" i="1"/>
  <c r="BA573" i="1"/>
  <c r="BA574" i="1"/>
  <c r="BA575" i="1"/>
  <c r="BA576" i="1"/>
  <c r="BA577" i="1"/>
  <c r="BA578" i="1"/>
  <c r="BA579" i="1"/>
  <c r="BA580" i="1"/>
  <c r="BA581" i="1"/>
  <c r="BA582" i="1"/>
  <c r="BB9" i="1"/>
  <c r="S9" i="1"/>
  <c r="Q9" i="1"/>
  <c r="A9" i="1"/>
  <c r="S495" i="1" l="1"/>
  <c r="S490" i="1"/>
  <c r="S489" i="1"/>
  <c r="S488" i="1"/>
  <c r="S487" i="1"/>
  <c r="S486" i="1"/>
  <c r="S485" i="1"/>
  <c r="S484" i="1"/>
  <c r="S483" i="1"/>
  <c r="S462" i="1"/>
  <c r="S453" i="1"/>
  <c r="S452" i="1"/>
  <c r="S451" i="1"/>
  <c r="S450" i="1"/>
  <c r="S449" i="1"/>
  <c r="S448" i="1"/>
  <c r="S447" i="1"/>
  <c r="S446" i="1"/>
  <c r="S445" i="1"/>
  <c r="S433" i="1"/>
  <c r="S432" i="1"/>
  <c r="S431" i="1"/>
  <c r="S430" i="1"/>
  <c r="S429" i="1"/>
  <c r="S428" i="1"/>
  <c r="S427" i="1"/>
  <c r="S426" i="1"/>
  <c r="S425" i="1"/>
  <c r="S414" i="1"/>
  <c r="S413" i="1"/>
  <c r="S382" i="1"/>
  <c r="S381" i="1"/>
  <c r="S379" i="1"/>
  <c r="S378" i="1"/>
  <c r="S377" i="1"/>
  <c r="S376" i="1"/>
  <c r="S375" i="1"/>
  <c r="S373" i="1"/>
  <c r="S362" i="1"/>
  <c r="S361" i="1"/>
  <c r="S360" i="1"/>
  <c r="S359" i="1"/>
  <c r="S357" i="1"/>
  <c r="S356" i="1"/>
  <c r="S355" i="1"/>
  <c r="S336" i="1"/>
  <c r="S335" i="1"/>
  <c r="S334" i="1"/>
  <c r="S333" i="1"/>
  <c r="S332" i="1"/>
  <c r="S331" i="1"/>
  <c r="S330" i="1"/>
  <c r="S329" i="1"/>
  <c r="S324" i="1"/>
  <c r="S323" i="1"/>
  <c r="S318" i="1"/>
  <c r="S317" i="1"/>
  <c r="S316" i="1"/>
  <c r="S315" i="1"/>
  <c r="S314" i="1"/>
  <c r="S313" i="1"/>
  <c r="S312" i="1"/>
  <c r="S311" i="1"/>
  <c r="S310" i="1"/>
  <c r="S309" i="1"/>
  <c r="S308" i="1"/>
  <c r="S307" i="1"/>
  <c r="S306" i="1"/>
  <c r="S305" i="1"/>
  <c r="S301" i="1"/>
  <c r="S300" i="1"/>
  <c r="S299"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4" i="1"/>
  <c r="S51" i="1"/>
  <c r="S50" i="1"/>
  <c r="S49" i="1"/>
  <c r="S48" i="1"/>
  <c r="S45" i="1"/>
  <c r="S44" i="1"/>
  <c r="S43" i="1"/>
  <c r="S42" i="1"/>
  <c r="S41" i="1"/>
  <c r="S38" i="1"/>
  <c r="S37" i="1"/>
  <c r="S36" i="1"/>
  <c r="S35" i="1"/>
  <c r="S34" i="1"/>
  <c r="S33" i="1"/>
  <c r="S32" i="1"/>
  <c r="S31" i="1"/>
  <c r="S30" i="1"/>
  <c r="S29" i="1"/>
  <c r="S28" i="1"/>
  <c r="S27" i="1"/>
  <c r="S26" i="1"/>
  <c r="S25" i="1"/>
  <c r="S24" i="1"/>
  <c r="S23" i="1"/>
  <c r="S22" i="1"/>
  <c r="S21" i="1"/>
  <c r="S20" i="1"/>
  <c r="S18" i="1"/>
  <c r="S17" i="1"/>
  <c r="S16" i="1"/>
  <c r="S14" i="1"/>
  <c r="S13" i="1"/>
  <c r="S12" i="1"/>
  <c r="S11" i="1"/>
  <c r="S10" i="1"/>
  <c r="S8" i="1"/>
  <c r="Q581" i="1"/>
  <c r="S581" i="1" s="1"/>
  <c r="Q580" i="1"/>
  <c r="S580" i="1" s="1"/>
  <c r="Q579" i="1"/>
  <c r="S579" i="1" s="1"/>
  <c r="Q578" i="1"/>
  <c r="S578" i="1" s="1"/>
  <c r="Q577" i="1"/>
  <c r="S577" i="1" s="1"/>
  <c r="Q576" i="1"/>
  <c r="S576" i="1" s="1"/>
  <c r="Q575" i="1"/>
  <c r="S575" i="1" s="1"/>
  <c r="Q574" i="1"/>
  <c r="S574" i="1" s="1"/>
  <c r="Q573" i="1"/>
  <c r="S573" i="1" s="1"/>
  <c r="Q572" i="1"/>
  <c r="S572" i="1" s="1"/>
  <c r="Q571" i="1"/>
  <c r="S571" i="1" s="1"/>
  <c r="Q570" i="1"/>
  <c r="S570" i="1" s="1"/>
  <c r="Q569" i="1"/>
  <c r="S569" i="1" s="1"/>
  <c r="Q568" i="1"/>
  <c r="S568" i="1" s="1"/>
  <c r="Q567" i="1"/>
  <c r="S567" i="1" s="1"/>
  <c r="Q566" i="1"/>
  <c r="S566" i="1" s="1"/>
  <c r="Q565" i="1"/>
  <c r="S565" i="1" s="1"/>
  <c r="Q564" i="1"/>
  <c r="S564" i="1" s="1"/>
  <c r="Q563" i="1"/>
  <c r="S563" i="1" s="1"/>
  <c r="Q562" i="1"/>
  <c r="S562" i="1" s="1"/>
  <c r="Q561" i="1"/>
  <c r="S561" i="1" s="1"/>
  <c r="Q560" i="1"/>
  <c r="S560" i="1" s="1"/>
  <c r="Q559" i="1"/>
  <c r="S559" i="1" s="1"/>
  <c r="Q558" i="1"/>
  <c r="S558" i="1" s="1"/>
  <c r="Q557" i="1"/>
  <c r="S557" i="1" s="1"/>
  <c r="Q556" i="1"/>
  <c r="S556" i="1" s="1"/>
  <c r="Q555" i="1"/>
  <c r="S555" i="1" s="1"/>
  <c r="Q554" i="1"/>
  <c r="S554" i="1" s="1"/>
  <c r="Q553" i="1"/>
  <c r="S553" i="1" s="1"/>
  <c r="Q552" i="1"/>
  <c r="S552" i="1" s="1"/>
  <c r="Q551" i="1"/>
  <c r="S551" i="1" s="1"/>
  <c r="Q550" i="1"/>
  <c r="S550" i="1" s="1"/>
  <c r="Q549" i="1"/>
  <c r="S549" i="1" s="1"/>
  <c r="Q548" i="1"/>
  <c r="S548" i="1" s="1"/>
  <c r="Q547" i="1"/>
  <c r="S547" i="1" s="1"/>
  <c r="Q546" i="1"/>
  <c r="S546" i="1" s="1"/>
  <c r="Q545" i="1"/>
  <c r="S545" i="1" s="1"/>
  <c r="Q544" i="1"/>
  <c r="S544" i="1" s="1"/>
  <c r="Q543" i="1"/>
  <c r="S543" i="1" s="1"/>
  <c r="Q542" i="1"/>
  <c r="S542" i="1" s="1"/>
  <c r="Q541" i="1"/>
  <c r="S541" i="1" s="1"/>
  <c r="Q540" i="1"/>
  <c r="S540" i="1" s="1"/>
  <c r="Q539" i="1"/>
  <c r="S539" i="1" s="1"/>
  <c r="Q538" i="1"/>
  <c r="S538" i="1" s="1"/>
  <c r="Q537" i="1"/>
  <c r="S537" i="1" s="1"/>
  <c r="Q536" i="1"/>
  <c r="S536" i="1" s="1"/>
  <c r="Q535" i="1"/>
  <c r="S535" i="1" s="1"/>
  <c r="Q534" i="1"/>
  <c r="S534" i="1" s="1"/>
  <c r="Q533" i="1"/>
  <c r="S533" i="1" s="1"/>
  <c r="Q532" i="1"/>
  <c r="S532" i="1" s="1"/>
  <c r="Q531" i="1"/>
  <c r="S531" i="1" s="1"/>
  <c r="Q530" i="1"/>
  <c r="S530" i="1" s="1"/>
  <c r="Q529" i="1"/>
  <c r="S529" i="1" s="1"/>
  <c r="Q528" i="1"/>
  <c r="S528" i="1" s="1"/>
  <c r="Q527" i="1"/>
  <c r="S527" i="1" s="1"/>
  <c r="Q526" i="1"/>
  <c r="S526" i="1" s="1"/>
  <c r="Q525" i="1"/>
  <c r="S525" i="1" s="1"/>
  <c r="Q524" i="1"/>
  <c r="S524" i="1" s="1"/>
  <c r="Q523" i="1"/>
  <c r="S523" i="1" s="1"/>
  <c r="Q522" i="1"/>
  <c r="S522" i="1" s="1"/>
  <c r="Q521" i="1"/>
  <c r="S521" i="1" s="1"/>
  <c r="Q520" i="1"/>
  <c r="S520" i="1" s="1"/>
  <c r="Q519" i="1"/>
  <c r="S519" i="1" s="1"/>
  <c r="Q518" i="1"/>
  <c r="S518" i="1" s="1"/>
  <c r="Q517" i="1"/>
  <c r="S517" i="1" s="1"/>
  <c r="Q516" i="1"/>
  <c r="S516" i="1" s="1"/>
  <c r="Q515" i="1"/>
  <c r="S515" i="1" s="1"/>
  <c r="Q514" i="1"/>
  <c r="S514" i="1" s="1"/>
  <c r="Q513" i="1"/>
  <c r="S513" i="1" s="1"/>
  <c r="Q512" i="1"/>
  <c r="S512" i="1" s="1"/>
  <c r="Q511" i="1"/>
  <c r="S511" i="1" s="1"/>
  <c r="Q510" i="1"/>
  <c r="S510" i="1" s="1"/>
  <c r="Q509" i="1"/>
  <c r="S509" i="1" s="1"/>
  <c r="Q508" i="1"/>
  <c r="S508" i="1" s="1"/>
  <c r="Q507" i="1"/>
  <c r="S507" i="1" s="1"/>
  <c r="Q506" i="1"/>
  <c r="S506" i="1" s="1"/>
  <c r="Q505" i="1"/>
  <c r="S505" i="1" s="1"/>
  <c r="Q504" i="1"/>
  <c r="S504" i="1" s="1"/>
  <c r="Q503" i="1"/>
  <c r="S503" i="1" s="1"/>
  <c r="Q502" i="1"/>
  <c r="S502" i="1" s="1"/>
  <c r="Q501" i="1"/>
  <c r="S501" i="1" s="1"/>
  <c r="Q500" i="1"/>
  <c r="S500" i="1" s="1"/>
  <c r="Q499" i="1"/>
  <c r="S499" i="1" s="1"/>
  <c r="Q498" i="1"/>
  <c r="S498" i="1" s="1"/>
  <c r="Q497" i="1"/>
  <c r="S497" i="1" s="1"/>
  <c r="Q496" i="1"/>
  <c r="S496" i="1" s="1"/>
  <c r="Q495" i="1"/>
  <c r="Q494" i="1"/>
  <c r="S494" i="1" s="1"/>
  <c r="Q493" i="1"/>
  <c r="S493" i="1" s="1"/>
  <c r="Q492" i="1"/>
  <c r="S492" i="1" s="1"/>
  <c r="Q491" i="1"/>
  <c r="S491" i="1" s="1"/>
  <c r="Q490" i="1"/>
  <c r="Q489" i="1"/>
  <c r="Q488" i="1"/>
  <c r="Q487" i="1"/>
  <c r="Q486" i="1"/>
  <c r="Q485" i="1"/>
  <c r="Q484" i="1"/>
  <c r="Q483" i="1"/>
  <c r="Q482" i="1"/>
  <c r="S482" i="1" s="1"/>
  <c r="Q481" i="1"/>
  <c r="S481" i="1" s="1"/>
  <c r="Q480" i="1"/>
  <c r="S480" i="1" s="1"/>
  <c r="Q479" i="1"/>
  <c r="S479" i="1" s="1"/>
  <c r="Q478" i="1"/>
  <c r="S478" i="1" s="1"/>
  <c r="Q477" i="1"/>
  <c r="S477" i="1" s="1"/>
  <c r="Q476" i="1"/>
  <c r="S476" i="1" s="1"/>
  <c r="Q475" i="1"/>
  <c r="S475" i="1" s="1"/>
  <c r="Q474" i="1"/>
  <c r="S474" i="1" s="1"/>
  <c r="Q473" i="1"/>
  <c r="S473" i="1" s="1"/>
  <c r="Q472" i="1"/>
  <c r="S472" i="1" s="1"/>
  <c r="Q471" i="1"/>
  <c r="S471" i="1" s="1"/>
  <c r="Q470" i="1"/>
  <c r="S470" i="1" s="1"/>
  <c r="Q469" i="1"/>
  <c r="S469" i="1" s="1"/>
  <c r="Q468" i="1"/>
  <c r="S468" i="1" s="1"/>
  <c r="Q467" i="1"/>
  <c r="S467" i="1" s="1"/>
  <c r="Q466" i="1"/>
  <c r="S466" i="1" s="1"/>
  <c r="Q465" i="1"/>
  <c r="S465" i="1" s="1"/>
  <c r="Q464" i="1"/>
  <c r="S464" i="1" s="1"/>
  <c r="Q460" i="1"/>
  <c r="S460" i="1" s="1"/>
  <c r="Q456" i="1"/>
  <c r="S456" i="1" s="1"/>
  <c r="Q453" i="1"/>
  <c r="Q452" i="1"/>
  <c r="Q451" i="1"/>
  <c r="Q450" i="1"/>
  <c r="Q449" i="1"/>
  <c r="Q448" i="1"/>
  <c r="Q447" i="1"/>
  <c r="Q446" i="1"/>
  <c r="Q445" i="1"/>
  <c r="Q444" i="1"/>
  <c r="S444" i="1" s="1"/>
  <c r="Q443" i="1"/>
  <c r="S443" i="1" s="1"/>
  <c r="Q442" i="1"/>
  <c r="S442" i="1" s="1"/>
  <c r="Q441" i="1"/>
  <c r="S441" i="1" s="1"/>
  <c r="Q440" i="1"/>
  <c r="S440" i="1" s="1"/>
  <c r="Q439" i="1"/>
  <c r="S439" i="1" s="1"/>
  <c r="Q438" i="1"/>
  <c r="S438" i="1" s="1"/>
  <c r="Q437" i="1"/>
  <c r="S437" i="1" s="1"/>
  <c r="Q436" i="1"/>
  <c r="S436" i="1" s="1"/>
  <c r="Q435" i="1"/>
  <c r="S435" i="1" s="1"/>
  <c r="Q434" i="1"/>
  <c r="S434" i="1" s="1"/>
  <c r="Q433" i="1"/>
  <c r="Q432" i="1"/>
  <c r="Q431" i="1"/>
  <c r="Q430" i="1"/>
  <c r="Q429" i="1"/>
  <c r="Q428" i="1"/>
  <c r="Q427" i="1"/>
  <c r="Q426" i="1"/>
  <c r="Q425" i="1"/>
  <c r="Q424" i="1"/>
  <c r="S424" i="1" s="1"/>
  <c r="Q423" i="1"/>
  <c r="S423" i="1" s="1"/>
  <c r="Q422" i="1"/>
  <c r="S422" i="1" s="1"/>
  <c r="Q420" i="1"/>
  <c r="S420" i="1" s="1"/>
  <c r="Q419" i="1"/>
  <c r="S419" i="1" s="1"/>
  <c r="Q418" i="1"/>
  <c r="S418" i="1" s="1"/>
  <c r="Q417" i="1"/>
  <c r="S417" i="1" s="1"/>
  <c r="Q416" i="1"/>
  <c r="S416" i="1" s="1"/>
  <c r="Q410" i="1"/>
  <c r="S410" i="1" s="1"/>
  <c r="Q409" i="1"/>
  <c r="S409" i="1" s="1"/>
  <c r="Q408" i="1"/>
  <c r="S408" i="1" s="1"/>
  <c r="Q382" i="1"/>
  <c r="Q381" i="1"/>
  <c r="Q380" i="1"/>
  <c r="S380" i="1" s="1"/>
  <c r="Q379" i="1"/>
  <c r="Q378" i="1"/>
  <c r="Q377" i="1"/>
  <c r="Q376" i="1"/>
  <c r="Q375" i="1"/>
  <c r="Q374" i="1"/>
  <c r="S374" i="1" s="1"/>
  <c r="Q373" i="1"/>
  <c r="Q372" i="1"/>
  <c r="S372" i="1" s="1"/>
  <c r="Q371" i="1"/>
  <c r="S371" i="1" s="1"/>
  <c r="Q370" i="1"/>
  <c r="S370" i="1" s="1"/>
  <c r="Q369" i="1"/>
  <c r="S369" i="1" s="1"/>
  <c r="Q368" i="1"/>
  <c r="S368" i="1" s="1"/>
  <c r="Q367" i="1"/>
  <c r="S367" i="1" s="1"/>
  <c r="Q366" i="1"/>
  <c r="S366" i="1" s="1"/>
  <c r="Q365" i="1"/>
  <c r="S365" i="1" s="1"/>
  <c r="Q364" i="1"/>
  <c r="S364" i="1" s="1"/>
  <c r="Q363" i="1"/>
  <c r="S363" i="1" s="1"/>
  <c r="Q362" i="1"/>
  <c r="Q361" i="1"/>
  <c r="Q360" i="1"/>
  <c r="Q359" i="1"/>
  <c r="Q358" i="1"/>
  <c r="S358" i="1" s="1"/>
  <c r="Q357" i="1"/>
  <c r="Q356" i="1"/>
  <c r="Q355" i="1"/>
  <c r="Q354" i="1"/>
  <c r="S354" i="1" s="1"/>
  <c r="Q353" i="1"/>
  <c r="S353" i="1" s="1"/>
  <c r="Q352" i="1"/>
  <c r="S352" i="1" s="1"/>
  <c r="Q351" i="1"/>
  <c r="S351" i="1" s="1"/>
  <c r="Q350" i="1"/>
  <c r="S350" i="1" s="1"/>
  <c r="Q349" i="1"/>
  <c r="S349" i="1" s="1"/>
  <c r="Q348" i="1"/>
  <c r="S348" i="1" s="1"/>
  <c r="Q347" i="1"/>
  <c r="S347" i="1" s="1"/>
  <c r="Q346" i="1"/>
  <c r="S346" i="1" s="1"/>
  <c r="Q345" i="1"/>
  <c r="S345" i="1" s="1"/>
  <c r="Q344" i="1"/>
  <c r="S344" i="1" s="1"/>
  <c r="Q343" i="1"/>
  <c r="S343" i="1" s="1"/>
  <c r="Q342" i="1"/>
  <c r="S342" i="1" s="1"/>
  <c r="Q341" i="1"/>
  <c r="S341" i="1" s="1"/>
  <c r="Q339" i="1"/>
  <c r="S339" i="1" s="1"/>
  <c r="Q338" i="1"/>
  <c r="S338" i="1" s="1"/>
  <c r="Q337" i="1"/>
  <c r="S337" i="1" s="1"/>
  <c r="Q336" i="1"/>
  <c r="Q335" i="1"/>
  <c r="Q334" i="1"/>
  <c r="Q333" i="1"/>
  <c r="Q332" i="1"/>
  <c r="Q331" i="1"/>
  <c r="Q330" i="1"/>
  <c r="Q329" i="1"/>
  <c r="Q328" i="1"/>
  <c r="S328" i="1" s="1"/>
  <c r="Q327" i="1"/>
  <c r="S327" i="1" s="1"/>
  <c r="Q326" i="1"/>
  <c r="S326" i="1" s="1"/>
  <c r="Q325" i="1"/>
  <c r="S325" i="1" s="1"/>
  <c r="Q324" i="1"/>
  <c r="Q323" i="1"/>
  <c r="Q322" i="1"/>
  <c r="S322" i="1" s="1"/>
  <c r="Q321" i="1"/>
  <c r="S321" i="1" s="1"/>
  <c r="Q320" i="1"/>
  <c r="S320" i="1" s="1"/>
  <c r="Q319" i="1"/>
  <c r="S319" i="1" s="1"/>
  <c r="Q318" i="1"/>
  <c r="Q317" i="1"/>
  <c r="Q316" i="1"/>
  <c r="Q315" i="1"/>
  <c r="Q314" i="1"/>
  <c r="Q313" i="1"/>
  <c r="Q312" i="1"/>
  <c r="Q311" i="1"/>
  <c r="Q310" i="1"/>
  <c r="Q309" i="1"/>
  <c r="Q308" i="1"/>
  <c r="Q307" i="1"/>
  <c r="Q306" i="1"/>
  <c r="Q305" i="1"/>
  <c r="Q304" i="1"/>
  <c r="S304" i="1" s="1"/>
  <c r="Q303" i="1"/>
  <c r="S303" i="1" s="1"/>
  <c r="Q302" i="1"/>
  <c r="S302" i="1" s="1"/>
  <c r="Q301" i="1"/>
  <c r="Q300" i="1"/>
  <c r="Q299" i="1"/>
  <c r="Q298" i="1"/>
  <c r="S298" i="1" s="1"/>
  <c r="Q297" i="1"/>
  <c r="S297" i="1" s="1"/>
  <c r="Q296" i="1"/>
  <c r="S296" i="1" s="1"/>
  <c r="Q295" i="1"/>
  <c r="S295" i="1" s="1"/>
  <c r="Q294" i="1"/>
  <c r="S294" i="1" s="1"/>
  <c r="Q293" i="1"/>
  <c r="S293" i="1" s="1"/>
  <c r="Q292" i="1"/>
  <c r="S292" i="1" s="1"/>
  <c r="Q291" i="1"/>
  <c r="S291" i="1" s="1"/>
  <c r="Q290" i="1"/>
  <c r="S290" i="1" s="1"/>
  <c r="Q289" i="1"/>
  <c r="S289" i="1" s="1"/>
  <c r="Q288" i="1"/>
  <c r="S288" i="1" s="1"/>
  <c r="Q287" i="1"/>
  <c r="S287" i="1" s="1"/>
  <c r="Q286" i="1"/>
  <c r="S286" i="1" s="1"/>
  <c r="Q285" i="1"/>
  <c r="S285" i="1" s="1"/>
  <c r="Q284" i="1"/>
  <c r="S284" i="1" s="1"/>
  <c r="Q283" i="1"/>
  <c r="S283" i="1" s="1"/>
  <c r="Q282" i="1"/>
  <c r="S282" i="1" s="1"/>
  <c r="Q281" i="1"/>
  <c r="S281" i="1" s="1"/>
  <c r="Q280" i="1"/>
  <c r="S280" i="1" s="1"/>
  <c r="Q279" i="1"/>
  <c r="S279" i="1" s="1"/>
  <c r="Q278" i="1"/>
  <c r="S278" i="1" s="1"/>
  <c r="Q277" i="1"/>
  <c r="S277" i="1" s="1"/>
  <c r="Q276" i="1"/>
  <c r="S276" i="1" s="1"/>
  <c r="Q275" i="1"/>
  <c r="S275" i="1" s="1"/>
  <c r="Q274" i="1"/>
  <c r="S274" i="1" s="1"/>
  <c r="Q273" i="1"/>
  <c r="S273" i="1" s="1"/>
  <c r="Q272" i="1"/>
  <c r="S272" i="1" s="1"/>
  <c r="Q271" i="1"/>
  <c r="S271" i="1" s="1"/>
  <c r="Q270" i="1"/>
  <c r="S270" i="1" s="1"/>
  <c r="Q269" i="1"/>
  <c r="S269" i="1" s="1"/>
  <c r="Q268" i="1"/>
  <c r="S268" i="1" s="1"/>
  <c r="Q267" i="1"/>
  <c r="S267" i="1" s="1"/>
  <c r="Q266" i="1"/>
  <c r="S266" i="1" s="1"/>
  <c r="Q265" i="1"/>
  <c r="S265" i="1" s="1"/>
  <c r="Q264" i="1"/>
  <c r="S264" i="1" s="1"/>
  <c r="Q263" i="1"/>
  <c r="S263" i="1" s="1"/>
  <c r="Q262" i="1"/>
  <c r="S262" i="1" s="1"/>
  <c r="Q261" i="1"/>
  <c r="S261" i="1" s="1"/>
  <c r="Q260" i="1"/>
  <c r="S260" i="1" s="1"/>
  <c r="Q259" i="1"/>
  <c r="S259" i="1" s="1"/>
  <c r="Q258" i="1"/>
  <c r="S258" i="1" s="1"/>
  <c r="Q257" i="1"/>
  <c r="S257" i="1" s="1"/>
  <c r="Q256" i="1"/>
  <c r="S256" i="1" s="1"/>
  <c r="Q255" i="1"/>
  <c r="S255" i="1" s="1"/>
  <c r="Q254" i="1"/>
  <c r="S254" i="1" s="1"/>
  <c r="Q253" i="1"/>
  <c r="S253" i="1" s="1"/>
  <c r="Q252" i="1"/>
  <c r="S252" i="1" s="1"/>
  <c r="Q251" i="1"/>
  <c r="S251" i="1" s="1"/>
  <c r="Q250" i="1"/>
  <c r="S250" i="1" s="1"/>
  <c r="Q249" i="1"/>
  <c r="S249" i="1" s="1"/>
  <c r="Q248" i="1"/>
  <c r="S248" i="1" s="1"/>
  <c r="Q247" i="1"/>
  <c r="S247" i="1" s="1"/>
  <c r="Q246" i="1"/>
  <c r="S246" i="1" s="1"/>
  <c r="Q245" i="1"/>
  <c r="S245" i="1" s="1"/>
  <c r="Q244" i="1"/>
  <c r="S244" i="1" s="1"/>
  <c r="Q243" i="1"/>
  <c r="S243" i="1" s="1"/>
  <c r="Q242" i="1"/>
  <c r="S242" i="1" s="1"/>
  <c r="Q241" i="1"/>
  <c r="S241" i="1" s="1"/>
  <c r="Q240" i="1"/>
  <c r="S240" i="1" s="1"/>
  <c r="Q239" i="1"/>
  <c r="S239" i="1" s="1"/>
  <c r="Q238" i="1"/>
  <c r="S238" i="1" s="1"/>
  <c r="Q237" i="1"/>
  <c r="S237" i="1" s="1"/>
  <c r="Q236" i="1"/>
  <c r="S236" i="1" s="1"/>
  <c r="Q235" i="1"/>
  <c r="S235" i="1" s="1"/>
  <c r="Q234" i="1"/>
  <c r="S234" i="1" s="1"/>
  <c r="Q233" i="1"/>
  <c r="S233" i="1" s="1"/>
  <c r="Q232" i="1"/>
  <c r="S232" i="1" s="1"/>
  <c r="Q231" i="1"/>
  <c r="S231" i="1" s="1"/>
  <c r="Q230" i="1"/>
  <c r="S230" i="1" s="1"/>
  <c r="Q229" i="1"/>
  <c r="S229" i="1" s="1"/>
  <c r="Q228" i="1"/>
  <c r="S228" i="1" s="1"/>
  <c r="Q227" i="1"/>
  <c r="S227" i="1" s="1"/>
  <c r="Q226" i="1"/>
  <c r="S226" i="1" s="1"/>
  <c r="Q225" i="1"/>
  <c r="S225" i="1" s="1"/>
  <c r="Q224" i="1"/>
  <c r="S224" i="1" s="1"/>
  <c r="Q223" i="1"/>
  <c r="S223" i="1" s="1"/>
  <c r="Q222" i="1"/>
  <c r="S222" i="1" s="1"/>
  <c r="Q221" i="1"/>
  <c r="S221" i="1" s="1"/>
  <c r="Q220" i="1"/>
  <c r="S220" i="1" s="1"/>
  <c r="Q219" i="1"/>
  <c r="S219" i="1" s="1"/>
  <c r="Q218" i="1"/>
  <c r="S218" i="1" s="1"/>
  <c r="Q217" i="1"/>
  <c r="S217" i="1" s="1"/>
  <c r="Q216" i="1"/>
  <c r="S216" i="1" s="1"/>
  <c r="Q215" i="1"/>
  <c r="S215" i="1" s="1"/>
  <c r="Q214" i="1"/>
  <c r="S214" i="1" s="1"/>
  <c r="Q213" i="1"/>
  <c r="S213" i="1" s="1"/>
  <c r="Q212" i="1"/>
  <c r="S212" i="1" s="1"/>
  <c r="Q211" i="1"/>
  <c r="S211" i="1" s="1"/>
  <c r="Q210" i="1"/>
  <c r="S210" i="1" s="1"/>
  <c r="Q209" i="1"/>
  <c r="S209" i="1" s="1"/>
  <c r="Q208" i="1"/>
  <c r="S208" i="1" s="1"/>
  <c r="Q207" i="1"/>
  <c r="S207" i="1" s="1"/>
  <c r="Q206" i="1"/>
  <c r="S206" i="1" s="1"/>
  <c r="Q205" i="1"/>
  <c r="S205" i="1" s="1"/>
  <c r="Q204" i="1"/>
  <c r="S204" i="1" s="1"/>
  <c r="Q203" i="1"/>
  <c r="S203" i="1" s="1"/>
  <c r="Q202" i="1"/>
  <c r="S202" i="1" s="1"/>
  <c r="Q201" i="1"/>
  <c r="S201" i="1" s="1"/>
  <c r="Q200" i="1"/>
  <c r="S200" i="1" s="1"/>
  <c r="Q199" i="1"/>
  <c r="S199" i="1" s="1"/>
  <c r="Q198" i="1"/>
  <c r="S198" i="1" s="1"/>
  <c r="Q197" i="1"/>
  <c r="S197" i="1" s="1"/>
  <c r="Q196" i="1"/>
  <c r="S196" i="1" s="1"/>
  <c r="Q195" i="1"/>
  <c r="S195" i="1" s="1"/>
  <c r="Q194" i="1"/>
  <c r="S194" i="1" s="1"/>
  <c r="Q193" i="1"/>
  <c r="S193" i="1" s="1"/>
  <c r="Q192" i="1"/>
  <c r="S192" i="1" s="1"/>
  <c r="Q191" i="1"/>
  <c r="S191" i="1" s="1"/>
  <c r="Q190" i="1"/>
  <c r="S190" i="1" s="1"/>
  <c r="Q189" i="1"/>
  <c r="S189" i="1" s="1"/>
  <c r="Q188" i="1"/>
  <c r="S188" i="1" s="1"/>
  <c r="Q187" i="1"/>
  <c r="S187" i="1" s="1"/>
  <c r="Q186" i="1"/>
  <c r="S186" i="1" s="1"/>
  <c r="Q185" i="1"/>
  <c r="S185" i="1" s="1"/>
  <c r="Q184" i="1"/>
  <c r="S184" i="1" s="1"/>
  <c r="Q183" i="1"/>
  <c r="S183" i="1" s="1"/>
  <c r="Q182" i="1"/>
  <c r="S182" i="1" s="1"/>
  <c r="Q181" i="1"/>
  <c r="S181" i="1" s="1"/>
  <c r="Q180" i="1"/>
  <c r="S180" i="1" s="1"/>
  <c r="Q179" i="1"/>
  <c r="S179" i="1" s="1"/>
  <c r="Q178" i="1"/>
  <c r="S178" i="1" s="1"/>
  <c r="Q177" i="1"/>
  <c r="S177" i="1" s="1"/>
  <c r="Q176" i="1"/>
  <c r="S176" i="1" s="1"/>
  <c r="Q175" i="1"/>
  <c r="S175" i="1" s="1"/>
  <c r="Q174" i="1"/>
  <c r="S174" i="1" s="1"/>
  <c r="Q173" i="1"/>
  <c r="S173" i="1" s="1"/>
  <c r="Q172" i="1"/>
  <c r="S172" i="1" s="1"/>
  <c r="Q171" i="1"/>
  <c r="S171" i="1" s="1"/>
  <c r="Q170" i="1"/>
  <c r="S170" i="1" s="1"/>
  <c r="Q169" i="1"/>
  <c r="S169" i="1" s="1"/>
  <c r="Q168" i="1"/>
  <c r="S168" i="1" s="1"/>
  <c r="Q167" i="1"/>
  <c r="S167" i="1" s="1"/>
  <c r="Q166" i="1"/>
  <c r="S166" i="1" s="1"/>
  <c r="Q165" i="1"/>
  <c r="S165" i="1" s="1"/>
  <c r="Q164" i="1"/>
  <c r="S164" i="1" s="1"/>
  <c r="Q163" i="1"/>
  <c r="S163" i="1" s="1"/>
  <c r="Q162" i="1"/>
  <c r="S162" i="1" s="1"/>
  <c r="Q161" i="1"/>
  <c r="S161" i="1" s="1"/>
  <c r="Q160" i="1"/>
  <c r="S160" i="1" s="1"/>
  <c r="Q159" i="1"/>
  <c r="S159" i="1" s="1"/>
  <c r="Q158" i="1"/>
  <c r="S158" i="1" s="1"/>
  <c r="Q157" i="1"/>
  <c r="S157" i="1" s="1"/>
  <c r="Q156" i="1"/>
  <c r="S156" i="1" s="1"/>
  <c r="Q155" i="1"/>
  <c r="S155" i="1" s="1"/>
  <c r="Q154" i="1"/>
  <c r="S154" i="1" s="1"/>
  <c r="Q153" i="1"/>
  <c r="S153" i="1" s="1"/>
  <c r="Q152" i="1"/>
  <c r="S152" i="1" s="1"/>
  <c r="Q151" i="1"/>
  <c r="S151" i="1" s="1"/>
  <c r="Q150" i="1"/>
  <c r="S150" i="1" s="1"/>
  <c r="Q149" i="1"/>
  <c r="S149" i="1" s="1"/>
  <c r="Q148" i="1"/>
  <c r="S148" i="1" s="1"/>
  <c r="Q147" i="1"/>
  <c r="S147" i="1" s="1"/>
  <c r="Q146" i="1"/>
  <c r="S146" i="1" s="1"/>
  <c r="Q145" i="1"/>
  <c r="S145" i="1" s="1"/>
  <c r="Q144" i="1"/>
  <c r="S144" i="1" s="1"/>
  <c r="Q143" i="1"/>
  <c r="S143" i="1" s="1"/>
  <c r="Q142" i="1"/>
  <c r="S142" i="1" s="1"/>
  <c r="Q141" i="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S75" i="1" s="1"/>
  <c r="Q74" i="1"/>
  <c r="Q73" i="1"/>
  <c r="S73" i="1" s="1"/>
  <c r="Q72" i="1"/>
  <c r="S72" i="1" s="1"/>
  <c r="Q71" i="1"/>
  <c r="S71" i="1" s="1"/>
  <c r="Q70" i="1"/>
  <c r="S70" i="1" s="1"/>
  <c r="Q69" i="1"/>
  <c r="S69" i="1" s="1"/>
  <c r="Q68" i="1"/>
  <c r="S68" i="1" s="1"/>
  <c r="Q67" i="1"/>
  <c r="S67" i="1" s="1"/>
  <c r="Q66" i="1"/>
  <c r="S66" i="1" s="1"/>
  <c r="Q65" i="1"/>
  <c r="S65" i="1" s="1"/>
  <c r="Q64" i="1"/>
  <c r="S64" i="1" s="1"/>
  <c r="Q63" i="1"/>
  <c r="S63" i="1" s="1"/>
  <c r="Q62" i="1"/>
  <c r="S62" i="1" s="1"/>
  <c r="Q61" i="1"/>
  <c r="S61" i="1" s="1"/>
  <c r="Q60" i="1"/>
  <c r="S60" i="1" s="1"/>
  <c r="Q59" i="1"/>
  <c r="S59" i="1" s="1"/>
  <c r="Q58" i="1"/>
  <c r="S58" i="1" s="1"/>
  <c r="Q57" i="1"/>
  <c r="S57" i="1" s="1"/>
  <c r="Q56" i="1"/>
  <c r="S56" i="1" s="1"/>
  <c r="Q55" i="1"/>
  <c r="S55" i="1" s="1"/>
  <c r="Q54" i="1"/>
  <c r="S54" i="1" s="1"/>
  <c r="Q53" i="1"/>
  <c r="S53" i="1" s="1"/>
  <c r="Q52" i="1"/>
  <c r="S52" i="1" s="1"/>
  <c r="Q51" i="1"/>
  <c r="Q50" i="1"/>
  <c r="Q49" i="1"/>
  <c r="Q48" i="1"/>
  <c r="Q47" i="1"/>
  <c r="S47" i="1" s="1"/>
  <c r="Q46" i="1"/>
  <c r="S46" i="1" s="1"/>
  <c r="Q45" i="1"/>
  <c r="Q44" i="1"/>
  <c r="Q43" i="1"/>
  <c r="Q42" i="1"/>
  <c r="Q41" i="1"/>
  <c r="Q40" i="1"/>
  <c r="S40" i="1" s="1"/>
  <c r="Q39" i="1"/>
  <c r="S39" i="1" s="1"/>
  <c r="Q38" i="1"/>
  <c r="Q37" i="1"/>
  <c r="Q36" i="1"/>
  <c r="Q35" i="1"/>
  <c r="Q34" i="1"/>
  <c r="Q33" i="1"/>
  <c r="Q32" i="1"/>
  <c r="Q31" i="1"/>
  <c r="Q30" i="1"/>
  <c r="Q29" i="1"/>
  <c r="Q28" i="1"/>
  <c r="Q27" i="1"/>
  <c r="Q26" i="1"/>
  <c r="Q25" i="1"/>
  <c r="Q24" i="1"/>
  <c r="Q23" i="1"/>
  <c r="Q22" i="1"/>
  <c r="Q21" i="1"/>
  <c r="Q20" i="1"/>
  <c r="Q19" i="1"/>
  <c r="S19" i="1" s="1"/>
  <c r="Q18" i="1"/>
  <c r="Q17" i="1"/>
  <c r="Q16" i="1"/>
  <c r="Q15" i="1"/>
  <c r="S15" i="1" s="1"/>
  <c r="Q14" i="1"/>
  <c r="Q13" i="1"/>
  <c r="Q11" i="1"/>
  <c r="Q10" i="1"/>
  <c r="Q7" i="1"/>
  <c r="S7" i="1" s="1"/>
  <c r="A362" i="1" l="1"/>
  <c r="A7" i="1" l="1"/>
  <c r="A8"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P340" i="1" l="1"/>
  <c r="N340" i="1"/>
  <c r="Q340" i="1" s="1"/>
  <c r="S340" i="1" s="1"/>
  <c r="BB495" i="1" l="1"/>
  <c r="BB490" i="1"/>
  <c r="BB489" i="1"/>
  <c r="BB488" i="1"/>
  <c r="BB487" i="1"/>
  <c r="BB486" i="1"/>
  <c r="BB485" i="1"/>
  <c r="BB484" i="1"/>
  <c r="BB483" i="1"/>
  <c r="BB462" i="1"/>
  <c r="BB452" i="1"/>
  <c r="BB451" i="1"/>
  <c r="BB450" i="1"/>
  <c r="BB449" i="1"/>
  <c r="BB448" i="1"/>
  <c r="BB447" i="1"/>
  <c r="BB446" i="1"/>
  <c r="BB445" i="1"/>
  <c r="BB433" i="1"/>
  <c r="BB432" i="1"/>
  <c r="BB431" i="1"/>
  <c r="BB430" i="1"/>
  <c r="BB429" i="1"/>
  <c r="BB428" i="1"/>
  <c r="BB427" i="1"/>
  <c r="BB426" i="1"/>
  <c r="BB425" i="1"/>
  <c r="BB414" i="1"/>
  <c r="BB413" i="1"/>
  <c r="BB382" i="1"/>
  <c r="BB381" i="1"/>
  <c r="BB379" i="1"/>
  <c r="BB378" i="1"/>
  <c r="BB377" i="1"/>
  <c r="BB376" i="1"/>
  <c r="BB375" i="1"/>
  <c r="BB373" i="1"/>
  <c r="BB362" i="1"/>
  <c r="BB361" i="1"/>
  <c r="BB360" i="1"/>
  <c r="BB359" i="1"/>
  <c r="BB357" i="1"/>
  <c r="BB356" i="1"/>
  <c r="BB355" i="1"/>
  <c r="BB336" i="1"/>
  <c r="BB335" i="1"/>
  <c r="BB334" i="1"/>
  <c r="BB333" i="1"/>
  <c r="BB332" i="1"/>
  <c r="BB331" i="1"/>
  <c r="BB330" i="1"/>
  <c r="BB329" i="1"/>
  <c r="BB324" i="1"/>
  <c r="BB323" i="1"/>
  <c r="BB307" i="1"/>
  <c r="BB306" i="1"/>
  <c r="BB305" i="1"/>
  <c r="BB301" i="1"/>
  <c r="BB300" i="1"/>
  <c r="BB299" i="1"/>
  <c r="BB141" i="1"/>
  <c r="BB140" i="1"/>
  <c r="BB139" i="1"/>
  <c r="BB138" i="1"/>
  <c r="BB137" i="1"/>
  <c r="BB136" i="1"/>
  <c r="BB135" i="1"/>
  <c r="BB134" i="1"/>
  <c r="BB133" i="1"/>
  <c r="BB132" i="1"/>
  <c r="BB131" i="1"/>
  <c r="BB130" i="1"/>
  <c r="BB129" i="1"/>
  <c r="BB128" i="1"/>
  <c r="BB127" i="1"/>
  <c r="BB126" i="1"/>
  <c r="BB125" i="1"/>
  <c r="BB124" i="1"/>
  <c r="BB123" i="1"/>
  <c r="BB122" i="1"/>
  <c r="BB121" i="1"/>
  <c r="BB120" i="1"/>
  <c r="BB119" i="1"/>
  <c r="BB118" i="1"/>
  <c r="BB117" i="1"/>
  <c r="BB116" i="1"/>
  <c r="BB115" i="1"/>
  <c r="BB114" i="1"/>
  <c r="BB113" i="1"/>
  <c r="BB112" i="1"/>
  <c r="BB111" i="1"/>
  <c r="BB110" i="1"/>
  <c r="BB109" i="1"/>
  <c r="BB108" i="1"/>
  <c r="BB107"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4" i="1"/>
  <c r="BB50" i="1"/>
  <c r="BB49" i="1"/>
  <c r="BB48" i="1"/>
  <c r="BB45" i="1"/>
  <c r="BB44" i="1"/>
  <c r="BB43" i="1"/>
  <c r="BB42" i="1"/>
  <c r="BB41" i="1"/>
  <c r="BB38" i="1"/>
  <c r="BB37" i="1"/>
  <c r="BB36" i="1"/>
  <c r="BB30" i="1"/>
  <c r="BB25" i="1"/>
  <c r="BB18" i="1"/>
  <c r="BB17" i="1"/>
  <c r="BB16" i="1"/>
  <c r="BB14" i="1"/>
  <c r="BB13" i="1"/>
  <c r="BB12" i="1"/>
  <c r="BB11" i="1"/>
  <c r="BB10" i="1"/>
  <c r="BB8" i="1"/>
  <c r="BB368" i="1" l="1"/>
  <c r="BB354" i="1" l="1"/>
  <c r="BB353" i="1"/>
  <c r="BB422" i="1" l="1"/>
  <c r="BB423" i="1"/>
  <c r="L3" i="1"/>
  <c r="J3" i="1"/>
  <c r="M3" i="1"/>
  <c r="R3" i="1"/>
  <c r="BB573" i="1" l="1"/>
  <c r="BB561" i="1"/>
  <c r="BB541" i="1"/>
  <c r="BB533" i="1"/>
  <c r="BB521" i="1"/>
  <c r="BB501" i="1"/>
  <c r="BB471" i="1"/>
  <c r="BB436" i="1"/>
  <c r="BB372" i="1"/>
  <c r="BB341" i="1"/>
  <c r="BB319" i="1"/>
  <c r="BB283" i="1"/>
  <c r="BB271" i="1"/>
  <c r="BB259" i="1"/>
  <c r="BB255" i="1"/>
  <c r="BB243" i="1"/>
  <c r="BB231" i="1"/>
  <c r="BB223" i="1"/>
  <c r="BB211" i="1"/>
  <c r="BB199" i="1"/>
  <c r="BB187" i="1"/>
  <c r="BB170" i="1"/>
  <c r="BB64" i="1"/>
  <c r="BB46" i="1"/>
  <c r="BB28" i="1"/>
  <c r="BB578" i="1"/>
  <c r="BB574" i="1"/>
  <c r="BB570" i="1"/>
  <c r="BB566" i="1"/>
  <c r="BB562" i="1"/>
  <c r="BB558" i="1"/>
  <c r="BB554" i="1"/>
  <c r="BB550" i="1"/>
  <c r="BB546" i="1"/>
  <c r="BB542" i="1"/>
  <c r="BB538" i="1"/>
  <c r="BB534" i="1"/>
  <c r="BB530" i="1"/>
  <c r="BB526" i="1"/>
  <c r="BB522" i="1"/>
  <c r="BB518" i="1"/>
  <c r="BB514" i="1"/>
  <c r="BB510" i="1"/>
  <c r="BB506" i="1"/>
  <c r="BB502" i="1"/>
  <c r="BB498" i="1"/>
  <c r="BB491" i="1"/>
  <c r="BB295" i="1"/>
  <c r="BB420" i="1"/>
  <c r="BB416" i="1"/>
  <c r="BB480" i="1"/>
  <c r="BB476" i="1"/>
  <c r="BB472" i="1"/>
  <c r="BB468" i="1"/>
  <c r="BB464" i="1"/>
  <c r="BB437" i="1"/>
  <c r="BB369" i="1"/>
  <c r="BB364" i="1"/>
  <c r="BB350" i="1"/>
  <c r="BB346" i="1"/>
  <c r="BB342" i="1"/>
  <c r="BB338" i="1"/>
  <c r="BB326" i="1"/>
  <c r="BB320" i="1"/>
  <c r="BB316" i="1"/>
  <c r="BB312" i="1"/>
  <c r="BB308" i="1"/>
  <c r="BB304" i="1"/>
  <c r="BB292" i="1"/>
  <c r="BB288" i="1"/>
  <c r="BB284" i="1"/>
  <c r="BB280" i="1"/>
  <c r="BB276" i="1"/>
  <c r="BB272" i="1"/>
  <c r="BB268" i="1"/>
  <c r="BB264" i="1"/>
  <c r="BB260" i="1"/>
  <c r="BB256" i="1"/>
  <c r="BB252" i="1"/>
  <c r="BB248" i="1"/>
  <c r="BB244" i="1"/>
  <c r="BB240" i="1"/>
  <c r="BB236" i="1"/>
  <c r="BB232" i="1"/>
  <c r="BB228" i="1"/>
  <c r="BB224" i="1"/>
  <c r="BB220" i="1"/>
  <c r="BB216" i="1"/>
  <c r="BB212" i="1"/>
  <c r="BB208" i="1"/>
  <c r="BB204" i="1"/>
  <c r="BB200" i="1"/>
  <c r="BB196" i="1"/>
  <c r="BB192" i="1"/>
  <c r="BB188" i="1"/>
  <c r="BB184" i="1"/>
  <c r="BB180" i="1"/>
  <c r="BB176" i="1"/>
  <c r="BB171" i="1"/>
  <c r="BB162" i="1"/>
  <c r="BB69" i="1"/>
  <c r="BB65" i="1"/>
  <c r="BB61" i="1"/>
  <c r="BB57" i="1"/>
  <c r="BB33" i="1"/>
  <c r="BB29" i="1"/>
  <c r="BB21" i="1"/>
  <c r="BB20" i="1"/>
  <c r="BB581" i="1"/>
  <c r="BB565" i="1"/>
  <c r="BB553" i="1"/>
  <c r="BB549" i="1"/>
  <c r="BB529" i="1"/>
  <c r="BB517" i="1"/>
  <c r="BB505" i="1"/>
  <c r="BB424" i="1"/>
  <c r="BB75" i="1"/>
  <c r="BB380" i="1"/>
  <c r="BB367" i="1"/>
  <c r="BB349" i="1"/>
  <c r="BB337" i="1"/>
  <c r="BB325" i="1"/>
  <c r="BB311" i="1"/>
  <c r="BB303" i="1"/>
  <c r="BB287" i="1"/>
  <c r="BB275" i="1"/>
  <c r="BB263" i="1"/>
  <c r="BB251" i="1"/>
  <c r="BB239" i="1"/>
  <c r="BB227" i="1"/>
  <c r="BB215" i="1"/>
  <c r="BB207" i="1"/>
  <c r="BB195" i="1"/>
  <c r="BB183" i="1"/>
  <c r="BB175" i="1"/>
  <c r="BB60" i="1"/>
  <c r="BB24" i="1"/>
  <c r="BB580" i="1"/>
  <c r="BB576" i="1"/>
  <c r="BB572" i="1"/>
  <c r="BB568" i="1"/>
  <c r="BB564" i="1"/>
  <c r="BB560" i="1"/>
  <c r="BB556" i="1"/>
  <c r="BB552" i="1"/>
  <c r="BB548" i="1"/>
  <c r="BB544" i="1"/>
  <c r="BB540" i="1"/>
  <c r="BB536" i="1"/>
  <c r="BB532" i="1"/>
  <c r="BB528" i="1"/>
  <c r="BB524" i="1"/>
  <c r="BB520" i="1"/>
  <c r="BB516" i="1"/>
  <c r="BB512" i="1"/>
  <c r="BB508" i="1"/>
  <c r="BB504" i="1"/>
  <c r="BB500" i="1"/>
  <c r="BB19" i="1"/>
  <c r="BB493" i="1"/>
  <c r="BB298" i="1"/>
  <c r="BB478" i="1"/>
  <c r="BB474" i="1"/>
  <c r="BB470" i="1"/>
  <c r="BB456" i="1"/>
  <c r="BB444" i="1"/>
  <c r="BB435" i="1"/>
  <c r="BB371" i="1"/>
  <c r="BB366" i="1"/>
  <c r="BB358" i="1"/>
  <c r="BB352" i="1"/>
  <c r="BB348" i="1"/>
  <c r="BB344" i="1"/>
  <c r="BB340" i="1"/>
  <c r="BB328" i="1"/>
  <c r="BB322" i="1"/>
  <c r="BB318" i="1"/>
  <c r="BB314" i="1"/>
  <c r="BB310" i="1"/>
  <c r="BB302" i="1"/>
  <c r="BB294" i="1"/>
  <c r="BB286" i="1"/>
  <c r="BB282" i="1"/>
  <c r="BB278" i="1"/>
  <c r="BB274" i="1"/>
  <c r="BB270" i="1"/>
  <c r="BB266" i="1"/>
  <c r="BB262" i="1"/>
  <c r="BB258" i="1"/>
  <c r="BB254" i="1"/>
  <c r="BB250" i="1"/>
  <c r="BB246" i="1"/>
  <c r="BB242" i="1"/>
  <c r="BB238" i="1"/>
  <c r="BB234" i="1"/>
  <c r="BB230" i="1"/>
  <c r="BB226" i="1"/>
  <c r="BB222" i="1"/>
  <c r="BB218" i="1"/>
  <c r="BB214" i="1"/>
  <c r="BB210" i="1"/>
  <c r="BB206" i="1"/>
  <c r="BB202" i="1"/>
  <c r="BB198" i="1"/>
  <c r="BB194" i="1"/>
  <c r="BB190" i="1"/>
  <c r="BB186" i="1"/>
  <c r="BB182" i="1"/>
  <c r="BB178" i="1"/>
  <c r="BB173" i="1"/>
  <c r="BB169" i="1"/>
  <c r="BB67" i="1"/>
  <c r="BB63" i="1"/>
  <c r="BB59" i="1"/>
  <c r="BB55" i="1"/>
  <c r="BB39" i="1"/>
  <c r="BB35" i="1"/>
  <c r="BB31" i="1"/>
  <c r="BB27" i="1"/>
  <c r="BB23" i="1"/>
  <c r="BB577" i="1"/>
  <c r="BB569" i="1"/>
  <c r="BB557" i="1"/>
  <c r="BB545" i="1"/>
  <c r="BB537" i="1"/>
  <c r="BB525" i="1"/>
  <c r="BB513" i="1"/>
  <c r="BB509" i="1"/>
  <c r="BB494" i="1"/>
  <c r="BB419" i="1"/>
  <c r="BB479" i="1"/>
  <c r="BB475" i="1"/>
  <c r="BB460" i="1"/>
  <c r="BB363" i="1"/>
  <c r="BB345" i="1"/>
  <c r="BB315" i="1"/>
  <c r="BB291" i="1"/>
  <c r="BB279" i="1"/>
  <c r="BB267" i="1"/>
  <c r="BB247" i="1"/>
  <c r="BB235" i="1"/>
  <c r="BB219" i="1"/>
  <c r="BB203" i="1"/>
  <c r="BB191" i="1"/>
  <c r="BB179" i="1"/>
  <c r="BB161" i="1"/>
  <c r="BB68" i="1"/>
  <c r="BB56" i="1"/>
  <c r="BB40" i="1"/>
  <c r="BB32" i="1"/>
  <c r="BB575" i="1"/>
  <c r="BB571" i="1"/>
  <c r="BB567" i="1"/>
  <c r="BB563" i="1"/>
  <c r="BB559" i="1"/>
  <c r="BB551" i="1"/>
  <c r="BB543" i="1"/>
  <c r="BB539" i="1"/>
  <c r="BB535" i="1"/>
  <c r="BB531" i="1"/>
  <c r="BB527" i="1"/>
  <c r="BB519" i="1"/>
  <c r="BB511" i="1"/>
  <c r="BB507" i="1"/>
  <c r="BB503" i="1"/>
  <c r="BB499" i="1"/>
  <c r="BB492" i="1"/>
  <c r="BB417" i="1"/>
  <c r="BB477" i="1"/>
  <c r="BB473" i="1"/>
  <c r="BB469" i="1"/>
  <c r="BB465" i="1"/>
  <c r="BB453" i="1"/>
  <c r="BB443" i="1"/>
  <c r="BB374" i="1"/>
  <c r="BB370" i="1"/>
  <c r="BB365" i="1"/>
  <c r="BB351" i="1"/>
  <c r="BB339" i="1"/>
  <c r="BB327" i="1"/>
  <c r="BB321" i="1"/>
  <c r="BB317" i="1"/>
  <c r="BB313" i="1"/>
  <c r="BB309" i="1"/>
  <c r="BB293" i="1"/>
  <c r="BB289" i="1"/>
  <c r="BB285" i="1"/>
  <c r="BB281" i="1"/>
  <c r="BB277" i="1"/>
  <c r="BB273" i="1"/>
  <c r="BB269" i="1"/>
  <c r="BB265" i="1"/>
  <c r="BB261" i="1"/>
  <c r="BB257" i="1"/>
  <c r="BB253" i="1"/>
  <c r="BB249" i="1"/>
  <c r="BB245" i="1"/>
  <c r="BB241" i="1"/>
  <c r="BB237" i="1"/>
  <c r="BB233" i="1"/>
  <c r="BB229" i="1"/>
  <c r="BB225" i="1"/>
  <c r="BB221" i="1"/>
  <c r="BB217" i="1"/>
  <c r="BB213" i="1"/>
  <c r="BB209" i="1"/>
  <c r="BB205" i="1"/>
  <c r="BB201" i="1"/>
  <c r="BB197" i="1"/>
  <c r="BB193" i="1"/>
  <c r="BB189" i="1"/>
  <c r="BB185" i="1"/>
  <c r="BB181" i="1"/>
  <c r="BB177" i="1"/>
  <c r="BB172" i="1"/>
  <c r="BB163" i="1"/>
  <c r="BB70" i="1"/>
  <c r="BB66" i="1"/>
  <c r="BB62" i="1"/>
  <c r="BB58" i="1"/>
  <c r="BB54" i="1"/>
  <c r="BB26" i="1"/>
  <c r="BB22" i="1"/>
  <c r="BB15" i="1"/>
  <c r="BB7" i="1"/>
  <c r="BB418" i="1"/>
  <c r="BB466" i="1"/>
  <c r="BB290" i="1"/>
  <c r="BB73" i="1"/>
  <c r="BB467" i="1"/>
  <c r="BB579" i="1"/>
  <c r="BB555" i="1"/>
  <c r="BB547" i="1"/>
  <c r="BB523" i="1"/>
  <c r="BB515" i="1"/>
  <c r="BB296" i="1"/>
  <c r="BB347" i="1"/>
  <c r="BB343" i="1"/>
  <c r="BB34" i="1"/>
  <c r="BA6" i="1" l="1"/>
  <c r="I3" i="1" l="1"/>
  <c r="AZ8" i="12" l="1"/>
  <c r="AY8" i="12"/>
  <c r="AX8" i="12"/>
  <c r="Q8" i="12"/>
  <c r="BA8" i="12" s="1"/>
  <c r="A8" i="12"/>
  <c r="S8" i="12" l="1"/>
  <c r="N414" i="1" l="1"/>
  <c r="P414" i="1"/>
  <c r="P421" i="1"/>
  <c r="Q414" i="1" l="1"/>
  <c r="P3" i="1"/>
  <c r="N421" i="1"/>
  <c r="Q421" i="1" s="1"/>
  <c r="S421" i="1" s="1"/>
  <c r="BB167" i="1" l="1"/>
  <c r="BB174" i="1"/>
  <c r="BB441" i="1"/>
  <c r="N415" i="1"/>
  <c r="Q415" i="1" s="1"/>
  <c r="S415" i="1" s="1"/>
  <c r="N413" i="1"/>
  <c r="Q413" i="1" s="1"/>
  <c r="N463" i="1"/>
  <c r="Q463" i="1" s="1"/>
  <c r="S463" i="1" s="1"/>
  <c r="N461" i="1"/>
  <c r="Q461" i="1" s="1"/>
  <c r="S461" i="1" s="1"/>
  <c r="N459" i="1"/>
  <c r="Q459" i="1" s="1"/>
  <c r="S459" i="1" s="1"/>
  <c r="N457" i="1"/>
  <c r="Q457" i="1" s="1"/>
  <c r="S457" i="1" s="1"/>
  <c r="N455" i="1"/>
  <c r="Q455" i="1" s="1"/>
  <c r="S455" i="1" s="1"/>
  <c r="N406" i="1"/>
  <c r="Q406" i="1" s="1"/>
  <c r="S406" i="1" s="1"/>
  <c r="N404" i="1"/>
  <c r="Q404" i="1" s="1"/>
  <c r="S404" i="1" s="1"/>
  <c r="N402" i="1"/>
  <c r="Q402" i="1" s="1"/>
  <c r="S402" i="1" s="1"/>
  <c r="N400" i="1"/>
  <c r="Q400" i="1" s="1"/>
  <c r="S400" i="1" s="1"/>
  <c r="N398" i="1"/>
  <c r="Q398" i="1" s="1"/>
  <c r="S398" i="1" s="1"/>
  <c r="N396" i="1"/>
  <c r="Q396" i="1" s="1"/>
  <c r="S396" i="1" s="1"/>
  <c r="N394" i="1"/>
  <c r="Q394" i="1" s="1"/>
  <c r="S394" i="1" s="1"/>
  <c r="N392" i="1"/>
  <c r="Q392" i="1" s="1"/>
  <c r="S392" i="1" s="1"/>
  <c r="N390" i="1"/>
  <c r="Q390" i="1" s="1"/>
  <c r="S390" i="1" s="1"/>
  <c r="N388" i="1"/>
  <c r="Q388" i="1" s="1"/>
  <c r="S388" i="1" s="1"/>
  <c r="N386" i="1"/>
  <c r="Q386" i="1" s="1"/>
  <c r="S386" i="1" s="1"/>
  <c r="N384" i="1"/>
  <c r="Q384" i="1" s="1"/>
  <c r="S384" i="1" s="1"/>
  <c r="N412" i="1"/>
  <c r="Q412" i="1" s="1"/>
  <c r="S412" i="1" s="1"/>
  <c r="N462" i="1"/>
  <c r="Q462" i="1" s="1"/>
  <c r="N458" i="1"/>
  <c r="Q458" i="1" s="1"/>
  <c r="S458" i="1" s="1"/>
  <c r="N454" i="1"/>
  <c r="Q454" i="1" s="1"/>
  <c r="S454" i="1" s="1"/>
  <c r="N411" i="1"/>
  <c r="Q411" i="1" s="1"/>
  <c r="S411" i="1" s="1"/>
  <c r="N407" i="1"/>
  <c r="Q407" i="1" s="1"/>
  <c r="S407" i="1" s="1"/>
  <c r="N405" i="1"/>
  <c r="Q405" i="1" s="1"/>
  <c r="S405" i="1" s="1"/>
  <c r="N403" i="1"/>
  <c r="Q403" i="1" s="1"/>
  <c r="S403" i="1" s="1"/>
  <c r="N401" i="1"/>
  <c r="Q401" i="1" s="1"/>
  <c r="S401" i="1" s="1"/>
  <c r="N399" i="1"/>
  <c r="Q399" i="1" s="1"/>
  <c r="S399" i="1" s="1"/>
  <c r="N397" i="1"/>
  <c r="Q397" i="1" s="1"/>
  <c r="S397" i="1" s="1"/>
  <c r="N395" i="1"/>
  <c r="Q395" i="1" s="1"/>
  <c r="S395" i="1" s="1"/>
  <c r="N393" i="1"/>
  <c r="Q393" i="1" s="1"/>
  <c r="S393" i="1" s="1"/>
  <c r="N391" i="1"/>
  <c r="Q391" i="1" s="1"/>
  <c r="S391" i="1" s="1"/>
  <c r="N389" i="1"/>
  <c r="Q389" i="1" s="1"/>
  <c r="S389" i="1" s="1"/>
  <c r="N387" i="1"/>
  <c r="Q387" i="1" s="1"/>
  <c r="S387" i="1" s="1"/>
  <c r="N385" i="1"/>
  <c r="Q385" i="1" s="1"/>
  <c r="S385" i="1" s="1"/>
  <c r="N383" i="1"/>
  <c r="Q383" i="1" s="1"/>
  <c r="S383" i="1" s="1"/>
  <c r="BB147" i="1" l="1"/>
  <c r="BB47" i="1"/>
  <c r="BB166" i="1"/>
  <c r="BB160" i="1"/>
  <c r="BB52" i="1"/>
  <c r="BB157" i="1"/>
  <c r="BB168" i="1"/>
  <c r="BB146" i="1"/>
  <c r="BB154" i="1"/>
  <c r="BB164" i="1"/>
  <c r="BB165" i="1"/>
  <c r="BB151" i="1"/>
  <c r="BB159" i="1"/>
  <c r="BB51" i="1"/>
  <c r="BB72" i="1"/>
  <c r="BB148" i="1"/>
  <c r="BB156" i="1"/>
  <c r="BB153" i="1"/>
  <c r="BB53" i="1"/>
  <c r="BB155" i="1"/>
  <c r="BB158" i="1"/>
  <c r="BB152" i="1"/>
  <c r="BB150" i="1"/>
  <c r="BB421" i="1"/>
  <c r="O12" i="1"/>
  <c r="Q12" i="1" s="1"/>
  <c r="BB398" i="1" l="1"/>
  <c r="BB415" i="1"/>
  <c r="BB407" i="1"/>
  <c r="BB397" i="1"/>
  <c r="BB439" i="1"/>
  <c r="BB496" i="1"/>
  <c r="BB409" i="1"/>
  <c r="BB408" i="1"/>
  <c r="BB143" i="1"/>
  <c r="BB144" i="1"/>
  <c r="BB482" i="1"/>
  <c r="BB406" i="1"/>
  <c r="BB412" i="1"/>
  <c r="BB401" i="1"/>
  <c r="BB459" i="1"/>
  <c r="BB394" i="1"/>
  <c r="BB455" i="1"/>
  <c r="BB454" i="1"/>
  <c r="BB393" i="1"/>
  <c r="BB384" i="1"/>
  <c r="BB385" i="1"/>
  <c r="BB442" i="1"/>
  <c r="BB434" i="1"/>
  <c r="BB440" i="1"/>
  <c r="BB497" i="1"/>
  <c r="BB410" i="1"/>
  <c r="BB142" i="1"/>
  <c r="BB149" i="1"/>
  <c r="BB145" i="1"/>
  <c r="BB438" i="1"/>
  <c r="BB411" i="1"/>
  <c r="BB402" i="1"/>
  <c r="BB463" i="1"/>
  <c r="BB395" i="1"/>
  <c r="BB387" i="1"/>
  <c r="BB458" i="1"/>
  <c r="BB388" i="1"/>
  <c r="BB399" i="1"/>
  <c r="BB457" i="1"/>
  <c r="BB405" i="1"/>
  <c r="BB403" i="1"/>
  <c r="BB383" i="1"/>
  <c r="BB386" i="1"/>
  <c r="BB389" i="1"/>
  <c r="BB391" i="1"/>
  <c r="BB392" i="1"/>
  <c r="BB461" i="1"/>
  <c r="BB404" i="1"/>
  <c r="BB400" i="1"/>
  <c r="BB390" i="1"/>
  <c r="BB396" i="1"/>
  <c r="O3" i="1"/>
  <c r="AZ6" i="1"/>
  <c r="A22" i="12" l="1"/>
  <c r="A21" i="12"/>
  <c r="A20" i="12"/>
  <c r="A19" i="12"/>
  <c r="A18" i="12"/>
  <c r="A17" i="12"/>
  <c r="A16" i="12"/>
  <c r="A15" i="12"/>
  <c r="A14" i="12"/>
  <c r="A13" i="12"/>
  <c r="A12" i="12"/>
  <c r="A11" i="12"/>
  <c r="A10" i="12"/>
  <c r="A9" i="12"/>
  <c r="A7" i="12"/>
  <c r="A6" i="12"/>
  <c r="A5" i="12"/>
  <c r="AY7" i="12" l="1"/>
  <c r="AX7" i="12"/>
  <c r="AW7" i="12"/>
  <c r="AU7" i="12"/>
  <c r="Q7" i="12"/>
  <c r="AZ7" i="12" s="1"/>
  <c r="AY6" i="12"/>
  <c r="AX6" i="12"/>
  <c r="AW6" i="12"/>
  <c r="AU6" i="12"/>
  <c r="Q6" i="12"/>
  <c r="S6" i="12" s="1"/>
  <c r="AZ6" i="12" l="1"/>
  <c r="S7" i="12"/>
  <c r="A4" i="12" l="1"/>
  <c r="Q4" i="12"/>
  <c r="K3" i="1" l="1"/>
  <c r="AU5" i="12"/>
  <c r="Q5" i="12"/>
  <c r="N3" i="1" l="1"/>
  <c r="A6" i="1"/>
  <c r="Q6" i="1"/>
  <c r="BB297" i="1" l="1"/>
  <c r="BB481" i="1"/>
  <c r="BB71" i="1"/>
  <c r="BB6" i="1"/>
  <c r="S6" i="1"/>
  <c r="S3" i="1" l="1"/>
  <c r="Q3" i="1"/>
  <c r="H3" i="1" l="1"/>
  <c r="AX6" i="1" l="1"/>
  <c r="AY6" i="1"/>
  <c r="G3" i="1" s="1"/>
  <c r="F3" i="1" l="1"/>
</calcChain>
</file>

<file path=xl/comments1.xml><?xml version="1.0" encoding="utf-8"?>
<comments xmlns="http://schemas.openxmlformats.org/spreadsheetml/2006/main">
  <authors>
    <author>Antonio Carlos Guimarães Deiró</author>
  </authors>
  <commentList>
    <comment ref="W364" authorId="0" guid="{8BCB1224-1FE0-4A62-A0F4-B84881174129}" shapeId="0">
      <text>
        <r>
          <rPr>
            <b/>
            <sz val="9"/>
            <color indexed="81"/>
            <rFont val="Segoe UI"/>
            <family val="2"/>
          </rPr>
          <t xml:space="preserve">informação Transferegov
</t>
        </r>
      </text>
    </comment>
    <comment ref="W365" authorId="0" guid="{03A85CBE-A6A7-41DE-A758-D56DEBA0CF91}" shapeId="0">
      <text>
        <r>
          <rPr>
            <b/>
            <sz val="9"/>
            <color indexed="81"/>
            <rFont val="Segoe UI"/>
            <family val="2"/>
          </rPr>
          <t xml:space="preserve">Informação Transferegov
</t>
        </r>
      </text>
    </comment>
  </commentList>
</comments>
</file>

<file path=xl/sharedStrings.xml><?xml version="1.0" encoding="utf-8"?>
<sst xmlns="http://schemas.openxmlformats.org/spreadsheetml/2006/main" count="10150" uniqueCount="2811">
  <si>
    <t>MUNICÍPIO</t>
  </si>
  <si>
    <t>FONTE DE RECURSO</t>
  </si>
  <si>
    <t>OBSERVAÇÕES</t>
  </si>
  <si>
    <t>STATUS</t>
  </si>
  <si>
    <t>TIPO_INTERVENÇÃO</t>
  </si>
  <si>
    <t>ESCOPO</t>
  </si>
  <si>
    <t>EXECUTOR</t>
  </si>
  <si>
    <t>CODIGO</t>
  </si>
  <si>
    <t>MUNICIPIO</t>
  </si>
  <si>
    <t>Alienação/Concessão</t>
  </si>
  <si>
    <t>Abaíra</t>
  </si>
  <si>
    <t>Ampliação</t>
  </si>
  <si>
    <t>Convive</t>
  </si>
  <si>
    <t>Abaré</t>
  </si>
  <si>
    <t>Convênio</t>
  </si>
  <si>
    <t>Conservação e Restauração</t>
  </si>
  <si>
    <t>Acajutiba</t>
  </si>
  <si>
    <t>Construção</t>
  </si>
  <si>
    <t>Adustina</t>
  </si>
  <si>
    <t>Água Fria</t>
  </si>
  <si>
    <t>Elaboração de Projeto</t>
  </si>
  <si>
    <t>Aiquara</t>
  </si>
  <si>
    <t>Reforma/Recuperação</t>
  </si>
  <si>
    <t>Alagoinhas</t>
  </si>
  <si>
    <t>Serviços de Manutenção</t>
  </si>
  <si>
    <t>Alcobaça</t>
  </si>
  <si>
    <t>Almadina</t>
  </si>
  <si>
    <t>Amargosa</t>
  </si>
  <si>
    <t>Amélia Rodrigues</t>
  </si>
  <si>
    <t>América Dourada</t>
  </si>
  <si>
    <t>Anagé</t>
  </si>
  <si>
    <t>Andaraí</t>
  </si>
  <si>
    <t>Andorinha</t>
  </si>
  <si>
    <t>Angical</t>
  </si>
  <si>
    <t>Anguera</t>
  </si>
  <si>
    <t>Antas</t>
  </si>
  <si>
    <t>Antônio Cardoso</t>
  </si>
  <si>
    <t>Antônio Gonçalves</t>
  </si>
  <si>
    <t>Aporá</t>
  </si>
  <si>
    <t>Apuarema</t>
  </si>
  <si>
    <t>EIXO INTERVENÇÃO</t>
  </si>
  <si>
    <t>Araçás</t>
  </si>
  <si>
    <t>Desenvolvimento Rural</t>
  </si>
  <si>
    <t>Aracatu</t>
  </si>
  <si>
    <t>Educação</t>
  </si>
  <si>
    <t>Araci</t>
  </si>
  <si>
    <t>Aramari</t>
  </si>
  <si>
    <t>Habitação</t>
  </si>
  <si>
    <t>Arataca</t>
  </si>
  <si>
    <t>Infraestrutura</t>
  </si>
  <si>
    <t>Aratuípe</t>
  </si>
  <si>
    <t>Mobilidade</t>
  </si>
  <si>
    <t>Aurelino Leal</t>
  </si>
  <si>
    <t>Prevenção a Desastres Naturais</t>
  </si>
  <si>
    <t>Baianópolis</t>
  </si>
  <si>
    <t>Baixa Grande</t>
  </si>
  <si>
    <t>Saúde</t>
  </si>
  <si>
    <t>Banzaê</t>
  </si>
  <si>
    <t>Barra</t>
  </si>
  <si>
    <t>Barra da Estiva</t>
  </si>
  <si>
    <t>Barra do Choça</t>
  </si>
  <si>
    <t>Barra do Mendes</t>
  </si>
  <si>
    <t>Barra do Rocha</t>
  </si>
  <si>
    <t>Barreiras</t>
  </si>
  <si>
    <t>Barro Alto</t>
  </si>
  <si>
    <t>Barro Preto</t>
  </si>
  <si>
    <t>Barrocas</t>
  </si>
  <si>
    <t>Belmonte</t>
  </si>
  <si>
    <t>Belo Campo</t>
  </si>
  <si>
    <t>Biritinga</t>
  </si>
  <si>
    <t>Boa Nova</t>
  </si>
  <si>
    <t>Boa Vista do Tupim</t>
  </si>
  <si>
    <t>Bom Jesus da Lapa</t>
  </si>
  <si>
    <t>Bom Jesus da Serra</t>
  </si>
  <si>
    <t>Boninal</t>
  </si>
  <si>
    <t>Bonito</t>
  </si>
  <si>
    <t>Boquira</t>
  </si>
  <si>
    <t>Botuporã</t>
  </si>
  <si>
    <t>Brejões</t>
  </si>
  <si>
    <t>Brejolândia</t>
  </si>
  <si>
    <t>Brotas de Macaúbas</t>
  </si>
  <si>
    <t>Brumado</t>
  </si>
  <si>
    <t>Buerarema</t>
  </si>
  <si>
    <t>Buritirama</t>
  </si>
  <si>
    <t>Caatiba</t>
  </si>
  <si>
    <t>Cabaceiras do Paraguaçu</t>
  </si>
  <si>
    <t>Cachoeira</t>
  </si>
  <si>
    <t>Caculé</t>
  </si>
  <si>
    <t>Caém</t>
  </si>
  <si>
    <t>Caetanos</t>
  </si>
  <si>
    <t>Caetité</t>
  </si>
  <si>
    <t>Cafarnaum</t>
  </si>
  <si>
    <t>Cairu</t>
  </si>
  <si>
    <t>Caldeirão Grande</t>
  </si>
  <si>
    <t>Camacan</t>
  </si>
  <si>
    <t>Camaçari</t>
  </si>
  <si>
    <t>Camamu</t>
  </si>
  <si>
    <t>Campo Alegre de Lourdes</t>
  </si>
  <si>
    <t>Campo Formoso</t>
  </si>
  <si>
    <t>Canápolis</t>
  </si>
  <si>
    <t>Canarana</t>
  </si>
  <si>
    <t>Canavieiras</t>
  </si>
  <si>
    <t>Candeal</t>
  </si>
  <si>
    <t>Candeias</t>
  </si>
  <si>
    <t>Candiba</t>
  </si>
  <si>
    <t>Cândido Sales</t>
  </si>
  <si>
    <t>Cansanção</t>
  </si>
  <si>
    <t>Canudos</t>
  </si>
  <si>
    <t>Capela do Alto Alegre</t>
  </si>
  <si>
    <t>Capim Grosso</t>
  </si>
  <si>
    <t>Caraíbas</t>
  </si>
  <si>
    <t>Caravelas</t>
  </si>
  <si>
    <t>Cardeal da Silva</t>
  </si>
  <si>
    <t>Carinhanha</t>
  </si>
  <si>
    <t>Casa Nova</t>
  </si>
  <si>
    <t>Castro Alves</t>
  </si>
  <si>
    <t>Catolândia</t>
  </si>
  <si>
    <t>Catu</t>
  </si>
  <si>
    <t>Caturama</t>
  </si>
  <si>
    <t>Central</t>
  </si>
  <si>
    <t>Chorrochó</t>
  </si>
  <si>
    <t>Cícero Dantas</t>
  </si>
  <si>
    <t>Cipó</t>
  </si>
  <si>
    <t>Coaraci</t>
  </si>
  <si>
    <t>Cocos</t>
  </si>
  <si>
    <t>Conceição da Feira</t>
  </si>
  <si>
    <t>Conceição do Almeida</t>
  </si>
  <si>
    <t>Conceição do Coité</t>
  </si>
  <si>
    <t>Conceição do Jacuípe</t>
  </si>
  <si>
    <t>Conde</t>
  </si>
  <si>
    <t>Condeúba</t>
  </si>
  <si>
    <t>Contendas do Sincorá</t>
  </si>
  <si>
    <t>Coração de Maria</t>
  </si>
  <si>
    <t>Cordeiros</t>
  </si>
  <si>
    <t>Coribe</t>
  </si>
  <si>
    <t>Coronel João Sá</t>
  </si>
  <si>
    <t>Correntina</t>
  </si>
  <si>
    <t>Cotegipe</t>
  </si>
  <si>
    <t>Cravolândia</t>
  </si>
  <si>
    <t>Crisópolis</t>
  </si>
  <si>
    <t>Cristópolis</t>
  </si>
  <si>
    <t>Cruz das Almas</t>
  </si>
  <si>
    <t>Curaçá</t>
  </si>
  <si>
    <t>Dário Meira</t>
  </si>
  <si>
    <t>Dias D'Ávila</t>
  </si>
  <si>
    <t>Dom Basílio</t>
  </si>
  <si>
    <t>Dom Macedo Costa</t>
  </si>
  <si>
    <t>Elísio Medrado</t>
  </si>
  <si>
    <t>Encruzilhada</t>
  </si>
  <si>
    <t>Entre Rios</t>
  </si>
  <si>
    <t>Érico Cardoso</t>
  </si>
  <si>
    <t>Esplanada</t>
  </si>
  <si>
    <t>Euclides da Cunha</t>
  </si>
  <si>
    <t>Eunápolis</t>
  </si>
  <si>
    <t>Fátima</t>
  </si>
  <si>
    <t>Feira da Mata</t>
  </si>
  <si>
    <t>Feira de Santana</t>
  </si>
  <si>
    <t>Filadélfia</t>
  </si>
  <si>
    <t>Firmino Alves</t>
  </si>
  <si>
    <t>Floresta Azul</t>
  </si>
  <si>
    <t>Formosa do Rio Preto</t>
  </si>
  <si>
    <t>Gandu</t>
  </si>
  <si>
    <t>Gavião</t>
  </si>
  <si>
    <t>Gentio do Ouro</t>
  </si>
  <si>
    <t>Glória</t>
  </si>
  <si>
    <t>Gongogi</t>
  </si>
  <si>
    <t>Governador Mangabeira</t>
  </si>
  <si>
    <t>Guajeru</t>
  </si>
  <si>
    <t>Guanambi</t>
  </si>
  <si>
    <t>Guaratinga</t>
  </si>
  <si>
    <t>Heliópolis</t>
  </si>
  <si>
    <t>Iaçu</t>
  </si>
  <si>
    <t>Ibiassucê</t>
  </si>
  <si>
    <t>Ibicaraí</t>
  </si>
  <si>
    <t>Ibicoara</t>
  </si>
  <si>
    <t>Ibicuí</t>
  </si>
  <si>
    <t>Ibipeba</t>
  </si>
  <si>
    <t>Ibipitanga</t>
  </si>
  <si>
    <t>Ibiquera</t>
  </si>
  <si>
    <t>Ibirapitanga</t>
  </si>
  <si>
    <t>Ibirapoã</t>
  </si>
  <si>
    <t>Ibirataia</t>
  </si>
  <si>
    <t>Ibitiara</t>
  </si>
  <si>
    <t>Ibititá</t>
  </si>
  <si>
    <t>Ibotirama</t>
  </si>
  <si>
    <t>Ichu</t>
  </si>
  <si>
    <t>Igaporã</t>
  </si>
  <si>
    <t>Igrapiúna</t>
  </si>
  <si>
    <t>Iguaí</t>
  </si>
  <si>
    <t>Ilhéus</t>
  </si>
  <si>
    <t>Inhambupe</t>
  </si>
  <si>
    <t>Ipecaetá</t>
  </si>
  <si>
    <t>Ipiaú</t>
  </si>
  <si>
    <t>Ipirá</t>
  </si>
  <si>
    <t>Ipupiara</t>
  </si>
  <si>
    <t>Irajuba</t>
  </si>
  <si>
    <t>Iramaia</t>
  </si>
  <si>
    <t>Iraquara</t>
  </si>
  <si>
    <t>Irará</t>
  </si>
  <si>
    <t>Irecê</t>
  </si>
  <si>
    <t>Itabela</t>
  </si>
  <si>
    <t>Itaberaba</t>
  </si>
  <si>
    <t>Itabuna</t>
  </si>
  <si>
    <t>Itacaré</t>
  </si>
  <si>
    <t>Itaetê</t>
  </si>
  <si>
    <t>Itagi</t>
  </si>
  <si>
    <t>Itagibá</t>
  </si>
  <si>
    <t>Itagimirim</t>
  </si>
  <si>
    <t>Itaguaçu da Bahia</t>
  </si>
  <si>
    <t>Itaju do Colônia</t>
  </si>
  <si>
    <t>Itajuípe</t>
  </si>
  <si>
    <t>Itamaraju</t>
  </si>
  <si>
    <t>Itamari</t>
  </si>
  <si>
    <t>Itambé</t>
  </si>
  <si>
    <t>Itanagra</t>
  </si>
  <si>
    <t>Itanhém</t>
  </si>
  <si>
    <t>Itaparica</t>
  </si>
  <si>
    <t>Itapé</t>
  </si>
  <si>
    <t>Itapebi</t>
  </si>
  <si>
    <t>Itapetinga</t>
  </si>
  <si>
    <t>Itapicuru</t>
  </si>
  <si>
    <t>Itapitanga</t>
  </si>
  <si>
    <t>Itaquara</t>
  </si>
  <si>
    <t>Itarantim</t>
  </si>
  <si>
    <t>Itatim</t>
  </si>
  <si>
    <t>Itiruçu</t>
  </si>
  <si>
    <t>Itiúba</t>
  </si>
  <si>
    <t>Itororó</t>
  </si>
  <si>
    <t>Ituaçu</t>
  </si>
  <si>
    <t>Ituberá</t>
  </si>
  <si>
    <t>Iuiu</t>
  </si>
  <si>
    <t>Jaborandi</t>
  </si>
  <si>
    <t>Jacaraci</t>
  </si>
  <si>
    <t>Jacobina</t>
  </si>
  <si>
    <t>Jaguaquara</t>
  </si>
  <si>
    <t>Jaguarari</t>
  </si>
  <si>
    <t>Jaguaripe</t>
  </si>
  <si>
    <t>Jandaíra</t>
  </si>
  <si>
    <t>Jequié</t>
  </si>
  <si>
    <t>Jeremoabo</t>
  </si>
  <si>
    <t>Jiquiriçá</t>
  </si>
  <si>
    <t>Jitaúna</t>
  </si>
  <si>
    <t>João Dourado</t>
  </si>
  <si>
    <t>Juazeiro</t>
  </si>
  <si>
    <t>Jucuruçu</t>
  </si>
  <si>
    <t>Jussara</t>
  </si>
  <si>
    <t>Jussari</t>
  </si>
  <si>
    <t>Jussiape</t>
  </si>
  <si>
    <t>Lafayette Coutinho</t>
  </si>
  <si>
    <t>Lagoa Real</t>
  </si>
  <si>
    <t>Laje</t>
  </si>
  <si>
    <t>Lajedão</t>
  </si>
  <si>
    <t>Lajedinho</t>
  </si>
  <si>
    <t>Lajedo do Tabocal</t>
  </si>
  <si>
    <t>Lamarão</t>
  </si>
  <si>
    <t>Lapão</t>
  </si>
  <si>
    <t>Lauro de Freitas</t>
  </si>
  <si>
    <t>Lençóis</t>
  </si>
  <si>
    <t>Licínio de Almeida</t>
  </si>
  <si>
    <t>Livramento de Nossa Senhora</t>
  </si>
  <si>
    <t>Luís Eduardo Magalhães</t>
  </si>
  <si>
    <t>Macajuba</t>
  </si>
  <si>
    <t>Macarani</t>
  </si>
  <si>
    <t>Macaúbas</t>
  </si>
  <si>
    <t>Macururé</t>
  </si>
  <si>
    <t>Madre de Deus</t>
  </si>
  <si>
    <t>Maetinga</t>
  </si>
  <si>
    <t>Maiquinique</t>
  </si>
  <si>
    <t>Mairi</t>
  </si>
  <si>
    <t>Malhada</t>
  </si>
  <si>
    <t>Malhada de Pedras</t>
  </si>
  <si>
    <t>Manoel Vitorino</t>
  </si>
  <si>
    <t>Mansidão</t>
  </si>
  <si>
    <t>Maracás</t>
  </si>
  <si>
    <t>Maragogipe</t>
  </si>
  <si>
    <t>Maraú</t>
  </si>
  <si>
    <t>Marcionílio Souza</t>
  </si>
  <si>
    <t>Mascote</t>
  </si>
  <si>
    <t>Mata de São João</t>
  </si>
  <si>
    <t>Matina</t>
  </si>
  <si>
    <t>Medeiros Neto</t>
  </si>
  <si>
    <t>Miguel Calmon</t>
  </si>
  <si>
    <t>Milagres</t>
  </si>
  <si>
    <t>Mirangaba</t>
  </si>
  <si>
    <t>Mirante</t>
  </si>
  <si>
    <t>Monte Santo</t>
  </si>
  <si>
    <t>Morpará</t>
  </si>
  <si>
    <t>Morro do Chapéu</t>
  </si>
  <si>
    <t>Mortugaba</t>
  </si>
  <si>
    <t>Mucugê</t>
  </si>
  <si>
    <t>Mucuri</t>
  </si>
  <si>
    <t>Mulungu do Morro</t>
  </si>
  <si>
    <t>Mundo Novo</t>
  </si>
  <si>
    <t>Muniz Ferreira</t>
  </si>
  <si>
    <t>Muquém do São Francisco</t>
  </si>
  <si>
    <t>Muritiba</t>
  </si>
  <si>
    <t>Mutuípe</t>
  </si>
  <si>
    <t>Nazaré</t>
  </si>
  <si>
    <t>Nilo Peçanha</t>
  </si>
  <si>
    <t>Nordestina</t>
  </si>
  <si>
    <t>Nova Canaã</t>
  </si>
  <si>
    <t>Nova Fátima</t>
  </si>
  <si>
    <t>Nova Ibiá</t>
  </si>
  <si>
    <t>Nova Itarana</t>
  </si>
  <si>
    <t>Nova Redenção</t>
  </si>
  <si>
    <t>Nova Soure</t>
  </si>
  <si>
    <t>Nova Viçosa</t>
  </si>
  <si>
    <t>Novo Horizonte</t>
  </si>
  <si>
    <t>Novo Triunfo</t>
  </si>
  <si>
    <t>Olindina</t>
  </si>
  <si>
    <t>Oliveira dos Brejinhos</t>
  </si>
  <si>
    <t>Ouriçangas</t>
  </si>
  <si>
    <t>Ourolândia</t>
  </si>
  <si>
    <t>Palmas de Monte Alto</t>
  </si>
  <si>
    <t>Palmeiras</t>
  </si>
  <si>
    <t>Paramirim</t>
  </si>
  <si>
    <t>Paratinga</t>
  </si>
  <si>
    <t>Paripiranga</t>
  </si>
  <si>
    <t>Pau-Brasil</t>
  </si>
  <si>
    <t>Paulo Afonso</t>
  </si>
  <si>
    <t>Pé de Serra</t>
  </si>
  <si>
    <t>Pedrão</t>
  </si>
  <si>
    <t>Pedro Alexandre</t>
  </si>
  <si>
    <t>Piatã</t>
  </si>
  <si>
    <t>Pilão Arcado</t>
  </si>
  <si>
    <t>Pindaí</t>
  </si>
  <si>
    <t>Pindobaçu</t>
  </si>
  <si>
    <t>Pintadas</t>
  </si>
  <si>
    <t>Piraí do Norte</t>
  </si>
  <si>
    <t>Piripá</t>
  </si>
  <si>
    <t>Piritiba</t>
  </si>
  <si>
    <t>Planaltino</t>
  </si>
  <si>
    <t>Planalto</t>
  </si>
  <si>
    <t>Poções</t>
  </si>
  <si>
    <t>Pojuca</t>
  </si>
  <si>
    <t>Ponto Novo</t>
  </si>
  <si>
    <t>Porto Seguro</t>
  </si>
  <si>
    <t>Potiraguá</t>
  </si>
  <si>
    <t>Prado</t>
  </si>
  <si>
    <t>Presidente Dutra</t>
  </si>
  <si>
    <t>Presidente Jânio Quadros</t>
  </si>
  <si>
    <t>Presidente Tancredo Neves</t>
  </si>
  <si>
    <t>Queimadas</t>
  </si>
  <si>
    <t>Quijingue</t>
  </si>
  <si>
    <t>Quixabeira</t>
  </si>
  <si>
    <t>Rafael Jambeiro</t>
  </si>
  <si>
    <t>Remanso</t>
  </si>
  <si>
    <t>Retirolândia</t>
  </si>
  <si>
    <t>Riachão das Neves</t>
  </si>
  <si>
    <t>Riachão do Jacuípe</t>
  </si>
  <si>
    <t>Riacho de Santana</t>
  </si>
  <si>
    <t>Ribeira do Amparo</t>
  </si>
  <si>
    <t>Ribeira do Pombal</t>
  </si>
  <si>
    <t>Ribeirão do Largo</t>
  </si>
  <si>
    <t>Rio de Contas</t>
  </si>
  <si>
    <t>Rio do Antônio</t>
  </si>
  <si>
    <t>Rio do Pires</t>
  </si>
  <si>
    <t>Rio Real</t>
  </si>
  <si>
    <t>Rodelas</t>
  </si>
  <si>
    <t>Ruy Barbosa</t>
  </si>
  <si>
    <t>Salinas da Margarida</t>
  </si>
  <si>
    <t>Salvador</t>
  </si>
  <si>
    <t>Santa Bárbara</t>
  </si>
  <si>
    <t>Santa Brígida</t>
  </si>
  <si>
    <t>Santa Cruz Cabrália</t>
  </si>
  <si>
    <t>Santa Cruz da Vitória</t>
  </si>
  <si>
    <t>Santa Inês</t>
  </si>
  <si>
    <t>Santa Luzia</t>
  </si>
  <si>
    <t>Santa Maria da Vitória</t>
  </si>
  <si>
    <t>Santa Rita de Cássia</t>
  </si>
  <si>
    <t>Santa Terezinha</t>
  </si>
  <si>
    <t>Santaluz</t>
  </si>
  <si>
    <t>Santana</t>
  </si>
  <si>
    <t>Santanópolis</t>
  </si>
  <si>
    <t>Santo Amaro</t>
  </si>
  <si>
    <t>Santo Antônio de Jesus</t>
  </si>
  <si>
    <t>Santo Estêvão</t>
  </si>
  <si>
    <t>São Desidério</t>
  </si>
  <si>
    <t>São Domingos</t>
  </si>
  <si>
    <t>São Felipe</t>
  </si>
  <si>
    <t>São Félix</t>
  </si>
  <si>
    <t>São Félix do Coribe</t>
  </si>
  <si>
    <t>São Francisco do Conde</t>
  </si>
  <si>
    <t>São Gabriel</t>
  </si>
  <si>
    <t>São Gonçalo dos Campos</t>
  </si>
  <si>
    <t>São José da Vitória</t>
  </si>
  <si>
    <t>São José do Jacuípe</t>
  </si>
  <si>
    <t>São Miguel das Matas</t>
  </si>
  <si>
    <t>São Sebastião do Passé</t>
  </si>
  <si>
    <t>Sapeaçu</t>
  </si>
  <si>
    <t>Sátiro Dias</t>
  </si>
  <si>
    <t>Saubara</t>
  </si>
  <si>
    <t>Seabra</t>
  </si>
  <si>
    <t>Sebastião Laranjeiras</t>
  </si>
  <si>
    <t>Senhor do Bonfim</t>
  </si>
  <si>
    <t>Sento Sé</t>
  </si>
  <si>
    <t>Serra do Ramalho</t>
  </si>
  <si>
    <t>Serra Dourada</t>
  </si>
  <si>
    <t>Serra Preta</t>
  </si>
  <si>
    <t>Serrinha</t>
  </si>
  <si>
    <t>Serrolândia</t>
  </si>
  <si>
    <t>Simões Filho</t>
  </si>
  <si>
    <t>Sítio do Mato</t>
  </si>
  <si>
    <t>Sítio do Quinto</t>
  </si>
  <si>
    <t>Sobradinho</t>
  </si>
  <si>
    <t>Souto Soares</t>
  </si>
  <si>
    <t>Tabocas do Brejo Velho</t>
  </si>
  <si>
    <t>Tanhaçu</t>
  </si>
  <si>
    <t>Tanque Novo</t>
  </si>
  <si>
    <t>Tanquinho</t>
  </si>
  <si>
    <t>Taperoá</t>
  </si>
  <si>
    <t>Tapiramutá</t>
  </si>
  <si>
    <t>Teixeira de Freitas</t>
  </si>
  <si>
    <t>Teodoro Sampaio</t>
  </si>
  <si>
    <t>Teofilândia</t>
  </si>
  <si>
    <t>Teolândia</t>
  </si>
  <si>
    <t>Terra Nova</t>
  </si>
  <si>
    <t>Tremedal</t>
  </si>
  <si>
    <t>Tucano</t>
  </si>
  <si>
    <t>Uauá</t>
  </si>
  <si>
    <t>Ubaíra</t>
  </si>
  <si>
    <t>Ubaitaba</t>
  </si>
  <si>
    <t>Ubatã</t>
  </si>
  <si>
    <t>Uibaí</t>
  </si>
  <si>
    <t>Umburanas</t>
  </si>
  <si>
    <t>Una</t>
  </si>
  <si>
    <t>Urandi</t>
  </si>
  <si>
    <t>Uruçuca</t>
  </si>
  <si>
    <t>Utinga</t>
  </si>
  <si>
    <t>Valença</t>
  </si>
  <si>
    <t>Valente</t>
  </si>
  <si>
    <t>Várzea da Roça</t>
  </si>
  <si>
    <t>Várzea do Poço</t>
  </si>
  <si>
    <t>Várzea Nova</t>
  </si>
  <si>
    <t>Varzedo</t>
  </si>
  <si>
    <t>Vera Cruz</t>
  </si>
  <si>
    <t>Vereda</t>
  </si>
  <si>
    <t>Vitória da Conquista</t>
  </si>
  <si>
    <t>Wagner</t>
  </si>
  <si>
    <t>Wanderley</t>
  </si>
  <si>
    <t>Wenceslau Guimarães</t>
  </si>
  <si>
    <t>Xique-Xique</t>
  </si>
  <si>
    <t>EIXO</t>
  </si>
  <si>
    <t>PRAZO EXECUÇÃO (MESES)</t>
  </si>
  <si>
    <t>ESCOPO_COLÉGIO</t>
  </si>
  <si>
    <t>Modernização</t>
  </si>
  <si>
    <t>Quadra Coberta</t>
  </si>
  <si>
    <t>Complexo Esportivo</t>
  </si>
  <si>
    <t>Unidade Escolar</t>
  </si>
  <si>
    <t>Diversos</t>
  </si>
  <si>
    <t>Turismo e Cultura</t>
  </si>
  <si>
    <t>ITEM</t>
  </si>
  <si>
    <t>Aeroporto de Barreiras (TPS)</t>
  </si>
  <si>
    <t>Construção da BR 242/BA - Castro Alves - Santo Antônio - Interseção com BR-101 (Financiamento)
Extensão: 40,01 km.</t>
  </si>
  <si>
    <t xml:space="preserve">- Monitorar execução da obra. </t>
  </si>
  <si>
    <t>O.S. emitida em 07/06/2024</t>
  </si>
  <si>
    <t>Nº DA PROPOSTA PAC</t>
  </si>
  <si>
    <t>Duplicação da BR-116 - Serrinha - Feira de Santana - Extensão: 53,2 km (lote 06)</t>
  </si>
  <si>
    <t>Duplicação do anel do contorno de Feira de Santana - (BR-116 Leste ao entroncamento da BR-324 ) - Extensão: 7,2 km.</t>
  </si>
  <si>
    <t>Duplicação e Restauração da BR-020 com a BR-242 (Luís Eduardo Magalhães - Barreiras) - Extensão: 106,65 km (meta de locação 30 km como obra pública)</t>
  </si>
  <si>
    <t>Estudo - Duplicação da BR-101 trecho Eunápolis x Mucuri/Itabatã (Sul)</t>
  </si>
  <si>
    <t>DET. DO PROJETO - PAC</t>
  </si>
  <si>
    <t>Barragem de Baraúnas / Vazante</t>
  </si>
  <si>
    <t>Barragem de Rio da Caixa</t>
  </si>
  <si>
    <t>Barragem de Catolé</t>
  </si>
  <si>
    <t>Barragem de Morrinhos</t>
  </si>
  <si>
    <t>Adutora da Fé – 1ª Etapa</t>
  </si>
  <si>
    <t>10 - Gov. Estado - SEC</t>
  </si>
  <si>
    <t>11 - Gov. Estado - SESAB</t>
  </si>
  <si>
    <t>Drenagem Urbana - Bairros Bonfim Boa Viagem e Massaranduba</t>
  </si>
  <si>
    <t>089/2024</t>
  </si>
  <si>
    <t>OBRA - Projeto Padrão FNDE 13 salas</t>
  </si>
  <si>
    <t>964191/2024</t>
  </si>
  <si>
    <t>964134/2024</t>
  </si>
  <si>
    <t>964152/2024</t>
  </si>
  <si>
    <t>964155/2024</t>
  </si>
  <si>
    <t>964158/2024</t>
  </si>
  <si>
    <t>964161/2024</t>
  </si>
  <si>
    <t>Construção de Unidade
de Atenção Especializada em Saúde (Policlínica)</t>
  </si>
  <si>
    <t>Centro de Parto Natural - CPN</t>
  </si>
  <si>
    <t>Construção de Unidade de Atenção Especializada em Saúde (Maternidade)</t>
  </si>
  <si>
    <t>OBRA - Projeto Padrão</t>
  </si>
  <si>
    <t>011343/2024</t>
  </si>
  <si>
    <t>011346/2024</t>
  </si>
  <si>
    <t>011345/2024</t>
  </si>
  <si>
    <t>36000001398/2023</t>
  </si>
  <si>
    <t>20463/2024</t>
  </si>
  <si>
    <t>20464/2024</t>
  </si>
  <si>
    <t>20465/2024</t>
  </si>
  <si>
    <t>958569/2024</t>
  </si>
  <si>
    <t>958566/2024</t>
  </si>
  <si>
    <t>958568/2024</t>
  </si>
  <si>
    <t>964567/2024</t>
  </si>
  <si>
    <t>965052/2024</t>
  </si>
  <si>
    <t>965425/2024</t>
  </si>
  <si>
    <t xml:space="preserve">Faculdade de Medicina da Bahia                                                Execução de projetos arquitetônicos, restauração e projeto complementares, visando a posterior execução das obras de Requalificação do Complexo Arquitetônico da Faculdade de Medicina da Bahia. </t>
  </si>
  <si>
    <t>008147/2024</t>
  </si>
  <si>
    <t>008157/2024</t>
  </si>
  <si>
    <t>008182/2024</t>
  </si>
  <si>
    <t>008186/2024</t>
  </si>
  <si>
    <t>008196/2024</t>
  </si>
  <si>
    <t>008205/2024</t>
  </si>
  <si>
    <t>Construção do CEU da Cultura</t>
  </si>
  <si>
    <t>Encosta</t>
  </si>
  <si>
    <t>CEU da Cultura</t>
  </si>
  <si>
    <t>Policlínica</t>
  </si>
  <si>
    <t>Maternidade</t>
  </si>
  <si>
    <t>Centro de Parto</t>
  </si>
  <si>
    <t xml:space="preserve">Convento de Santa Clara do Desterro                                   Execução de projetos arquitetônicos, restauração e projeto complementares, visando a posterior execução das obras de Restauração do telhado do Convento de Santa Clara do Desterro. </t>
  </si>
  <si>
    <t>966000/2024</t>
  </si>
  <si>
    <t>966001/2024</t>
  </si>
  <si>
    <t>965999/2024</t>
  </si>
  <si>
    <t>966002/2024</t>
  </si>
  <si>
    <t>Patrimônio Histórico</t>
  </si>
  <si>
    <t>Tramo 4 do Sistema Metroviário Salvador Lauro de Freitas - SMSL - Ligação Lapa x Campo Grande.</t>
  </si>
  <si>
    <t>Elaboração do anteprojeto do VLT trecho Comércio x Ribeira com integração ao VLT do Suburbio pela estação da Calçada.</t>
  </si>
  <si>
    <t>Veículo sobre trilhos</t>
  </si>
  <si>
    <t>56000001897/2023</t>
  </si>
  <si>
    <t>OGU / ESTADO</t>
  </si>
  <si>
    <t>017477/2024
(56000000986/2023)</t>
  </si>
  <si>
    <t>017479/2024
(56000001189/2023)</t>
  </si>
  <si>
    <t>017482/2024
(56000000938/2023)</t>
  </si>
  <si>
    <t>017478/2024
(56000000573/2023)</t>
  </si>
  <si>
    <t>017480/2024
(56000000590/2023)</t>
  </si>
  <si>
    <t>017481/2024
(56000000587/2023)</t>
  </si>
  <si>
    <t>017483/2024
(56000001545/2023)</t>
  </si>
  <si>
    <t>017484/2024
(56000000833/2023)</t>
  </si>
  <si>
    <t>017485/2024
(56000000994/2023)</t>
  </si>
  <si>
    <t xml:space="preserve">Construção do Sistema de Adução de Agua Bruta para a Cidade de Wagner a partir da captação no Rio Bonito </t>
  </si>
  <si>
    <t>Ampliação do Sistema Integrado de Abastecimento de Água no município de Serrolândia - 1ª etapa</t>
  </si>
  <si>
    <t>Ampliação do Sistema Integrado de Abastecimento de Água no município de Tanhaçu</t>
  </si>
  <si>
    <t xml:space="preserve">Miguel Calmon/Piritiba/Mundo Novo </t>
  </si>
  <si>
    <t>SAAB</t>
  </si>
  <si>
    <t>Ampliação do Sistema Integrado de Abastecimento de Água  nos muncípios de Santaluz e Queimadas</t>
  </si>
  <si>
    <t>56000000599/2023</t>
  </si>
  <si>
    <t>56000000605/2023</t>
  </si>
  <si>
    <t>Implantação do Sistema de Esgotamento Sanitário no município de Barrocas</t>
  </si>
  <si>
    <t>Implantação do Sistema de Esgotamento Sanitário no município de Brejolândia</t>
  </si>
  <si>
    <t>Implantação de Sistema de Esgotamento Sanitário no município de Cícero Dantas</t>
  </si>
  <si>
    <t xml:space="preserve">Implantação de Sistema de Esgotamento Sanitário no município de Iaçu </t>
  </si>
  <si>
    <t>Implantação do Sistema de Esgotamento Sanitário de Caldas do Jorro, no município de Tucano</t>
  </si>
  <si>
    <t>SES</t>
  </si>
  <si>
    <t xml:space="preserve">Implantação de Sistema de Esgotamento Sanitário no município de Inhambupe </t>
  </si>
  <si>
    <t xml:space="preserve">Implantação de Sistema de Esgotamento Sanitário no município de Livramento de Nossa Senhora </t>
  </si>
  <si>
    <t>Implantação do Sistema de Esgotamento Sanitário no Município de Nazaré</t>
  </si>
  <si>
    <t>Implantação do Sistema de Esgotamento Sanitário no município de Rio Real</t>
  </si>
  <si>
    <t>Periferia Viva</t>
  </si>
  <si>
    <t>56000000593/2023</t>
  </si>
  <si>
    <t>56000000597/2023</t>
  </si>
  <si>
    <t>56000000594/2023</t>
  </si>
  <si>
    <t>56000000589/2023</t>
  </si>
  <si>
    <t>56000000585/2023</t>
  </si>
  <si>
    <t>014210/2024
(56000006752/2023)</t>
  </si>
  <si>
    <t>Regularização Fundiária nos Conjuntos João Marinho Falcão – Feira III e Feira IV</t>
  </si>
  <si>
    <t>56000005692/2023</t>
  </si>
  <si>
    <t>Construção e implantação de Centro Comunitário pela Vida – CONVIVE, no município de Juazeiro, Estado da Bahia.</t>
  </si>
  <si>
    <t xml:space="preserve"> 026498/2024
(30000000080/2024)</t>
  </si>
  <si>
    <t>Transporte Escolar</t>
  </si>
  <si>
    <t>Implantação do Sistema de Esgotamento Sanitário no município de Cândido Sales</t>
  </si>
  <si>
    <t>Implantação do Sistema de Esgotamento Sanitário no município de Caculé</t>
  </si>
  <si>
    <t>Implantação do Sistema de Esgotamento Sanitário no município de Serra Dourada</t>
  </si>
  <si>
    <t>Implantação de Sistema de Esgotamento Sanitário no município de Itapicuru</t>
  </si>
  <si>
    <t xml:space="preserve">Implantação do Sistema de Esgotamento Sanitário no município de Jaguarari </t>
  </si>
  <si>
    <t>Implantação de Sistema de Esgotamento Sanitário no município de Cristópolis</t>
  </si>
  <si>
    <t>Implantação do Sistema de Esgotamento Sanitário no município de Andaraí</t>
  </si>
  <si>
    <t>Ampliação do Sistema de Esgotamento Sanitário no município de Salvador (Bacias Coruripe, Ipitanga I, Médio Ipitanga, Médio Jaguaribe e Ribeirão Itapuã)</t>
  </si>
  <si>
    <t>Resíduos Sólidos</t>
  </si>
  <si>
    <t>OBJETO</t>
  </si>
  <si>
    <t>Esportes</t>
  </si>
  <si>
    <t>Regularização Fundiária</t>
  </si>
  <si>
    <t>Projeto Executivo</t>
  </si>
  <si>
    <t>Adutora da Fé – 2ª Etapa</t>
  </si>
  <si>
    <t>APOIADO</t>
  </si>
  <si>
    <t>CONTRAPARTIDA</t>
  </si>
  <si>
    <t>COMPLEMENTAR</t>
  </si>
  <si>
    <t>INVESTIMENTO TOTAL</t>
  </si>
  <si>
    <t>Água Para Todos</t>
  </si>
  <si>
    <t>Cidades Sustentáveis e Resilientes</t>
  </si>
  <si>
    <t>Infraestrutura Social e Inclusiva</t>
  </si>
  <si>
    <t>092/2024</t>
  </si>
  <si>
    <t>027640/2024
56000000609/2023</t>
  </si>
  <si>
    <t>027498/2024
56000006269/2023</t>
  </si>
  <si>
    <t>027051/2024
56000006312/2023</t>
  </si>
  <si>
    <t>027445/2024
56000000606/2023</t>
  </si>
  <si>
    <t>027447/2024
56000006328/2023</t>
  </si>
  <si>
    <t>027437/2024
56000007037/2023</t>
  </si>
  <si>
    <t>027442/2024
56000000601/2023</t>
  </si>
  <si>
    <t>027641/2024
56000000612/2023</t>
  </si>
  <si>
    <t>027642/2024
56000006274/2023</t>
  </si>
  <si>
    <t>027645/2024
56000000588/2023</t>
  </si>
  <si>
    <t>027649/2024
56000002732/2023</t>
  </si>
  <si>
    <t>Elementos técnicos de projetos a serem desenvolvidos ou em  elaboração.</t>
  </si>
  <si>
    <t>56000006759/2023</t>
  </si>
  <si>
    <t>12 - Gov. Estado - SECULT/IPAC</t>
  </si>
  <si>
    <t>FINANCIAMENTO</t>
  </si>
  <si>
    <t>SIAA RURAL</t>
  </si>
  <si>
    <t>SIAA URBANO</t>
  </si>
  <si>
    <t xml:space="preserve">02 - Gov. Federal - INFRA </t>
  </si>
  <si>
    <t>03 - Gov. Federal - DNIT</t>
  </si>
  <si>
    <t>04 - Gov. Federal - PPI</t>
  </si>
  <si>
    <t>05 - Gov. Estado - EMBASA</t>
  </si>
  <si>
    <t>06 - Gov. Estado - CERB</t>
  </si>
  <si>
    <t>07 - Gov. Federal - CODEVASF</t>
  </si>
  <si>
    <t>09 - Gov. Estado - SEDUR</t>
  </si>
  <si>
    <t>TIPO</t>
  </si>
  <si>
    <t>OBRA</t>
  </si>
  <si>
    <t>01 - Gov. Estado - SEINFRA</t>
  </si>
  <si>
    <t>013987/2024</t>
  </si>
  <si>
    <t>013992/2024</t>
  </si>
  <si>
    <t>013989/2024</t>
  </si>
  <si>
    <t>PROJETO</t>
  </si>
  <si>
    <t>Renovação de Frotas</t>
  </si>
  <si>
    <t>Drenagem Urbana</t>
  </si>
  <si>
    <t>Espaços Esportivos</t>
  </si>
  <si>
    <t>Estrada / Rodovia</t>
  </si>
  <si>
    <t>Conclusão da duplicação da BR 101 Divisa BA/SE(km 0) – Entronc. BR-324 (Feira de Santana) – Extensão: 169,2 km
(Lote-3; Lote-4)</t>
  </si>
  <si>
    <t>963515/2024</t>
  </si>
  <si>
    <t>963558/2024</t>
  </si>
  <si>
    <t>963523/2024</t>
  </si>
  <si>
    <t>963498/2024</t>
  </si>
  <si>
    <t>963518/2024</t>
  </si>
  <si>
    <t>963522/2024</t>
  </si>
  <si>
    <t>963561/2024</t>
  </si>
  <si>
    <t xml:space="preserve"> 963474/2024</t>
  </si>
  <si>
    <t>963492/2024</t>
  </si>
  <si>
    <t xml:space="preserve">963560/2024 </t>
  </si>
  <si>
    <t>963526/2024</t>
  </si>
  <si>
    <t>963563/2024</t>
  </si>
  <si>
    <t xml:space="preserve"> 963493/2024</t>
  </si>
  <si>
    <t>963530/2024</t>
  </si>
  <si>
    <t xml:space="preserve">963494/2024 </t>
  </si>
  <si>
    <t xml:space="preserve"> 963473/2024</t>
  </si>
  <si>
    <t>963531/2024</t>
  </si>
  <si>
    <t>963565/2024</t>
  </si>
  <si>
    <t xml:space="preserve">963566/2024 </t>
  </si>
  <si>
    <t xml:space="preserve"> 963477/2024</t>
  </si>
  <si>
    <t xml:space="preserve">963497/2024 </t>
  </si>
  <si>
    <t>963636/2024</t>
  </si>
  <si>
    <t xml:space="preserve">
Sem informação do projeto, pois está sobre a gestão do IPHAN. </t>
  </si>
  <si>
    <t>56000005098/2023
026742/2024</t>
  </si>
  <si>
    <t>56000004908/2023
026743/2024</t>
  </si>
  <si>
    <t>Barragem</t>
  </si>
  <si>
    <t>Cont. empresa p/ elaboração de proj. executivo e execução das obras p/ implementação da tomada d’água no RC500 e do canal CP-500/2 – Perímetro de Irrigação Salitre, p/
integração ao Canal do Sertão Baiano.</t>
  </si>
  <si>
    <r>
      <rPr>
        <b/>
        <sz val="16"/>
        <color theme="1"/>
        <rFont val="Calibri"/>
        <family val="2"/>
      </rPr>
      <t xml:space="preserve">OBRA - </t>
    </r>
    <r>
      <rPr>
        <sz val="16"/>
        <color theme="1"/>
        <rFont val="Calibri"/>
        <family val="2"/>
      </rPr>
      <t>Projeto Padrão</t>
    </r>
  </si>
  <si>
    <t>Aeroporto de Barreiras (INFRA)</t>
  </si>
  <si>
    <t>Conclusão da duplicação da BR 101 Divisa BA/SE(km 0) – Entronc. BR-324 (Feira de Santana) – Extensão: 169,2km
(Lote-1; Lote-2)</t>
  </si>
  <si>
    <t>013329/2024
56000000206/2023</t>
  </si>
  <si>
    <t>019187/2024
560000001510/2023</t>
  </si>
  <si>
    <t>013328/2024
56000000743/2023</t>
  </si>
  <si>
    <t>019188/2024
56000000324/2023</t>
  </si>
  <si>
    <t>003977/2024
	26298001293/2023</t>
  </si>
  <si>
    <t>003978/2024
	26298001294/2023</t>
  </si>
  <si>
    <t>003979/2024
	26298001299/2023</t>
  </si>
  <si>
    <t>003980/2024
	26298001300/2023</t>
  </si>
  <si>
    <t>003981/2024
	26298001301/2023</t>
  </si>
  <si>
    <t>003983/2024
	26298001304/2023</t>
  </si>
  <si>
    <t>24845/2024
	56000001031/2023</t>
  </si>
  <si>
    <t>969063/2024</t>
  </si>
  <si>
    <t>969064/2024</t>
  </si>
  <si>
    <t>024835/2024
	56000000251/2023</t>
  </si>
  <si>
    <t>25094/2024
	56000004587/2023</t>
  </si>
  <si>
    <t>Duplicação da BR-116 - Serrinha - Feira de Santana (Santa Bárbara-Teofilândia)  - Extensão: 53,2 km (lote 05)</t>
  </si>
  <si>
    <r>
      <t xml:space="preserve">56000004798/2023
</t>
    </r>
    <r>
      <rPr>
        <b/>
        <sz val="16"/>
        <rFont val="Calibri"/>
        <family val="2"/>
      </rPr>
      <t>034099/2024</t>
    </r>
  </si>
  <si>
    <t>969597/2024</t>
  </si>
  <si>
    <t>970115/2024</t>
  </si>
  <si>
    <t>Hospital</t>
  </si>
  <si>
    <t>969146/2024</t>
  </si>
  <si>
    <t>24845/2024
56000001031/2023</t>
  </si>
  <si>
    <t>03 - ANDAMENTO</t>
  </si>
  <si>
    <t>962227</t>
  </si>
  <si>
    <t>INFORMAÇÕES DA OBRA:
Executor: DNIT
Investimento: Estimativa R$ 95Mi 
(R$ 60 Mi Rodovias e R$ 35 Mi Obras de arte).
Prazo de execução: 09 meses
Estudo de solo mole apresentado ao DNIT (10/09), já aprovado pelo Departamento. Projeto elaborado pela SEINFRA/SIT, protocolado em 22/04/24 no DNIT/BA.
Estado propõe que a licitação pelo DNIT-BA seja por contratação semi-integrada. Confirmado pela CC/PR aporte de recursos no valor de R$ 95 Mi para a execução da obra.</t>
  </si>
  <si>
    <t>Aguardando definição de processo.
Solicitação de nova ASV e AMF, aguardando vistoria do INEMA (Processo 2024.001.010778/INEMA/LIC-10778). Possui LI.
Lote 05 (53,18 km): Autorizado início dos serviços, em visita realizada pelo Presidente da República em 01/07/24, visando execução dos serviços remanescentes. Pendente assinatuta do contrato (2ª colocada), ajustes finais com o Consórcio em tratativas pelo DNIT Federal. Mobilização prevista para JUL/24 não ocorreu, em virtude de ajustes necessários para assinatura do contrato. 
Necessário revisão do projeto executivo, de modo atender ao Acórdão do TCU.</t>
  </si>
  <si>
    <t>Definido em reunião com a SEPPI e a Casa Civil/Bahia que as obras deverão ser iniciadas pelo trecho sentido Barreiras para Luiz Eduardo. Será realizada nova reunião com o DNIT para conclusão dos alinhamentos.</t>
  </si>
  <si>
    <t>968765/2024</t>
  </si>
  <si>
    <t>963991</t>
  </si>
  <si>
    <t>962230</t>
  </si>
  <si>
    <t>962223</t>
  </si>
  <si>
    <t>Lote 06 (40,0 km): Feira/Sta. Bárbara - Previsão de conclusão (com redução do escopo) em MAIO/2024. De acordo DNIT houve redução de 10% do escopo da obra e encerramento do contrato por desinteresse da contratada, devido interferências e alargamento de prazo. Deverão ser licitados futuramente os serviços remanescentes que incluem iluminação e vias marginais. Obra do trecho de 100m concluída.</t>
  </si>
  <si>
    <t xml:space="preserve">08/11/24 (DOU) - Aviso de adiamento - abertura das propostas 06/01/25.
24/10/24 (DOU) - Aviso de alteração no edital - abertura das propostas 18/12/24, devido questionamentos das empresas participantes e alteração de orçamento.
05/09/24 (DOU) - Aviso de retificação - reabertura das propostas 24/10/24.
Lote 01 (unificado), correspondente aos Lotes 01 (41,6 km) e 02 (41,98 km) do objeto anterior: Publicada licitação para execução das obras do remanescente dos Lotes 01 e 02 (Concorrência nº 90201/2024 - DOU 03/07/24. Abertura 07/08/24). O empreendimento envolve restauração da pista existente, construção de pontes e viadutos, além da implantação da pista nova da duplicação.
 Necessário solicitar delegação de competência para licitar pela Bahia.
Pendente também licitar a contratação de empresa para supervisão das obras, devido não estar definido se contratação incluiria também o lotes 03 e 04 remanescentes (DNIT a confirmar). </t>
  </si>
  <si>
    <t>De acordo reunião virtual em 26/04/24, com SEPPI/CC/PR já houve assinatura do contrato de gerenciamento e confirmado prazo de relicitação para NOV/24.
Pendente também licitar a contratação de empresa para supervisão das obras, devido não estar definido se contratação incluiria também o lotes 03 e 04 remanescentes (DNIT a confirmar).
Realizado mutirão para tratar questões de desapropriações, já ajuízadas, para tentar solucionar os trechos de áreas urbanas da BR 101, onde foram pagos cerca de R$ 2 Mi em indenizações. Em avaliação se ainda permanece algum impeditivo para execução das obras.</t>
  </si>
  <si>
    <t>Ampliação do Sistema Integrado de Abastecimento de Água do município de Jequié 1ª Etapa</t>
  </si>
  <si>
    <t>Contorno Norte em Ilhéus  (BR-415 x BA-262) - Extensão: 7,63 km</t>
  </si>
  <si>
    <t>Construção de Unidade de Atenção Especializada em Saúde (Hospital)</t>
  </si>
  <si>
    <t>035975/2024</t>
  </si>
  <si>
    <t>035961/2024</t>
  </si>
  <si>
    <t>-</t>
  </si>
  <si>
    <t>Ampliação do Sistema Integrado de Abastecimento de Água no município de Uauá - 1ª Etapa  - passou a ser 2ª Etapa (verificar observações)</t>
  </si>
  <si>
    <t>Obra inaugurada em 07/02/25 pelo Presidente Lula.</t>
  </si>
  <si>
    <t>Monitorar a execução da obra - Conclusão prevista: Jul/2026;</t>
  </si>
  <si>
    <t>Ordem de Serviço dada pelo Presidente Lula em 07/02/25.</t>
  </si>
  <si>
    <t>Regime de Execução: Contratação Semi-Integrada;
Extrato de contrato publicado no DOU de 21/01/25
- Empresa: Consórcio Construtor Sertão Baiano - CCSB, formado pelas empresas ÁLYA Construroa SA e Ankara Engenharia Ltda.
- Valor: R$ 118.800.000,00;
- Prazo de execução: 780 dias.</t>
  </si>
  <si>
    <t>SPA emitido em 19/02/2025.
Valor apoiado pelo Ministério da Saúde,  - Resultado da Seleção, conforme Painel InvestSus: R$ 153.000.000,00.</t>
  </si>
  <si>
    <t>DESCRIÇÃO</t>
  </si>
  <si>
    <t>Acompanhamento das obras (Codevasf)</t>
  </si>
  <si>
    <t>MCMV</t>
  </si>
  <si>
    <t>Infra Sist. Transporte</t>
  </si>
  <si>
    <t>01 - SIM</t>
  </si>
  <si>
    <t>02 - NÃO</t>
  </si>
  <si>
    <t>ENQUADRAMENTO SELEÇÃO 2025</t>
  </si>
  <si>
    <t>MUNICÍPIO ELEGÍVEL</t>
  </si>
  <si>
    <t>Implantação do Sistema de Esgotamento Sanitário de Brumado e Vila Presidente Vargas</t>
  </si>
  <si>
    <t>Implantação do Sistema de Esgotamento Sanitário de Santana</t>
  </si>
  <si>
    <t>Ampliação do Sistema Integrado de Abastecimento de Água de Amargosa</t>
  </si>
  <si>
    <t>Implantação do Sistema de Esgotamento Sanitário de Alcobaça</t>
  </si>
  <si>
    <t>Implantação do Sistema de Esgotamento Sanitário de Itaquara</t>
  </si>
  <si>
    <t>Implantação do Sistema de Esgotamento Sanitário de Planalto</t>
  </si>
  <si>
    <t>Implantação do Sistema de Esgotamento Sanitário de Entre Rios</t>
  </si>
  <si>
    <t>Anteprojeto</t>
  </si>
  <si>
    <t>Regularização Fundiária - Núcleo Urbano Informal de Vila Serrana - 1.600 famílias</t>
  </si>
  <si>
    <t>Regularização Fundiária - Macroárea Favela Águas Claras - 3.333 famílias</t>
  </si>
  <si>
    <t>Regularização Fundiária - Núcleo Urbano Informal Bairro João Paulo II - 2.032 famílias</t>
  </si>
  <si>
    <t>Promover a regularização - Núcleo Informal Bairro Pedro Jerônimo - 3.120 famílias</t>
  </si>
  <si>
    <t>970645/2024</t>
  </si>
  <si>
    <t>ANO DE CADASTRO</t>
  </si>
  <si>
    <t>STATUS ANTERIOR</t>
  </si>
  <si>
    <t>02 - NÃO HABILITADA SELEÇÃO 2024</t>
  </si>
  <si>
    <t>01 - HABILITADA SELEÇÃO 2024</t>
  </si>
  <si>
    <t>08 - Gov. Estado - SEADES</t>
  </si>
  <si>
    <t>Bairro Centro/Av. Monsenhor Turubio Vila Nova</t>
  </si>
  <si>
    <t xml:space="preserve">Praia Porto De Cima- Morro De São Paulo </t>
  </si>
  <si>
    <t xml:space="preserve"> Segunda Praia - Etapa 2 - Morro De São Paulo </t>
  </si>
  <si>
    <t xml:space="preserve"> Rua Atalaia, Piaçaveira</t>
  </si>
  <si>
    <t xml:space="preserve"> Rua Murici (Rua Da Areia) E Av. Radial A, Bairro Alto Do Triangulo</t>
  </si>
  <si>
    <t xml:space="preserve"> Rua Ondina - Rua  Casinha Dos Verdes Horizontes </t>
  </si>
  <si>
    <t xml:space="preserve"> Rua Floriano Peixoto - Bairro Centro</t>
  </si>
  <si>
    <t xml:space="preserve"> Travessa Rua Do Paraíso - Centro </t>
  </si>
  <si>
    <t xml:space="preserve"> Estrada Velha Do Cosme Velho - Nova Brasilia </t>
  </si>
  <si>
    <t xml:space="preserve"> Getulio Vargas /  Malembá</t>
  </si>
  <si>
    <t>Rua Bela Vista / Malembá</t>
  </si>
  <si>
    <t>Travessa Boa Vista – Malembá</t>
  </si>
  <si>
    <t xml:space="preserve"> Praça Da Liberdade</t>
  </si>
  <si>
    <t>Rua Sandro Marcio, Bairro Vianão</t>
  </si>
  <si>
    <t xml:space="preserve"> Bairro Bela Vista, Ruas A E D</t>
  </si>
  <si>
    <t>Av Vereador José Fernandes - Alto São João</t>
  </si>
  <si>
    <t>Ladeira Rio Almada, Tapera, Alto Da Capela - Bairro Malhada</t>
  </si>
  <si>
    <t xml:space="preserve"> Rua Da Fazendinha - Alto Do Carvalho</t>
  </si>
  <si>
    <t xml:space="preserve">Rua Mateus Vagner </t>
  </si>
  <si>
    <t xml:space="preserve"> Rua 16 De Dezembro - Bairro Centro </t>
  </si>
  <si>
    <t xml:space="preserve"> Rua Do Cascalho - Rua Do Tanque</t>
  </si>
  <si>
    <t xml:space="preserve"> Rua Do Tanque</t>
  </si>
  <si>
    <t xml:space="preserve"> Avenida Parque Rio Colonia, Loteamento Sinval Palmeira</t>
  </si>
  <si>
    <t xml:space="preserve"> Loteamento Sinval Palmeira </t>
  </si>
  <si>
    <t xml:space="preserve"> Bairro Jacaré</t>
  </si>
  <si>
    <t xml:space="preserve">Bairro Jambeiro </t>
  </si>
  <si>
    <t xml:space="preserve"> Bairro Serrinha </t>
  </si>
  <si>
    <t xml:space="preserve"> Riacho Do Judeu, Areia Branca - Bairro Leader </t>
  </si>
  <si>
    <t xml:space="preserve"> Br 420, Trecho I </t>
  </si>
  <si>
    <t xml:space="preserve"> Br 420, Trecho Iii </t>
  </si>
  <si>
    <t xml:space="preserve"> Rua 1° De Maio</t>
  </si>
  <si>
    <t xml:space="preserve"> Rua Hermelindo Fernandes </t>
  </si>
  <si>
    <t xml:space="preserve">Rua Luiz Gonzaga </t>
  </si>
  <si>
    <t xml:space="preserve"> Rua Santa Luzia </t>
  </si>
  <si>
    <t xml:space="preserve">Rua São Luis, Bairro Caramuru </t>
  </si>
  <si>
    <t>Rua Da Maçonaria</t>
  </si>
  <si>
    <t xml:space="preserve"> Rua Do Calabar </t>
  </si>
  <si>
    <t xml:space="preserve"> Rua Do Posto De Saúde, Av. Progresso -  Jambeiro </t>
  </si>
  <si>
    <t xml:space="preserve">Rua Edson Gomes - Vida Nova </t>
  </si>
  <si>
    <t xml:space="preserve"> Terreiro Kawibi Jusara- Rua São João De Cima, Itinga</t>
  </si>
  <si>
    <t>STATUS ANTERIOR
SELEÇÃO 2023</t>
  </si>
  <si>
    <t xml:space="preserve">Beco Da Baiuca - Escola Estadual </t>
  </si>
  <si>
    <t>Bairro Planalto I - Etapa 2</t>
  </si>
  <si>
    <t>Bairro Planalto I - Etapa 3</t>
  </si>
  <si>
    <t xml:space="preserve"> Bairro Planalto I - Etapa 4</t>
  </si>
  <si>
    <t xml:space="preserve"> Praça Luis Eduardo Magalhães - Rua Dr. José Alves Martins, Acesso Ba-424</t>
  </si>
  <si>
    <t>Rua Da Estrela, Distrito De Indaí</t>
  </si>
  <si>
    <t xml:space="preserve"> Rua Do Fundo Do Hospital, Nova Esperança</t>
  </si>
  <si>
    <t xml:space="preserve"> Rua Rui Barbosa/ Cel. Tamarindo, Centro </t>
  </si>
  <si>
    <t xml:space="preserve"> Rua Hornório Ribeiro Costa </t>
  </si>
  <si>
    <t>Rua Conceição</t>
  </si>
  <si>
    <t>Rua Luís Gualberto</t>
  </si>
  <si>
    <t xml:space="preserve"> Rua Manuel Euráguido</t>
  </si>
  <si>
    <t xml:space="preserve"> Rua Mercantil</t>
  </si>
  <si>
    <t xml:space="preserve"> Rua Valério Dos Santos/Alto Do Cruzeiro</t>
  </si>
  <si>
    <t xml:space="preserve"> Rua Rio De Janeiro / Centro</t>
  </si>
  <si>
    <t xml:space="preserve">Avenida Pedro Alves </t>
  </si>
  <si>
    <t xml:space="preserve">Rua Joaquim Lima </t>
  </si>
  <si>
    <t xml:space="preserve"> Rua Bela Vista - Cantagalo (Distrito De Cumuruxatiba) </t>
  </si>
  <si>
    <t xml:space="preserve"> Rua Do Corte De Pedra </t>
  </si>
  <si>
    <t>Centro, Rua Arlindo Fontes</t>
  </si>
  <si>
    <t xml:space="preserve"> Bairro Macambira </t>
  </si>
  <si>
    <t>Bairro Novo Santo Amaro</t>
  </si>
  <si>
    <t xml:space="preserve">Candolândia </t>
  </si>
  <si>
    <t xml:space="preserve"> Rua Alto Do São Francisco </t>
  </si>
  <si>
    <t xml:space="preserve"> Bairro Fontinha</t>
  </si>
  <si>
    <t xml:space="preserve"> Bairro Travessa São Paulo </t>
  </si>
  <si>
    <t>Bairro De Pituaçu</t>
  </si>
  <si>
    <t>Cajueiro</t>
  </si>
  <si>
    <t>Rua Da Monarca</t>
  </si>
  <si>
    <t xml:space="preserve"> Rua Da Linha Da Areião</t>
  </si>
  <si>
    <t>Bairro Da Glória - Rua Antônio Gomes Filho</t>
  </si>
  <si>
    <t xml:space="preserve"> Rua 29 (Conjunto Penitenciário De Valença) </t>
  </si>
  <si>
    <t xml:space="preserve">Rua Da Matriz </t>
  </si>
  <si>
    <t xml:space="preserve"> Rua Rio Verruga, Alto Da Boa Vista </t>
  </si>
  <si>
    <t xml:space="preserve"> Rua Da Escola </t>
  </si>
  <si>
    <t xml:space="preserve">Rua Santa Luzia I </t>
  </si>
  <si>
    <t>Rua Santa Luzia II</t>
  </si>
  <si>
    <t xml:space="preserve">PDE 09 Rua Caramuru - Valéria </t>
  </si>
  <si>
    <t xml:space="preserve">PDE 10 Rua Benedito Jenkis II - Cajazeiras </t>
  </si>
  <si>
    <t>PDE 119.4 - Vila Correia Campinas de Pirajá</t>
  </si>
  <si>
    <t xml:space="preserve"> PDE 126 Complementar - Estacio de Sá - Campinas de Pirajá </t>
  </si>
  <si>
    <t xml:space="preserve"> PDE 126.1 - Rua Direta da Boa Paz - Campinas de Pirajá</t>
  </si>
  <si>
    <t xml:space="preserve">PDE 130 Complementar - Luan Braga - Campinas de Pirajá </t>
  </si>
  <si>
    <t xml:space="preserve"> PDE 131 Complementar - Rua do Mingau - Bairro Campinas de Pirajá </t>
  </si>
  <si>
    <t>PDE 144 - Rua Jaguarari - Cosme de Farias</t>
  </si>
  <si>
    <t xml:space="preserve">PDE 171 - Rua Caio Pedreira, Bairro Santa Cruz </t>
  </si>
  <si>
    <t>PDE 172 -  Rua Esperança - Rio Vermelho</t>
  </si>
  <si>
    <t xml:space="preserve">PDE 178 - Morro da Paciência - Rio Vermelho </t>
  </si>
  <si>
    <t xml:space="preserve">PDE 180 -  V.da Gama/R.Verm. - Eng. V. Da Federação </t>
  </si>
  <si>
    <t xml:space="preserve">PDE 199 Complementar - Rua Santo Inácio </t>
  </si>
  <si>
    <t xml:space="preserve">PDE 203 - Rua Moisés Mendes - Sussuarana </t>
  </si>
  <si>
    <t xml:space="preserve">PDE 213 - Rua Silvestre de Faria Federação </t>
  </si>
  <si>
    <t>PDE 214 -  Vereda do Bosque - Eng. V. Federação</t>
  </si>
  <si>
    <t>PDE 218 -  Parque São Brás - Federação</t>
  </si>
  <si>
    <t xml:space="preserve">PDE 253. 1 - Rua São Lourenço - Liberdade </t>
  </si>
  <si>
    <t xml:space="preserve">PDE 254 -  Ladeira do Zoológico - Ondina </t>
  </si>
  <si>
    <t xml:space="preserve">PDE 266 - Rua Costa e Silva - Paripe </t>
  </si>
  <si>
    <t xml:space="preserve">PDE 281 -  2ª Tv. Alto da Terezinha - Periperi </t>
  </si>
  <si>
    <t>PDE 296 - Rua Dois de Julho - Coutos</t>
  </si>
  <si>
    <t xml:space="preserve">PDE 302 - Rua do Congo - Coutos </t>
  </si>
  <si>
    <t xml:space="preserve">PDE 313 - Rua Hamilton Sapucaia - Centro </t>
  </si>
  <si>
    <t>PDE  350 - Travessa Bastos - Beiru</t>
  </si>
  <si>
    <t xml:space="preserve">PDE 37 -   Rua Baixa do Tubo - Itapuã </t>
  </si>
  <si>
    <t>PDE 371.2 - Rua das Pedreiras - Castelo Branco</t>
  </si>
  <si>
    <t>PDE 371.3 - Rua das Pedreiras - Castelo Branco</t>
  </si>
  <si>
    <t>PDE  403 - Rua 20 de Agosto (4 trechos) São Caetano</t>
  </si>
  <si>
    <t>PDE 41 - Tv. Bela Vista da Paz - Bairro da Paz</t>
  </si>
  <si>
    <t xml:space="preserve">PDE 416 - Baixa do Camurujipe - Campinas de Pirajá </t>
  </si>
  <si>
    <t xml:space="preserve">PDE 420 -  Rua Baixa do Silva - Cosme de Farias </t>
  </si>
  <si>
    <t>PDE 422 -  Av. Acm - Sussuarana</t>
  </si>
  <si>
    <t xml:space="preserve">PDE 435 - Rua do Tanque 1 - Bom Jesus dos Passos </t>
  </si>
  <si>
    <t>PDE 54 Complementar - Rua San Martin - Pau da Lima</t>
  </si>
  <si>
    <t xml:space="preserve">PDE  56 -  Rua 13 de Maio - Pau da Lima </t>
  </si>
  <si>
    <t xml:space="preserve">PDE 70 -   Rua Sandra Machado - Canabrava </t>
  </si>
  <si>
    <t>PDE 77 -  Rua da Esperança - Plataforma</t>
  </si>
  <si>
    <t>PDE 87 - 2ª Travessa Pedro Fonseca - Itacaranha</t>
  </si>
  <si>
    <t xml:space="preserve"> Clementino Santos - Trecho II </t>
  </si>
  <si>
    <t xml:space="preserve">Estudo Preliminar </t>
  </si>
  <si>
    <t xml:space="preserve">Projeto Básico </t>
  </si>
  <si>
    <t>Estudo de Concepção</t>
  </si>
  <si>
    <t>56000000696/2025</t>
  </si>
  <si>
    <t>56000000709/2025</t>
  </si>
  <si>
    <t>56000000717/2025</t>
  </si>
  <si>
    <t>56000000724/2025</t>
  </si>
  <si>
    <t>56000000855/2025</t>
  </si>
  <si>
    <t>56000000863/2025</t>
  </si>
  <si>
    <t>56000000871/2025</t>
  </si>
  <si>
    <t>56000000896/2025</t>
  </si>
  <si>
    <t>56000000897/2025</t>
  </si>
  <si>
    <t>URBANIZAÇÃO INTEGRADA E HUMANIZADA NO TERRITÓRIO PERIFÉRICO DO VALE DO SABOEIRO NO MUNICÍPIO DE SALVADOR (BA). (2.800 famílias)</t>
  </si>
  <si>
    <t>URBANIZAÇÃO INTEGRADA E HUMANIZADA NO TERRITÓRIO PERIFÉRICO DO CAJUEIRO NO MUNICÍPIO DE LAURO DE FREITAS (BA). (100 famílias)</t>
  </si>
  <si>
    <t xml:space="preserve"> PDE 018 - Travessa Bonsucesso - Cajazeiras </t>
  </si>
  <si>
    <t>PDE 026 -  Rua 15 de Novembro - Pirajá</t>
  </si>
  <si>
    <t xml:space="preserve">PDE 066 -  Tv. São J. Batista - Jd. N. Esperança </t>
  </si>
  <si>
    <t>PDE 069 -  Travessa Brasil - Paralela</t>
  </si>
  <si>
    <t>Ampliação do Sistema de Esgotamento Sanitário de Salvador - ECP Jaguaribe, incluindo a otimização do sistema de transporte principal do sistema</t>
  </si>
  <si>
    <t>56000000563/2025</t>
  </si>
  <si>
    <t>56000000579/2025</t>
  </si>
  <si>
    <t>56000000584/2025</t>
  </si>
  <si>
    <t>56000000591/2025</t>
  </si>
  <si>
    <t>56000000597/2025</t>
  </si>
  <si>
    <t>56000000601/2025</t>
  </si>
  <si>
    <t>56000000603/2025</t>
  </si>
  <si>
    <t>56000000604/2025</t>
  </si>
  <si>
    <t>56000000622/2025</t>
  </si>
  <si>
    <t>56000000656/2025</t>
  </si>
  <si>
    <t>56000000669/2025</t>
  </si>
  <si>
    <t>56000000680/2025</t>
  </si>
  <si>
    <t>56000000698/2025</t>
  </si>
  <si>
    <t xml:space="preserve"> Bairro Salva Vidas / Rua Da Linha</t>
  </si>
  <si>
    <t>Implantação de Sistema de Esgotamento Sanitário em Entrocamento de Jaguaquara</t>
  </si>
  <si>
    <t>Ampliação da Estação de Tratamento de Água Principal do SIAA de Salvador.</t>
  </si>
  <si>
    <t>Ampliação da Adutora de Água Tratada Principal (AAT) - 3ª Etapa</t>
  </si>
  <si>
    <t>Ampliação da vazão disponibilizada ao Sistema Integrado de Salvador, através de ampliação da adução realizada na Captação Jacumirim - Joanes II</t>
  </si>
  <si>
    <t>Ampliação e Execução da Estação de Tratamento de Lodo - ETL no Parque Bolandeira</t>
  </si>
  <si>
    <t>Ampliação do Sistema Integrado de Abastecimento de Água (SIAA) de Formosa do Rio Preto.</t>
  </si>
  <si>
    <t>56000000657/2025</t>
  </si>
  <si>
    <t>56000000679/2025</t>
  </si>
  <si>
    <t>56000000689/2025</t>
  </si>
  <si>
    <t>56000000706/2025</t>
  </si>
  <si>
    <t>56000000712/2025</t>
  </si>
  <si>
    <t>56000000731/2025</t>
  </si>
  <si>
    <t>56000000732/2025</t>
  </si>
  <si>
    <t>56000000750/2025</t>
  </si>
  <si>
    <t>56000000776/2025</t>
  </si>
  <si>
    <t>56000000785/2025</t>
  </si>
  <si>
    <t>56000000797/2025</t>
  </si>
  <si>
    <t>MACRODRENAGEM CANAL TIMBALADA CABULA</t>
  </si>
  <si>
    <t>Urbanização do Quilombo Rio dos Macacos em Simões Filho/BA.</t>
  </si>
  <si>
    <t>56000001222/2025</t>
  </si>
  <si>
    <t>56000001278/2025</t>
  </si>
  <si>
    <t>Conder - Diurb</t>
  </si>
  <si>
    <t>Implantação do SES de Ilha de Maré.</t>
  </si>
  <si>
    <t>Implantação do Sistema de Esgotamento Sanitário de Araci.</t>
  </si>
  <si>
    <t>Ampliação do Sistema de Esgotamento Sanitário de Lençóis</t>
  </si>
  <si>
    <t>Implantação do Sistema de Esgotamento Sanitário de Ibirataia.</t>
  </si>
  <si>
    <t>Ampliação do Sistema de Esgotamento Sanitário de Ilhéus (Subsistemas Centro-Norte, Salobrinho e Vila Cachoeira)</t>
  </si>
  <si>
    <t>56000000911/2025</t>
  </si>
  <si>
    <t>56000000955/2025</t>
  </si>
  <si>
    <t>56000001084/2025</t>
  </si>
  <si>
    <t>56000001122/2025</t>
  </si>
  <si>
    <t>56000001195/2025</t>
  </si>
  <si>
    <t>56000001219/2025</t>
  </si>
  <si>
    <t>56000001234/2025</t>
  </si>
  <si>
    <t>56000001252/2025</t>
  </si>
  <si>
    <t>56000001275/2025</t>
  </si>
  <si>
    <t>Implantação do Sistema de Esgotamento Sanitário da Sede de Ituberá</t>
  </si>
  <si>
    <t xml:space="preserve">A implantação do Sistema de Esgotamento Sanitário de Floresta Azul </t>
  </si>
  <si>
    <t>Ampliação da Estação de Tratamento de Esgoto de Guanambi.</t>
  </si>
  <si>
    <t>Ampliação do Sistema de Esgotamento Sanitário de Jacobina</t>
  </si>
  <si>
    <t>Implantação do Sistema de Esgotamento Sanitário da Sede de Salinas da Margarida</t>
  </si>
  <si>
    <t>56000001522/2025</t>
  </si>
  <si>
    <t>56000001330/2025</t>
  </si>
  <si>
    <t>56000001347/2025</t>
  </si>
  <si>
    <t>56000001360/2025</t>
  </si>
  <si>
    <t>56000001393/2025</t>
  </si>
  <si>
    <t>56000001411/2025</t>
  </si>
  <si>
    <t>56000001433/2025</t>
  </si>
  <si>
    <t>56000001669/2025</t>
  </si>
  <si>
    <t>005341/2024
 42000000335/2023</t>
  </si>
  <si>
    <t>005336/2024
42000000267/2023</t>
  </si>
  <si>
    <t>005325/2024
 42000000020/2023</t>
  </si>
  <si>
    <t>005337/2024
42000000270/2023</t>
  </si>
  <si>
    <t>005326/2024
 42000000021/2023</t>
  </si>
  <si>
    <t>005327/2024
42000000025/2023</t>
  </si>
  <si>
    <t>005343/2024
 42000000343/2023</t>
  </si>
  <si>
    <t>005329/2024
42000000028/2023</t>
  </si>
  <si>
    <t>005331/2024
42000000037/2023</t>
  </si>
  <si>
    <t xml:space="preserve">005342/2024
42000000342/2023
</t>
  </si>
  <si>
    <t>005338/2024
42000000290/2023</t>
  </si>
  <si>
    <t>005344/2024
 42000000344/2023</t>
  </si>
  <si>
    <t>005332/2024
42000000044/2023</t>
  </si>
  <si>
    <t>005339/2024
42000000329/2023</t>
  </si>
  <si>
    <t>005333/2024
 42000000208/2023</t>
  </si>
  <si>
    <t>005328/2024
 42000000027/2023</t>
  </si>
  <si>
    <t>005340/2024
42000000333/2023</t>
  </si>
  <si>
    <t>005345/2024
42000000346/2023</t>
  </si>
  <si>
    <t>005346/2024
 42000000366/2023</t>
  </si>
  <si>
    <t>005330/2024
42000000032/2023</t>
  </si>
  <si>
    <t>005335/2024
42000000251/2023</t>
  </si>
  <si>
    <t>005347/2024
42000000396/2023</t>
  </si>
  <si>
    <t>56000001861/2025</t>
  </si>
  <si>
    <t>56000001936/2025</t>
  </si>
  <si>
    <t xml:space="preserve"> MACRODRENAGEM SEDE E DISTRITO DE IPIAPORÃ </t>
  </si>
  <si>
    <t>Canal projetado em concreto com 3,50m de altura e 5,00m de largura, partindo da lagoa transpassando a Rua Beira Rio e Rua Beira Rio I, até o lançamento no Rio São Francisco. Construção de uma lagoa artificial que funcionará como Bacia de Detenção.</t>
  </si>
  <si>
    <t>MACRODRENAGEM ENTORNO DO MERCADO MUNICIPAL E RUA LEOCÁDIO SANTANA – PAU BRASIL</t>
  </si>
  <si>
    <t xml:space="preserve">MACRODRENAGEM DO CANAL VIEIRA PASSOS E NOVA CONSTITUINTE </t>
  </si>
  <si>
    <t>56000002449/2025</t>
  </si>
  <si>
    <t>56000002455/2025</t>
  </si>
  <si>
    <t>56000002463/2025</t>
  </si>
  <si>
    <t>56000002467/2025</t>
  </si>
  <si>
    <t>56000002470/2025</t>
  </si>
  <si>
    <t>56000002473/2025</t>
  </si>
  <si>
    <t>Implantação de Sistema Convencional de Abastecimento de Água em localidade pertencente ao município de Carinhanha</t>
  </si>
  <si>
    <t>56000002477/2025</t>
  </si>
  <si>
    <t>56000002479/2025</t>
  </si>
  <si>
    <t>Implantação de Sistema Convencional de Abastecimento de Água em localidade pertencente ao município de Anagé</t>
  </si>
  <si>
    <t>Implantação de Sistema Convencional Integrado de Abastecimento de Água em localidades pertencentes ao município de Maetinga</t>
  </si>
  <si>
    <t>Implantação de Sistema Convencional Integrado de Abastecimento de Água em localidades pertencentes ao município de Bom Jesus da Lapa</t>
  </si>
  <si>
    <t>Implantação de Sistema Integrado de Abastecimento de Água (SIAA) no município de Pindobaçu</t>
  </si>
  <si>
    <t>Implantação de via</t>
  </si>
  <si>
    <t>Implantação de Teleféricos</t>
  </si>
  <si>
    <t>CLÁUSULA SUSPENSIVA</t>
  </si>
  <si>
    <t>CAIXA analisar a proposta</t>
  </si>
  <si>
    <t>Implantação de Sistema Convencional de Abastecimento de Água em localidade pertencente ao município de Camamu</t>
  </si>
  <si>
    <t>56000002492/2025</t>
  </si>
  <si>
    <t>Implantação de Sistema Integrado Convencional de Abastecimento de Água em localidades pertencentes ao município de Feira da Mata</t>
  </si>
  <si>
    <t>56000002496/2025</t>
  </si>
  <si>
    <t>Implantação de Sistema de Abastecimento de Água (SIAA) das localidades pertencentes ao município de Sebastião Laranjeiras</t>
  </si>
  <si>
    <t>56000002500/2025</t>
  </si>
  <si>
    <t>Implantação de Sistema de Abastecimento de Água (SIAA) das localidades pertencentes ao município de Maraú</t>
  </si>
  <si>
    <t>56000002502/2025</t>
  </si>
  <si>
    <t>Implantação de Sistema de Abastecimento de Água (SIAA) das localidades pertencentes ao município de Tremedal</t>
  </si>
  <si>
    <t>56000002503/2025</t>
  </si>
  <si>
    <t>Implantação de Sistema de Abastecimento de Água (SIAA) das localidades pertencentes ao município de Monte Santo</t>
  </si>
  <si>
    <t>56000002505/2025</t>
  </si>
  <si>
    <t>56000002452/2025</t>
  </si>
  <si>
    <t>Memorial Descritivo</t>
  </si>
  <si>
    <t>01 - Retirada Total</t>
  </si>
  <si>
    <t>02 - Retirada Parcial</t>
  </si>
  <si>
    <t>VIGÊNCIA</t>
  </si>
  <si>
    <t>MOTIVO DA CLÁUSULA SUSPENSIVA</t>
  </si>
  <si>
    <t xml:space="preserve">56000004011/2023
026744/2024
</t>
  </si>
  <si>
    <t>56000004322/2023
008654/2024</t>
  </si>
  <si>
    <t>03 - Sim</t>
  </si>
  <si>
    <t>04 - Não</t>
  </si>
  <si>
    <t>Termo de Referencia</t>
  </si>
  <si>
    <t>56000005536/2023</t>
  </si>
  <si>
    <t>56000000361/2025</t>
  </si>
  <si>
    <t>56000000359/2025</t>
  </si>
  <si>
    <t>56000002512/2025</t>
  </si>
  <si>
    <t>56000002513/2025</t>
  </si>
  <si>
    <t>Elaboração de Projeto Básico, Projeto Executivo de Engenharia e Execução de Obras de intervenções para requalificação viária na Via Regional e na Avenida Maria Lúcia</t>
  </si>
  <si>
    <t>Implantação de uma nova ligação viária (Avenida), com faixas exclusivas de ônibus e ciclovias, interligando a Avenida Orlando Gomes à Avenida Luís Viana Filho (Paralela), percorrendo pelos bairros de Itapuã, Piatã, Alto do Coqueirinho e Bairro da Paz</t>
  </si>
  <si>
    <t>EXECUÇÃO DA OBRA DE MACRODRENAGEM DE CANAL PARA O RIO GONGOJI, NO
MUNICÍPIO DE DÁRIO MEIRA - BAHIA</t>
  </si>
  <si>
    <t>Elaboração de Projeto Básico, Projeto Executivo de Engenharia e Execução de Obras de intervenções para requalificação viária na Avenida Jorge Amado com implantação de nova ligação à Orla.</t>
  </si>
  <si>
    <t>MACRODRENAGEM CAM 15 – RUA DA HARMONIA PERNAMBUÉS, SALVADOR/BA</t>
  </si>
  <si>
    <t xml:space="preserve">
56000000206/2023</t>
  </si>
  <si>
    <t xml:space="preserve">
56000000743/2023</t>
  </si>
  <si>
    <t>019188/2024
56000001510/2023</t>
  </si>
  <si>
    <t xml:space="preserve">966002/2024
</t>
  </si>
  <si>
    <t>56000002533/2025</t>
  </si>
  <si>
    <t>973966/2024</t>
  </si>
  <si>
    <t>973931/2024</t>
  </si>
  <si>
    <t>20/02/2025 - Projeto em execução, realizado levantamento topográfico. 
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 a SIT propôs nova reunião com o DNIT para tratar da questão)</t>
  </si>
  <si>
    <t>Complementalção enviada - em análise</t>
  </si>
  <si>
    <t>Acompanhar execução das obras.
- Definir licitação para contratação de empresa para a supervisão das obras.</t>
  </si>
  <si>
    <t>Notícia O.S em: https://www.ba.gov.br/comunicacao/noticias/2025-05/368878/em-evento-com-jeronimo-rodrigues-ministro-renan-filho-autoriza-inicio-das
Orçamento e valor apoiado R$ 211,30 MI
Conforme DNIT está em fase de habilitação das propostas. 18/09/24 (DOU) - Nova publicação aviso de reabertura das propostas 25/10/24.
12/09/24 - Suspensão da licitação para revisão de orçamento pelo DNIT.
Publicado novo Aviso de Licitação e Edital em 05/08/24 (CE nº 90277/2024), abertura das propostas 12/09/24.
De acordo DNIT será necessário solicitar delegação de competência para licitação, após aprovação do projeto.</t>
  </si>
  <si>
    <t>ITAPETINGA (PARTE 01 e  PARTE 02) - 
Canal do Bairro Camacã e Canal do bairro residencial Moacyr Moura</t>
  </si>
  <si>
    <t>Elaboração de Projeto Básico e Projeto Executivo, e Execução de Obras de infraestrutura para sistemas de drenagem urbano sustentável e de manejo de águas pluviais,  – Obra em duas etapas</t>
  </si>
  <si>
    <t>PAC</t>
  </si>
  <si>
    <t>PAC SELEÇÕES</t>
  </si>
  <si>
    <t>PAC ORIGINAL</t>
  </si>
  <si>
    <t xml:space="preserve">Em fase de projetos e mobilização, 
(Lotes 05FB e 06FC) - Contrato publicado no DOU, em 11/04/2024. 
OS. assinada. Empresa contratada TCE - Engenharia LTDA. </t>
  </si>
  <si>
    <t>EVTEA em elaboração pelo DNIT com previsão de conclusão JUN/25. 
De acordo reunião virtual em 26/04, com SEPPI/CC/PR, não há outra alternativa de estudos pelo BNDES.</t>
  </si>
  <si>
    <t>Pendente firmar contrato de financiamento com o BNDES para execução da obra.
Empresa STRATA Engenharia Ltda., contratada em 30/05/24. O.S assinada em 05/06/24 pela Seinfra, conforme Nota Técnica de 04/09, encaminhada pela Seinfra ao Gab. do Governador a O.S. foi de 17/07/24.
EVTEA já aprovado e cedido à SEINFRA/SIT.
A execução da obra será pela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</si>
  <si>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Obra concluída e entregue pelo Presidente Lula em 01/07/24.</t>
  </si>
  <si>
    <t>Estudo Preliminar</t>
  </si>
  <si>
    <t>OBRAS DE MACRODRENAGEM NO CÓRREGO PREGO
NO BAIRRO DE DOM AVELAR, NA CIDADE DE SALVADOR - BAHIA - 
Sistema de canais de macrodrenagem na região dos bairros de Pirajá, Castelo Branco, Vila Canaria, Dom Avelar, Águas Claras, Av. 29 de Março e proximidades da Nova Rodoviária de Salvador para contenção de enchentes.</t>
  </si>
  <si>
    <t xml:space="preserve"> 971252/2024</t>
  </si>
  <si>
    <t>971258/2024 </t>
  </si>
  <si>
    <t>ORIGINAL / SELEÇÕES</t>
  </si>
  <si>
    <t>Canal do Sertão</t>
  </si>
  <si>
    <t>Adutora da Fé</t>
  </si>
  <si>
    <t>Ferrovia (FIOL)</t>
  </si>
  <si>
    <t>Fornecimento de 10 (dez) novos trens de passageiros, com (4 carros cada),
para as Linhas 1 e 2 do Sistema Metroviário de Salvador e Lauro de Freitas - SMSL,</t>
  </si>
  <si>
    <t>LINK_MONITORA</t>
  </si>
  <si>
    <t>LINK_LOCALIZAÇÃO</t>
  </si>
  <si>
    <t>https://governodabahia.plataformatarget.com.br/web/069363b5-ba10-415c-8da0-fe4b53815bff/home</t>
  </si>
  <si>
    <t>CÓDIGO DO MUNICÍPIO</t>
  </si>
  <si>
    <t>https://maps.app.goo.gl/3YcPtaKrRbEeM5z76</t>
  </si>
  <si>
    <t>https://governodabahia.plataformatarget.com.br/web/ba167be9-a1e9-4582-beb6-cf73c1a7a049/home</t>
  </si>
  <si>
    <t>https://governodabahia.plataformatarget.com.br/web/37afbf06-c01e-4819-ad5a-f2d68e868cf4/home</t>
  </si>
  <si>
    <t>https://governodabahia.plataformatarget.com.br/web/799a56d5-65f1-4ec6-ab81-126825c0437f/home</t>
  </si>
  <si>
    <t>https://governodabahia.plataformatarget.com.br/web/05d7a157-949d-47df-bbfd-1ed34ebef27a/home</t>
  </si>
  <si>
    <t>https://governodabahia.plataformatarget.com.br/web/9a824493-a938-45b2-a6c8-02fb670ce212/home</t>
  </si>
  <si>
    <t>https://governodabahia.plataformatarget.com.br/web/4f33a31b-64f7-4a77-8bf0-8a3c5e657d2c/home</t>
  </si>
  <si>
    <t>https://maps.app.goo.gl/X3BYk1BpNgMqbf9n6</t>
  </si>
  <si>
    <t>https://governodabahia.plataformatarget.com.br/web/daf5d385-da94-4a43-8508-bba423304821/home</t>
  </si>
  <si>
    <t>https://governodabahia.plataformatarget.com.br/web/ecd0e843-18de-4c76-abdd-2638559a3ca9/home</t>
  </si>
  <si>
    <t>https://governodabahia.plataformatarget.com.br/web/0d0a423d-c272-415d-b811-b0fe69a309e2/home</t>
  </si>
  <si>
    <t>https://governodabahia.plataformatarget.com.br/web/ed3225a0-ae82-4c86-a94f-c98a4d093719/home</t>
  </si>
  <si>
    <t>https://governodabahia.plataformatarget.com.br/web/a185bbaf-3197-4392-9d2c-96edccb368b7/home</t>
  </si>
  <si>
    <t>https://governodabahia.plataformatarget.com.br/web/bb718052-2b62-4143-ba89-4f1b5cf64f96/home</t>
  </si>
  <si>
    <t>https://governodabahia.plataformatarget.com.br/web/81a0d0b6-c095-4caa-b78d-0655b42caed5/home</t>
  </si>
  <si>
    <t>https://governodabahia.plataformatarget.com.br/web/a7cf4c50-61a0-435a-94b6-47c954241d7a/home</t>
  </si>
  <si>
    <t>https://governodabahia.plataformatarget.com.br/web/84198b2e-bf78-44a9-9785-8e982953e691/home</t>
  </si>
  <si>
    <t>https://governodabahia.plataformatarget.com.br/web/e8527da7-efa1-44ce-b2f3-61e7763c258d/home</t>
  </si>
  <si>
    <t>https://governodabahia.plataformatarget.com.br/web/d9359efa-cc67-4a4f-87ce-ef74c9cd6bce/home</t>
  </si>
  <si>
    <t>https://maps.app.goo.gl/EChTFoQ4NVXxF9jP7</t>
  </si>
  <si>
    <t>https://governodabahia.plataformatarget.com.br/web/ccd5d90d-154b-43f1-98f0-84059b3670af/home</t>
  </si>
  <si>
    <t>https://governodabahia.plataformatarget.com.br/web/2ecfe66b-89f7-485d-812b-74e5c640bb0e/home</t>
  </si>
  <si>
    <t>https://governodabahia.plataformatarget.com.br/web/fe4f6f5a-bdd8-481f-953c-cdd4a2c29890/home</t>
  </si>
  <si>
    <t>https://governodabahia.plataformatarget.com.br/web/c29ce066-6778-413f-9e18-23b13b3f1bb0/home</t>
  </si>
  <si>
    <t>https://governodabahia.plataformatarget.com.br/web/e76b997d-656e-4853-95a8-1a3e343668b0/home</t>
  </si>
  <si>
    <t>https://governodabahia.plataformatarget.com.br/web/9c4e5296-0482-45d9-a890-6c6b64bfe9ab/home</t>
  </si>
  <si>
    <t>https://governodabahia.plataformatarget.com.br/web/1af130b7-7731-441a-b0e6-f57a9be4d9be/home</t>
  </si>
  <si>
    <t>https://governodabahia.plataformatarget.com.br/web/2d78a10d-10f4-4c98-a631-cefde5b9fd01/home</t>
  </si>
  <si>
    <t>https://governodabahia.plataformatarget.com.br/web/8fa7b8ed-4b2d-443d-9f93-d23046529deb/home</t>
  </si>
  <si>
    <t>https://governodabahia.plataformatarget.com.br/web/0a735f32-80e9-49b3-b7d2-32347ce24a55/home</t>
  </si>
  <si>
    <t>https://governodabahia.plataformatarget.com.br/web/86a5325a-a633-427d-aca1-7e08a89240da/home</t>
  </si>
  <si>
    <t>https://maps.app.goo.gl/um2Y1nUBVcC2RCH99</t>
  </si>
  <si>
    <t>https://maps.app.goo.gl/QKJTQKPdPYEnQVsb6</t>
  </si>
  <si>
    <t>https://governodabahia.plataformatarget.com.br/web/c4d03b34-7aa9-472e-876f-c2d9ec3c358d/home</t>
  </si>
  <si>
    <t>https://maps.app.goo.gl/CuLACRRRb2G2tgkw6</t>
  </si>
  <si>
    <t>https://maps.app.goo.gl/6JoC2EBSvnnU2YUE7</t>
  </si>
  <si>
    <t>https://governodabahia.plataformatarget.com.br/web/1f693379-c8e9-49e4-b62a-5fe002380705/home</t>
  </si>
  <si>
    <t>https://maps.app.goo.gl/DdUyish7f1CJkt486</t>
  </si>
  <si>
    <t>https://maps.app.goo.gl/ksXEghT5Rns4Ydnv8</t>
  </si>
  <si>
    <t>https://maps.app.goo.gl/u5CAUWyLTbDaace36</t>
  </si>
  <si>
    <t>https://maps.app.goo.gl/8eLMRkiBaSLP8N3bA</t>
  </si>
  <si>
    <t>https://maps.app.goo.gl/Aq11nJW7XqMULHXA6</t>
  </si>
  <si>
    <t>https://maps.app.goo.gl/ehNLucvAtEmJCJhz9</t>
  </si>
  <si>
    <t>https://maps.app.goo.gl/UhR2jQ17FwSUuf259</t>
  </si>
  <si>
    <t>https://maps.app.goo.gl/bfwkcA49RG7ZdCyc7</t>
  </si>
  <si>
    <t>https://maps.app.goo.gl/4Y9b9ZG8MxUTK2AJ6</t>
  </si>
  <si>
    <t>https://maps.app.goo.gl/NJEckXpsXXpXKRbA6</t>
  </si>
  <si>
    <t>https://maps.app.goo.gl/y2A6Z8frmTDtxnL48</t>
  </si>
  <si>
    <t>https://maps.app.goo.gl/wrjbxJ5ByU1rqwN36</t>
  </si>
  <si>
    <t>https://maps.app.goo.gl/ioW7H2kGHgTegPod7</t>
  </si>
  <si>
    <t>https://governodabahia.plataformatarget.com.br/web/4cb971e2-2881-4013-8969-9d95a46a9168/home</t>
  </si>
  <si>
    <t>https://governodabahia.plataformatarget.com.br/web/2673ec26-65c3-4db3-856a-d9d849f2592e/home</t>
  </si>
  <si>
    <t>https://governodabahia.plataformatarget.com.br/web/4868ddf1-482c-4a25-8aff-6fe4a895afed/home</t>
  </si>
  <si>
    <t>https://governodabahia.plataformatarget.com.br/web/391634f5-b4fd-482d-be42-a265d2574c87/home</t>
  </si>
  <si>
    <t>https://governodabahia.plataformatarget.com.br/web/a6237592-4e2f-46fe-ae5b-f8b8b3bf9a97/home</t>
  </si>
  <si>
    <t>https://governodabahia.plataformatarget.com.br/web/11d81ded-70c9-41d6-82c0-0f92b2446666/home</t>
  </si>
  <si>
    <t>https://maps.app.goo.gl/ZV6fmeQSSftEcTrY6</t>
  </si>
  <si>
    <t>https://maps.app.goo.gl/Uwi6qByse4RBEMyd6</t>
  </si>
  <si>
    <t>https://maps.app.goo.gl/4CRbjpGJ7vivUhnx7</t>
  </si>
  <si>
    <t>https://maps.app.goo.gl/JTufak7e4LoPT6Ek8</t>
  </si>
  <si>
    <t>https://maps.app.goo.gl/pt5T5oTswu6Ntvcs9</t>
  </si>
  <si>
    <t>https://maps.app.goo.gl/8Ryy8U1ZcWJockBZ9</t>
  </si>
  <si>
    <t>https://maps.app.goo.gl/xqHCE21QDTZaDbK88</t>
  </si>
  <si>
    <t>Projeto básico concluído. Definido em reunião com a SEPPI e a Casa Civil/Bahia que as obras deverão ser iniciadas pelo trecho sentido Barreiras para Luiz Eduardo. Será realizada nova reunião com o DNIT para conclusão dos alinhamentos.</t>
  </si>
  <si>
    <t>- SEPPI concluir alinhamento com o DNIT, para formalização da definição ocorrida em reunião com a Casa Civil da Bahia quanto ao melhor trecho a ser iniciado. 
- Licitar obra por regime semi-integrado.</t>
  </si>
  <si>
    <t>https://governodabahia.plataformatarget.com.br/web/a1f7de2e-8d06-4853-ace4-410ad9ffb441/home</t>
  </si>
  <si>
    <t>https://governodabahia.plataformatarget.com.br/web/663ffa2a-2878-4661-8dad-f66c661a56ce/home</t>
  </si>
  <si>
    <t>https://governodabahia.plataformatarget.com.br/web/3a6ccd39-1fbd-40aa-801c-12d9bcd21559/home</t>
  </si>
  <si>
    <t>https://governodabahia.plataformatarget.com.br/web/4b06ad9f-150a-44fc-9471-a16effeb8c54/home</t>
  </si>
  <si>
    <t>https://governodabahia.plataformatarget.com.br/web/eefc771a-e6d4-4d44-a7c5-0813c357579d/home</t>
  </si>
  <si>
    <t>https://governodabahia.plataformatarget.com.br/web/993b0e7e-70ee-4d01-825f-470669876888/home</t>
  </si>
  <si>
    <t>https://governodabahia.plataformatarget.com.br/web/7bea04f4-0e6d-498d-ad04-5a42dcf75984/home</t>
  </si>
  <si>
    <t>https://governodabahia.plataformatarget.com.br/web/d2781526-6ce4-4093-988c-deba0d0cd556/home</t>
  </si>
  <si>
    <t>https://governodabahia.plataformatarget.com.br/web/230d4e19-184b-4fdc-8092-8ce262f6b4f2/home</t>
  </si>
  <si>
    <t>https://maps.app.goo.gl/ZmoJFNyGgdYQ2TP58</t>
  </si>
  <si>
    <t>https://maps.app.goo.gl/KWJTFeKN2XGrvEu98</t>
  </si>
  <si>
    <t>https://maps.app.goo.gl/JZCoBoRxP5z8UVe77</t>
  </si>
  <si>
    <t>https://maps.app.goo.gl/8qZFpz1Q9rmyxzL58</t>
  </si>
  <si>
    <t>https://maps.app.goo.gl/zziX2Ec4fMJfUA988</t>
  </si>
  <si>
    <t>https://maps.app.goo.gl/NSnT9kyggb1kSoec7</t>
  </si>
  <si>
    <t>https://maps.app.goo.gl/tkG79YHcqXtk9v3DA</t>
  </si>
  <si>
    <t>https://maps.app.goo.gl/5JA7qFC5uBgfDYit8</t>
  </si>
  <si>
    <t>https://maps.app.goo.gl/asbGWYW2dePydRyDA</t>
  </si>
  <si>
    <t>https://maps.app.goo.gl/b5ofebovp1eubZnV7</t>
  </si>
  <si>
    <t>https://maps.app.goo.gl/Xu7Lefp8ZTjnX2fZA</t>
  </si>
  <si>
    <t>https://governodabahia.plataformatarget.com.br/web/a280cefe-dc10-4e18-9da8-637f101d6a2f/home</t>
  </si>
  <si>
    <t>https://governodabahia.plataformatarget.com.br/web/09bb3e95-7424-4b70-bf29-d4dc69f328d0/home</t>
  </si>
  <si>
    <t>https://governodabahia.plataformatarget.com.br/web/1faccb21-0b56-4b80-ae85-cbdf992a20f1/home</t>
  </si>
  <si>
    <t>https://governodabahia.plataformatarget.com.br/web/22870f40-6a3f-42d0-a285-64a01769ff5d/home</t>
  </si>
  <si>
    <t>https://governodabahia.plataformatarget.com.br/web/248ed482-549e-4a8b-914b-5d3a73fbb0bc/home</t>
  </si>
  <si>
    <t xml:space="preserve">
Estrada Sesi Senai, s/n, Pitanguinhas, Simões Filho/BA - 42800-679</t>
  </si>
  <si>
    <t>https://governodabahia.plataformatarget.com.br/web/0625fb8d-ef44-45d8-8acd-700a495e3de8/home</t>
  </si>
  <si>
    <t>Construção do Hospital Federal Regional de Paulo Afonso</t>
  </si>
  <si>
    <t>Construção do Hospital Regional de Itapetinga</t>
  </si>
  <si>
    <t>https://maps.app.goo.gl/3bThFpoUzy2H6Ek36</t>
  </si>
  <si>
    <t>Av. Santos Dumont, s/n, bairro, Lauro de Freitas/BA</t>
  </si>
  <si>
    <t>https://governodabahia.plataformatarget.com.br/web/7c5a2dc5-827c-4f36-9a89-ea3dcb9e11ac/home</t>
  </si>
  <si>
    <t>https://governodabahia.plataformatarget.com.br/web/62584478-c21f-4c6c-891a-133109c51e95/home</t>
  </si>
  <si>
    <t>https://governodabahia.plataformatarget.com.br/web/f0a044ef-6598-4a01-aa87-9e0b84726552/home</t>
  </si>
  <si>
    <t>https://governodabahia.plataformatarget.com.br/web/c946ff3d-cc7f-4b36-b117-314c08a3dfff/home</t>
  </si>
  <si>
    <t>https://governodabahia.plataformatarget.com.br/web/8354ada7-a45c-4bb5-aa03-54a1ed972e96/home</t>
  </si>
  <si>
    <t>https://governodabahia.plataformatarget.com.br/web/d2a5a554-7e85-4768-96d2-5fe2c48b8e5e/home</t>
  </si>
  <si>
    <t>https://governodabahia.plataformatarget.com.br/web/2457461e-193c-4c88-ada5-1700ca220f33/home</t>
  </si>
  <si>
    <t>https://governodabahia.plataformatarget.com.br/web/d86adb22-9e4d-40fe-a624-6ebcd4a86444/home</t>
  </si>
  <si>
    <t>https://governodabahia.plataformatarget.com.br/web/4fc2822d-bbee-4943-a09f-f10fd3806183/home</t>
  </si>
  <si>
    <t>https://governodabahia.plataformatarget.com.br/web/0ff9b87a-5bbf-4987-96cd-ced7b5f5bc88/home</t>
  </si>
  <si>
    <t>https://governodabahia.plataformatarget.com.br/web/cc599672-5947-436d-a6e3-56e338a17c88/home</t>
  </si>
  <si>
    <t>https://governodabahia.plataformatarget.com.br/web/0b5e13ee-1692-4daf-a1db-d3d516f1da1a/home</t>
  </si>
  <si>
    <t>https://governodabahia.plataformatarget.com.br/web/8f312cf1-02b3-4be8-9ecc-66cd3d6ccb54/home</t>
  </si>
  <si>
    <t>https://governodabahia.plataformatarget.com.br/web/bb23a29e-cafb-4062-81fc-875cb4c425e7/home</t>
  </si>
  <si>
    <t>https://governodabahia.plataformatarget.com.br/web/c945d2e2-46b6-43b4-ad21-52de98d3f70b/home</t>
  </si>
  <si>
    <t>https://governodabahia.plataformatarget.com.br/web/02b44d95-3b53-4b43-8c02-c60ba019a283/home</t>
  </si>
  <si>
    <t>https://governodabahia.plataformatarget.com.br/web/89e4c4e1-6756-45f9-9a14-802cf7bd61cf/home</t>
  </si>
  <si>
    <t>https://governodabahia.plataformatarget.com.br/web/7167cfe9-d6ae-428c-bbf7-274c0b73c23a/home</t>
  </si>
  <si>
    <t>https://governodabahia.plataformatarget.com.br/web/40662eec-8e5c-4289-9d4d-f7d21a0d7aa7/home</t>
  </si>
  <si>
    <t>https://governodabahia.plataformatarget.com.br/web/295913da-b4e5-4402-899c-26cce973cbb9/home</t>
  </si>
  <si>
    <t>https://governodabahia.plataformatarget.com.br/web/79309e2c-a809-4e81-a58f-7f2693a0be9a/home</t>
  </si>
  <si>
    <t>https://governodabahia.plataformatarget.com.br/web/5bcccf11-5c51-407d-a02f-5e34965596a6/home</t>
  </si>
  <si>
    <t>https://governodabahia.plataformatarget.com.br/web/f737a006-0e27-4d13-a12c-b67eb02a9695/home</t>
  </si>
  <si>
    <t>https://governodabahia.plataformatarget.com.br/web/32addd0c-3137-4db0-a2e5-aa4d25b4f638/home</t>
  </si>
  <si>
    <t>https://governodabahia.plataformatarget.com.br/web/d93e515e-58a4-4082-be40-97360481cad3/home</t>
  </si>
  <si>
    <t>https://governodabahia.plataformatarget.com.br/web/aadaf15d-57f0-4185-8794-6c12c73234bb/home</t>
  </si>
  <si>
    <t>https://governodabahia.plataformatarget.com.br/web/a1391b0c-f58d-4537-8193-51235efc7385/home</t>
  </si>
  <si>
    <t>https://governodabahia.plataformatarget.com.br/web/94514d32-0f25-4654-bc52-766ab892ef89/home</t>
  </si>
  <si>
    <t>https://governodabahia.plataformatarget.com.br/web/dcb31f85-3fb9-4c5a-90d6-52b0157a0e1e/home</t>
  </si>
  <si>
    <t>https://governodabahia.plataformatarget.com.br/web/b9e68091-a3d6-457e-a006-d685ea741810/home</t>
  </si>
  <si>
    <t>https://governodabahia.plataformatarget.com.br/web/49bcb485-2f68-4513-ae60-055b28fd0951/home</t>
  </si>
  <si>
    <t>https://governodabahia.plataformatarget.com.br/web/10aa4cf9-4755-4081-bda8-4af2a3a8408c/home</t>
  </si>
  <si>
    <t>https://governodabahia.plataformatarget.com.br/web/855d715e-6c0d-4d77-890b-25929e52cbe4/home</t>
  </si>
  <si>
    <t>https://governodabahia.plataformatarget.com.br/web/7f1e28a1-01b9-4a9e-82b4-ddbc95a2fcef/home</t>
  </si>
  <si>
    <t>https://governodabahia.plataformatarget.com.br/web/0833c032-e284-4045-ad9d-68e4fe06d07d/home</t>
  </si>
  <si>
    <t>https://governodabahia.plataformatarget.com.br/web/d02a5195-12e2-49a3-b068-3812ffa8e824/home</t>
  </si>
  <si>
    <t>https://governodabahia.plataformatarget.com.br/web/60256e16-c806-4d88-9c0b-86075b8a0f49/home</t>
  </si>
  <si>
    <t>https://governodabahia.plataformatarget.com.br/web/865d98cc-df12-4812-b336-04bcf7155c91/home</t>
  </si>
  <si>
    <t>https://governodabahia.plataformatarget.com.br/web/a99188f4-7f8b-4f50-b1b8-364488cace29/home</t>
  </si>
  <si>
    <t>https://governodabahia.plataformatarget.com.br/web/b9dc7ad7-b323-4ef3-8832-b16310c28a96/home</t>
  </si>
  <si>
    <t>https://governodabahia.plataformatarget.com.br/web/7f6abab4-08b8-4a8a-af91-806d0ebfea50/home</t>
  </si>
  <si>
    <t>https://governodabahia.plataformatarget.com.br/web/b58c9635-50f8-49bf-a5c2-b8af13b4f490/home</t>
  </si>
  <si>
    <t>https://governodabahia.plataformatarget.com.br/web/9afd93ca-0254-40fe-b477-e8c05e905f37/home</t>
  </si>
  <si>
    <t>https://governodabahia.plataformatarget.com.br/web/b7281e07-4f82-4b59-b7e7-c873df505947/home</t>
  </si>
  <si>
    <t>https://governodabahia.plataformatarget.com.br/web/da7ca387-9bb9-434e-8c4d-37f846bd4714/home</t>
  </si>
  <si>
    <t>https://governodabahia.plataformatarget.com.br/web/3333d0d3-7124-48bf-bbca-e58a5d0bff6d/home</t>
  </si>
  <si>
    <t>https://governodabahia.plataformatarget.com.br/web/46a0c25c-a086-4837-8be7-7cfd1731f753/home</t>
  </si>
  <si>
    <t>https://governodabahia.plataformatarget.com.br/web/f3bd71d9-b12a-4cae-9e8d-9c2f7a4879ef/home</t>
  </si>
  <si>
    <t>https://governodabahia.plataformatarget.com.br/web/6ad7b4db-ff38-4d27-9c70-b5cfe515cf89/home</t>
  </si>
  <si>
    <t>https://governodabahia.plataformatarget.com.br/web/5bde359a-905d-418b-80bf-0fefe10daf3c/home</t>
  </si>
  <si>
    <t>https://governodabahia.plataformatarget.com.br/web/7ac86e32-1013-416f-9e61-f17b4683f7f6/home</t>
  </si>
  <si>
    <t>https://governodabahia.plataformatarget.com.br/web/41357d79-df64-4f60-8d26-aac022d933cd/home</t>
  </si>
  <si>
    <t>https://governodabahia.plataformatarget.com.br/web/631ae77a-fe86-4baf-bc69-65f952cc3520/home</t>
  </si>
  <si>
    <t>https://governodabahia.plataformatarget.com.br/web/a6dec2a8-a6c4-481c-af40-967df88b59af/home</t>
  </si>
  <si>
    <t>https://governodabahia.plataformatarget.com.br/web/5d3d209b-df4c-43e8-89ef-2ffe1fc7a472/home</t>
  </si>
  <si>
    <t>https://governodabahia.plataformatarget.com.br/web/3e65bb5f-25da-4e8c-adbe-e1d5077ec2e4/home</t>
  </si>
  <si>
    <t>https://governodabahia.plataformatarget.com.br/web/ff7ce8cb-f0e3-4164-b1d1-fe8c66779c26/home</t>
  </si>
  <si>
    <t>https://governodabahia.plataformatarget.com.br/web/d9c5ccc3-b1e9-4740-adb6-d83f759e9058/home</t>
  </si>
  <si>
    <t>https://governodabahia.plataformatarget.com.br/web/99ae353c-5a75-4c90-bf8f-e42dbe7e4e0e/home</t>
  </si>
  <si>
    <t>https://governodabahia.plataformatarget.com.br/web/94ba40a7-7fc3-476b-9a3e-4dfac8eb814b/home</t>
  </si>
  <si>
    <t>https://maps.app.goo.gl/yJdgrJqzsRLgnfCZ6</t>
  </si>
  <si>
    <t>https://maps.app.goo.gl/KQKy9qS4cttDp9PA7</t>
  </si>
  <si>
    <t>https://governodabahia.plataformatarget.com.br/web/8d0d18c7-d265-48cd-8083-0271856d1bfe/home</t>
  </si>
  <si>
    <t>https://governodabahia.plataformatarget.com.br/web/40f43f3d-a3a3-472c-be90-a680046a01fd/home</t>
  </si>
  <si>
    <t>https://governodabahia.plataformatarget.com.br/web/66599d83-8c5b-4274-990d-53bee1e9abd1/home</t>
  </si>
  <si>
    <t>https://maps.app.goo.gl/8EEC8NQvDjn5AiAC7</t>
  </si>
  <si>
    <t>https://maps.app.goo.gl/gZXM2yjV4Wk2MReD9</t>
  </si>
  <si>
    <t>https://maps.app.goo.gl/hwb24TTYpbsNnhz46</t>
  </si>
  <si>
    <t>https://governodabahia.plataformatarget.com.br/web/adcdca1d-d538-4bf5-9ab6-0258e83c4539/home</t>
  </si>
  <si>
    <t>https://maps.app.goo.gl/1NaMUrQnWD6b9xW16</t>
  </si>
  <si>
    <t>https://maps.app.goo.gl/gBuBpGpcXxexajsK9</t>
  </si>
  <si>
    <t>https://maps.app.goo.gl/uQc76AkjuiTsx3Mh8</t>
  </si>
  <si>
    <t>https://maps.app.goo.gl/9QjQTvwbtixH8Gri7</t>
  </si>
  <si>
    <t>https://maps.app.goo.gl/pCBZCUhtFdmyjzPm7</t>
  </si>
  <si>
    <t>https://maps.app.goo.gl/NsdC4PWsr9gGf6Nb6</t>
  </si>
  <si>
    <t>https://maps.app.goo.gl/RxYWxAqhUVEUfnf89</t>
  </si>
  <si>
    <t>https://maps.app.goo.gl/xFQ8CanS68rMJqrc9</t>
  </si>
  <si>
    <t>https://maps.app.goo.gl/15pHpgMr3seCrMrF7</t>
  </si>
  <si>
    <t>https://maps.app.goo.gl/se2DtKuRdsVSAQwC7</t>
  </si>
  <si>
    <t>https://maps.app.goo.gl/L1D4zAy1BTQBDYkx7</t>
  </si>
  <si>
    <t>https://maps.app.goo.gl/eCZiz7APc6tVerJt7</t>
  </si>
  <si>
    <t>https://maps.app.goo.gl/u6d4AiL7EfxFAQ5A9</t>
  </si>
  <si>
    <t>https://maps.app.goo.gl/HTSUhEF7YS31pQam8</t>
  </si>
  <si>
    <t>https://maps.app.goo.gl/tHdEQqcasqL3EXNd6</t>
  </si>
  <si>
    <t>https://maps.app.goo.gl/HN1EsFGX7XHJnTAy9</t>
  </si>
  <si>
    <t>https://maps.app.goo.gl/PXmLF5Za5QRLsN2A7</t>
  </si>
  <si>
    <t>https://maps.app.goo.gl/aaparaANy5sY4AtY9</t>
  </si>
  <si>
    <t>https://maps.app.goo.gl/5PxdpUg7FtMhmjm87</t>
  </si>
  <si>
    <t>https://governodabahia.plataformatarget.com.br/web/7d932ff2-7452-4198-bd17-2ef4e84a60fa/home</t>
  </si>
  <si>
    <t>https://maps.app.goo.gl/jox5ymTe3dH5ymvG9</t>
  </si>
  <si>
    <t>https://maps.app.goo.gl/S6kdBy9a1mxc52wy5</t>
  </si>
  <si>
    <t>https://maps.app.goo.gl/STN7PCHZEWBk27w97</t>
  </si>
  <si>
    <t>https://governodabahia.plataformatarget.com.br/web/9a489124-81fb-42d1-98d8-7580ce7f8693/home</t>
  </si>
  <si>
    <t>https://governodabahia.plataformatarget.com.br/web/6bed3215-4a93-40dc-9bcc-d436b0b3be40/home</t>
  </si>
  <si>
    <t>https://governodabahia.plataformatarget.com.br/web/21ad7920-eeb0-4ce9-b4d5-4a2c8834c6fb/home</t>
  </si>
  <si>
    <t>https://governodabahia.plataformatarget.com.br/web/826c9a7c-558c-452b-9e3d-97a8a56224a9/home</t>
  </si>
  <si>
    <t>https://maps.app.goo.gl/XCs3zNJWeSWuGANd8</t>
  </si>
  <si>
    <t>https://maps.app.goo.gl/BNWu9uq2XF2WrG9Q6</t>
  </si>
  <si>
    <t>https://maps.app.goo.gl/hurhvtucjW5ooWFT8</t>
  </si>
  <si>
    <t>https://maps.app.goo.gl/VsKANwEPjmNe5Fhr5</t>
  </si>
  <si>
    <t>EMISSÃO DE O.S.</t>
  </si>
  <si>
    <t>AVISO DE LICITAÇÃO</t>
  </si>
  <si>
    <t>PREVISÃO DE CONTRATAÇÃO</t>
  </si>
  <si>
    <t>ORGÃO SOLICITANTE</t>
  </si>
  <si>
    <t>ORGÃO EXECUTOR</t>
  </si>
  <si>
    <t>PREVISÃO DE CONCLUSÃO ATUAL</t>
  </si>
  <si>
    <t>ABERTURA DE LICITAÇÃO</t>
  </si>
  <si>
    <t>Remediação de Áreas Degradadas por Deposição de Resíduos Sólidos Urbanos (Remediação de Lixões) - Boa Nova, Baianópolis, São Gabriel
Buritirama.</t>
  </si>
  <si>
    <t>56000002318/2025</t>
  </si>
  <si>
    <t>A proposta não guarda compatibilidade com a modalidade de que trata o subitem 6.3 da Instrução Normativa nº 11, de 21 de fevereiro de 2025 e, portanto, não poderá ser enquadrada/habilitada.
Restou prejudicada a verificação do seu estágio em relação aos requisitos institucionais previstos no item 4 e aos requisitos técnicos previstos no item 5 da Instrução Normativa nº 11, de 2025.</t>
  </si>
  <si>
    <t>Construção de Galpões de Triagem e Reciclagem para Cooperativas e outras formas de Associações de Catadores de Materiais Reutilizáveis e Recicláveis de Diversos Município do Estado da Bahia: Alagoinhas  Antonio Cardoso, Cairu, Candeias, Cravolândia, Dom Macedo Costa, Ibiassucê, Ipiaú, Irecê, Itabuna, Jequié, Licínio de Almeida, Macaúbas
Paulo Afonso, Salvador, Santo Antônio de Jesus.</t>
  </si>
  <si>
    <t>56000002274/2025</t>
  </si>
  <si>
    <t>13 - Gov. Estado - SETRE</t>
  </si>
  <si>
    <t>14 - Gov. Estado - CONDER</t>
  </si>
  <si>
    <t>15 - Gov. Federal - IPHAN</t>
  </si>
  <si>
    <t>16 - Gov. Estado - CTB</t>
  </si>
  <si>
    <t>https://maps.app.goo.gl/gce3549Hm2G82exy5</t>
  </si>
  <si>
    <t>SECULT</t>
  </si>
  <si>
    <t>SIHS</t>
  </si>
  <si>
    <t>SEDUR</t>
  </si>
  <si>
    <t>SESAB</t>
  </si>
  <si>
    <t>SEADES</t>
  </si>
  <si>
    <t>GESTÃO FEDERAL</t>
  </si>
  <si>
    <t>SEINFRA</t>
  </si>
  <si>
    <t>SEC</t>
  </si>
  <si>
    <t>ÓRGÃO SOLICITANTE</t>
  </si>
  <si>
    <t>https://maps.app.goo.gl/PyseNPsBHpBCHmAR8</t>
  </si>
  <si>
    <t xml:space="preserve">https://maps.app.goo.gl/yEPv7EZEEjr875vV9
</t>
  </si>
  <si>
    <t>https://maps.app.goo.gl/PG5xfUpR8YuzVnWm9</t>
  </si>
  <si>
    <t>https://maps.app.goo.gl/LGh54D9sXrk2DnCQ7</t>
  </si>
  <si>
    <t>https://maps.app.goo.gl/JaskRbHVYxWxcEET7</t>
  </si>
  <si>
    <t>Retificadora da Proposta 56000000557/2025 (excluída do Panorama em 25/06/25)</t>
  </si>
  <si>
    <t>Retificadora da Proposta 56000000694/2025 (Excluído do Panorama em 25/06/25)</t>
  </si>
  <si>
    <t>https://maps.app.goo.gl/yPAcvkPGkJoSJwCC9</t>
  </si>
  <si>
    <t>https://maps.app.goo.gl/9o49tP8Wo438HDFg7</t>
  </si>
  <si>
    <t>https://maps.app.goo.gl/LuqPmrqLRmxm7Nci7</t>
  </si>
  <si>
    <t>https://maps.app.goo.gl/axm1vu2JX2BCYQR39</t>
  </si>
  <si>
    <t>https://maps.app.goo.gl/SMcDc21ShFDaFgg2A</t>
  </si>
  <si>
    <t>https://maps.app.goo.gl/MeANCJghXzvjFZX57</t>
  </si>
  <si>
    <t>https://maps.app.goo.gl/HUyFAvXvY5RrsB5TA</t>
  </si>
  <si>
    <t>https://maps.app.goo.gl/6NEMgspBtKBGroqc7</t>
  </si>
  <si>
    <t>https://maps.app.goo.gl/z2iY2Ek21Q5jnH8j6</t>
  </si>
  <si>
    <t>https://maps.app.goo.gl/P1fm4iqNz2a2qTJL7</t>
  </si>
  <si>
    <t>https://maps.app.goo.gl/ZQ8XdMKSqfQKnmY66</t>
  </si>
  <si>
    <t>https://maps.app.goo.gl/hWQGg2EqeRNxCYw59</t>
  </si>
  <si>
    <t>https://maps.app.goo.gl/akBiDhXNVEu9JzSH9</t>
  </si>
  <si>
    <t>https://maps.app.goo.gl/LV5py1JDM7F96EJU8</t>
  </si>
  <si>
    <t>https://maps.app.goo.gl/v9neEBZL1KDaGC5bA</t>
  </si>
  <si>
    <t>https://maps.app.goo.gl/yGnmKbSJo76m1SZ78</t>
  </si>
  <si>
    <t>https://maps.app.goo.gl/BXSJLD3Mu3ji941g7</t>
  </si>
  <si>
    <t>https://maps.app.goo.gl/3Ty3r8CTRSsp3GbS7</t>
  </si>
  <si>
    <t>19/05/25 - assinatura da ordem de serviço, pelo Ministro dos Transportes, autorizando o início das obras (ato realizado em Feira de Santana)
04/04/25 - Licitação homologada, vencedor consórcio TOP, PAVISERVICE E SVC, em tramitação assinatura de contrato.
06/02/25 - Em fase de análise das propostas.
12/11/24 (DOU) - Aviso de adiamento - abertura das propostas 07/01/25.</t>
  </si>
  <si>
    <t>643.910-25</t>
  </si>
  <si>
    <t>Implantação de Sistema Integrado Convencional de Abastecimento de Água em localidades pertencentes ao município de Juazeiro, Estado da Bahia</t>
  </si>
  <si>
    <t>Implantação de Sistema Integrado Convencional de Abastecimento de Água (SIAA) das localidades  de Carnaíba de Dentro, Altaneira, Carneiro, Laje, Lajinha e Cacimba do Pandú, no município de Juazeiro, Estado da Bahia.</t>
  </si>
  <si>
    <t>Implantação de Sistema Convencional de Abastecimento de Água na localidade de Duas Barras, pertencente ao município de Anagé, Estado da Bahia.</t>
  </si>
  <si>
    <t>Elaboração de Projeto executivo e implantação de Sistema Integrado de Abastecimento de Água (SIAA) das localidades de Saco Fundo, Pingó, Santa Rosa, Muquém, Canas/Pau Ferro, São Pedro I e II, Jardim, Umburana do Jardim, Alagadiço do Jardim, Lagoinha, Oiteiro, Foveiro, Acarú, Lagoa Formosa e Laje Grande, pertencentes ao município de Monte Santo, Estado da Bahia.</t>
  </si>
  <si>
    <t>Implantação de Sistema Convencional Integrado de Abastecimento de Água em localidades de  Rio das Rãs, Batalha, Batalhina, Retiro, Ribeirinho, Fruticultura, Renascer e Curral das Vargens pertencentes ao município de Bom Jesus da Lapa, Estado da Bahia.</t>
  </si>
  <si>
    <t>Implantação de Sistema de Abastecimento de Água (SIAA) das localidades de Distrito de Lagoa Preta, Quenta Sol, Volta, Venda Velha, Pedrinha, Matança. São João dos Britos, Baraúna, Lagoinha, Araçá, Agreste, Capim Açu, Furado da Cancela, Piamã (Penafiel), Malhada Limpa, Volta Grande, Serrinha e Baixa de Seu Zinho, pertencentes ao município de Tremedal, Estado da Bahia.</t>
  </si>
  <si>
    <t>56000007892/2025</t>
  </si>
  <si>
    <t xml:space="preserve">
A SEDUR decidiu não avançar com esta proposta.</t>
  </si>
  <si>
    <t>Implantação de Sistema Integrado Convencional de Abastecimento de Água (SIAA) das localidades  pertencentes ao município de Juazeiro, Estado da Bahia.</t>
  </si>
  <si>
    <t>Implantação de Sistema Convencional de Abastecimento de Água em na sede municipal de Mucugê, Estado da Bahia.</t>
  </si>
  <si>
    <t>Caixa analisar a proposta.
Proposta habilitada ou Não habilitada</t>
  </si>
  <si>
    <t>Implantação de Sistema Integrado Convencional de Abastecimento de Água em localidades rurais de São José, Queimadas, Faz. Tudo de Bom, Mulungu, Roça do Mato, Algodões, Caibros, Silva, Umburana, Espinheiro, Faz. Golfe, Caiçara, Tanque Novo e Lagoa da Marta, pertencentes ao município de Chorrochó, Estado da Bahia.</t>
  </si>
  <si>
    <t>Implantação do Sistema de Esgotamento Sanitário no município de Caetité (1ª Etapa)</t>
  </si>
  <si>
    <t>Implantação de Sistema Integrado Convencional de Abastecimento de Água nas localidades de Rodeador, Fortuna, Baraúna das Cabaças, Barra Bonita, Cacimba do Silva, Lagoa dos Cavalos, Sertãozinho, Caldeirão da Canoa, Tanquinho, Serrote Branco, Camaleão, Serra da Madeira, Firmeza, Mudobin, Sitio de Sacramento, Fazenda Icó, Santana, Cantinho e Paredão pertencentes ao município de Juazeiro, Estado da Bahia.</t>
  </si>
  <si>
    <t>Elaboração de Projeto Executivo e Implantação de Sistema Convencional de Abastecimento de Água na localidade rural de Malhadinha, município de Remanso, Estado da Bahia.</t>
  </si>
  <si>
    <t>Elaboração de Projeto executivo e implantação de Sistema Integrado de Abastecimento de Água (SIAA) das localidades de TANQUINHO, MALHADA GRANDE, JATOBA, LAGOA DO LEITE, JIBOIA, RODEADOR, MUCAMBO, PERIPERI, TAMBORIL, VARZEA D'ÁGUA, FAZENDA NOVA, BARBOSA, BEM POSTA, pertencentes ao município de Livramento de Nossa Senhora, Estado da Bahia.</t>
  </si>
  <si>
    <t>56000008090/2025</t>
  </si>
  <si>
    <t xml:space="preserve"> </t>
  </si>
  <si>
    <t>Monitorar a execução da obra</t>
  </si>
  <si>
    <t>SIAA de Vila São José (Cheira Cabelo), Barrinha, Feirinha de Santa Luzia, Assentamento Santa Helena, Jatobá (Lagoa do Jatobá), Carneiros, Caraíbas, Baixa do Mocambo (Moca Olho), Assentamento Gerais Pituba, Assentamento Gerais Salinas, Assentamento Brasilândia, Capinão e Riacho do Capinão no Município de Carinhanha, Estado da Bahia.</t>
  </si>
  <si>
    <t>SIAA de Ibatui, Capianga, Poços, Malhadinha, Gamba, Cinco Estradas, Pedros, Tabuado, Rebolo, Rio da Caatinga, Chapadinha, Augustinho, Chapada do Fogo e Roça Grande, no Município de Entre Rios no Estado da Bahia.</t>
  </si>
  <si>
    <t>SIAA de Mangabeira, Tábuas, Vargem Das Caraíbas, Pajeú, Pingueira, Neves e Sanharol no Município de Feira da Mata, Estado da Bahia.</t>
  </si>
  <si>
    <t>SIAA de Barrinha, Patos e Amola Faca, no Município de Livramento de Nossa Senhora no Estado da Bahia.</t>
  </si>
  <si>
    <t>SIAA Cuscuzeiro, Riacho D'Água, Poços (Lagoa dos Peixes), Fazenda Barbosa, Gameleira, Capim Grosso, Piengo, Barriguda, Açudina e Baixão da Açudina, no Município de Santa Maria da Vitória no Estado da Bahia.</t>
  </si>
  <si>
    <t>SIAA Juá, Bandeira, Santa Rita, Campo Grande I e Campo Grande II, no Município de Bom Jesus da Lapa no Estado da Bahia.</t>
  </si>
  <si>
    <t>SIAA de Santa Luzia, Tabuá, Morro do Engenho, Itapicuru, Lagoa do Morro, Caiçara do Pio, Lagoa Comprida, Poça do Osório, Laranjo, Peixe, Itapicuru II, Fazendinha, Caiçara da Barra, Caldeirão, Barriguda, Algodões, Caenda, Barra do Bernardo, Passagem, Barracão, Patos, Lagoa da Escola, Lençóis, Gameleira, Valentim e Papagaio, no Município de Dom Basílio no Estado da Bahia.</t>
  </si>
  <si>
    <t xml:space="preserve">SIAA de Flamengo, Alagadiço do Flamengo e Barrinha no Município de Jaguarari, Estado da Bahia.
 </t>
  </si>
  <si>
    <t>SIAA de Frade, São Tomé, Caldeirão dos Corrós, Pau Preto, Roça Grande, Lagoa da Pedra dos Grilos, Juá, Campo Grande, Juvenal, Lagoa do Boi, Rocinha, Morcego, Roça de Baixo, São Fidélis, Mulungú, Siriema, Barbeiro, Malhada de Areia, Lagoa de Joaninha, Salinas, Juramento, Angico, Zé Pires, Umbuzeiro, Cacimba da Ana, Cabeça do Boi e Porcos, no Município de Juazeiro no Estado da Bahia.</t>
  </si>
  <si>
    <t>Nº DO TERMO DE COMP. (TC) / CT FINANCIAMENTO</t>
  </si>
  <si>
    <t>SIT</t>
  </si>
  <si>
    <t>FASE</t>
  </si>
  <si>
    <t>- Estado captar financiamento junto ao BNDES para execução da obra ou transferir execução para o DNIT, conforme planejamento SNV2025;
- Licitação da obra.</t>
  </si>
  <si>
    <t>Conclusão da revisão dos projetos, com base nos achados do TCU, para início de obras. Necessário articulação com DNIT Federal para celeridade no processo.</t>
  </si>
  <si>
    <t>Estudos, planos e projetos de Concessão das Rodovias BR-101/116/324/BA:
- BR-101/BA/SE;
- BR-116/324/BA - Rota 2 de julho e BR-116/324/BA/PE - Rota dos Sertões (Feira de Santana/BA a Salgueiro/PE);</t>
  </si>
  <si>
    <t>BR-101/BA/SE - Estudos de concessão em elaboração pelo BNDES com previsão de entrega até 31/12/2026, conforme reunião Balanço do PAC;
BR-116/324/BA - Rota 2 de julho (653,3 km, incluindo relicitação dos segmentos da Concessão ViaBahia - trechos: BR-324/BA: acesso ao Contorno de Feira até Salvador; BR-324/BA: entronc. c/Contorno de Feira ao entronc. BR-116; BR-116/BA: acesso ao Contorno de Feira até divisa BA/MG; e BR-116/BA: do entronc. Anel Rodoviário em Conquista até viaduto sobre a BR-116/BA), em fase de análise de estudo pela ANTT e Audiência Pública. Investimentos previstos: Capex: R$13,97 BI e Opex: R$9,44 BI;
BR-116/BA/PE e BR-324/BA - Rota dos Sertões - Feira de Santana/BA a Salgueiro/PE (501,93 km, sendo 435km na Bahia), finalizada Audiência Pública, em análise do TCU. Investimentos previstos: Capex: R$3,85 BI e Opex: R$4,45 BI;</t>
  </si>
  <si>
    <t>Retificadora da Proposta
56000000836/2025 (exluída do Panorama em 23/05/25)</t>
  </si>
  <si>
    <t>LICITAÇÃO</t>
  </si>
  <si>
    <t>Aguardando finalização de projeto.
Elementos técnicos de projetos a serem desenvolvidos ou em  elaboração
Projeto básico cedido para conhecimento do Estado em 16/07/24, para auxiliar na definição do trecho a ser priorizado.
Projeto executivo pendente, conforme reunião em 09/04 - Balanço do PAC, foi apresentada expectativa conclusão do projeto executivo até DEZ/24. 
Conforme reunião realizada em 23/04/24, entre CC/PR e Governador foi confirmado o valor de R$ 250 Mi para execução de 30km de rodovia, porém há divergências quanto a execução do projeto iniciando no sentido Luís Eduardo - Barreiras. Solicitado projeto geométrico horizontal para avaliar/definir melhor trecho para a execução.</t>
  </si>
  <si>
    <t>Validação pela Caixa (viabilidade técnica, financeira e jurídica) para prosseguimento da contratação;
Lei Autorizativa para contratação operação de crédito.</t>
  </si>
  <si>
    <t>OF GIGOV/SA n° 0588/2025 - Autorização de Início de Objeto 
SPA emitido em 29/01/2025.
Valor apoiado pelo Ministério da Saúde,  - Resultado da Seleção, conforme Painel InvestSus: R$ 153.000.000,00.</t>
  </si>
  <si>
    <t>https://maps.app.goo.gl/4723R8EaQRWNaEGQ8</t>
  </si>
  <si>
    <t xml:space="preserve">https://maps.app.goo.gl/Yyre4HU58jbEpeSw5
</t>
  </si>
  <si>
    <t xml:space="preserve">
https://maps.app.goo.gl/7ww5iotEskybbg5U6</t>
  </si>
  <si>
    <t>https://maps.app.goo.gl/uBd4wedkqwhsKGEs7</t>
  </si>
  <si>
    <t>https://maps.app.goo.gl/VsBKNuZdmugrTTP78</t>
  </si>
  <si>
    <t>963923</t>
  </si>
  <si>
    <t>G4 LOTE 01- Rua do Prédio - Etapa 03 E 05 / Teolândia</t>
  </si>
  <si>
    <t>G4 LOTE 01 - Aureliano Oliveira- Etapa 2 / Mutuípe</t>
  </si>
  <si>
    <t>G4 LOTE 01 - PDE 345 Complementar Travessa 17 de Novembro-Bairro Tancredo Neves</t>
  </si>
  <si>
    <t>G4 LOTE 01 - PDE 358 Complementar -Clube das Mães - Bairro Dom Avelar</t>
  </si>
  <si>
    <t>G4 LOTE 02 - PDE 253  Complementar -Rua Gengibirra de Cima - Liberdade</t>
  </si>
  <si>
    <t>G1 LOTE 03 - PDE 078.2 - Rua Chile - Bairro Plataforma</t>
  </si>
  <si>
    <t>G1 LOTE 03 - PDE 168 TV. Princesa Isabel - Bairro Novo Horizonte</t>
  </si>
  <si>
    <t>G1 LOTE 02 - PDE 058 - Rua São Domingos - Bairro Pau da Lima</t>
  </si>
  <si>
    <t>G1 LOTE 05 - PDE 025 - Rua Aurélia Lopes - Bairro Cajazeiras</t>
  </si>
  <si>
    <t>G1 LOTE 01  -PDE 016 - Rua Monte Ipitanga - Bairro Cajazeiras</t>
  </si>
  <si>
    <t>G1 LOTE 02 - PDE 079 - Rua Alto do Manoel Monte / Plataforma</t>
  </si>
  <si>
    <t>G1 LOTE 02 - PDE 055 - Rua Santa Luzia - Bairro Pau da Lima</t>
  </si>
  <si>
    <t>G1 LOTE 03 - PDE 166 - Rua A - lot. Sussuarana II - Bairro Sussuarana</t>
  </si>
  <si>
    <t>G1 LOTE 01 - PDE 124 Complementar - Encosta Avenida Dois Irmãos - Bairro Lobato</t>
  </si>
  <si>
    <t>G1 LOTE 04 - PDE 126 - Beira Dique - Bairro São Caetano</t>
  </si>
  <si>
    <t>G1 LOTE 03 - PDE 399 - Complementar - Avenida Teles / Bairro cx. D'água</t>
  </si>
  <si>
    <t>G1 LOTE 04  - PDE 081 - Travessa Suspiro / Bairro Plataforma</t>
  </si>
  <si>
    <t>G1 LOTE 05 - PDE 023 - Vila Geraldo Brasil - Região Administrativa Ra Xiv/ Cajazeiras / Salvador</t>
  </si>
  <si>
    <t>G1 LOTE 01 - PDE 044 Complementar- Rua São Manoel no Jardim Pampulha - Bairro Mata Escura</t>
  </si>
  <si>
    <t>G1 LOTE 05 - PDE 065 - Tv. Simone Barradas - Bairro Jd. N. Esperança</t>
  </si>
  <si>
    <t>G1 LOTE 02 - PDE 119 .2 Complementar - Fundão / Bairro Campinas de Pirajá</t>
  </si>
  <si>
    <t>G1 LOTE 05 - PDE 393 - Rua Elmano Silveira Castro - Bairro Iapi</t>
  </si>
  <si>
    <t>G1 LOTE 04 - PDE 330 - Rua Alfredo do Vale / Bairro Iapi</t>
  </si>
  <si>
    <t>G1 LOTE 05 - Residencial Renascer das Mangabeiras- Cajazeiras 8 / Salvador</t>
  </si>
  <si>
    <t>G2 LOTE 01 - PDE 215 -  Rua Souza Uzel / Bairro Federação</t>
  </si>
  <si>
    <t>G2 LOTE 03 - PDE 051 -  Rua Atlântica - Bairro Pau Da Lima</t>
  </si>
  <si>
    <t>G2 LOTE 04 - PDE 068 Complementar - Rua Jaguaribe / Bairro Cajazeiras VIII</t>
  </si>
  <si>
    <t>G2 LOTE 04 - PDE 067 - V. Reg. - Bx.N.Marotinho - Bairro Sete de Abril</t>
  </si>
  <si>
    <t>G2 LOTE 01 - Lote 1 - Avenida Garibaldi - Ondina/ Salvador</t>
  </si>
  <si>
    <t>G2 LOTE 02 - PDE 269 -BA 528 - Rua Alto do Tororó - Paripe / Salvador</t>
  </si>
  <si>
    <t>G2 LOTE 01 - Lote 1 - PDE 198 - AV. Santa Bárbara - Pernambués / Salvador</t>
  </si>
  <si>
    <t>G2 LOTE 02 - PDE 242 - R. Direta de Sto. Antônio - c.Histórico / Salvador</t>
  </si>
  <si>
    <t>G2 LOTE 02 - PDE 068 - LOT. Daniel Gomes - Bairro Jd. N. Esperança</t>
  </si>
  <si>
    <t>G2 LOTE 02 - PDE 017 -  Quadra 7 - Bairro Cajazeiras</t>
  </si>
  <si>
    <t>G2 LOTE 03 - PDE 356 -  R. Edinil do e. Santo / Bairro Castelo Branco</t>
  </si>
  <si>
    <t>G2 LOTE 03 - PDE 183 -  Alto  da Bola / Bairro Federação</t>
  </si>
  <si>
    <t>G2 LOTE 03 - Rua do Pau D'arco- Boca da Mata / Salvador</t>
  </si>
  <si>
    <t>G2 LOTE 03 - Rua Gomes Brandão - Garcia / Salvador</t>
  </si>
  <si>
    <t>G2 LOTE 04 - PDE 272 - Rua Antônio Teixeira - Periperi/ Salvador</t>
  </si>
  <si>
    <t>G2 LOTE 04 - PDE 303 -  Rua Sérgio Lessa - Coutos / Salvador</t>
  </si>
  <si>
    <t>G2 LOTE 02 - PDE 305 -   1ª Travessa Sérgio Olivais - Coutos / Salvador</t>
  </si>
  <si>
    <t>G2 LOTE 04 - Rua Voluntários da Pátria - Lobato / Salvador</t>
  </si>
  <si>
    <t>G3 LOTE 01.2 - Segunda Praia- Morro de São Paulo, Cairu</t>
  </si>
  <si>
    <t>G3 LOTE 02.1 - Bairro Centro, Travessa California / Camacan</t>
  </si>
  <si>
    <t>G3 LOTE 02.1 - Bairro Nova Conquista / Camamu</t>
  </si>
  <si>
    <t>G3 LOTE 01.1 - Rua Do Melão / Gandu</t>
  </si>
  <si>
    <t>G3 LOTE 02.1 - Rua Amélia Nunes (Antiga Rua Das Oficinas) / Ilhéus</t>
  </si>
  <si>
    <t>G3 LOTE 01.1 - Rua 31 de Março / Centro-Itacaré</t>
  </si>
  <si>
    <t>G3 LOTE 02.2 - Rua Grajau / Itamaraju</t>
  </si>
  <si>
    <t>G3 LOTE 01.2  - Bairro Jardim Tropical - Rua A / Lauro De Freitas</t>
  </si>
  <si>
    <t>G3 LOTE 02.2 - Medeiros Neto/ Bairro Planalto I</t>
  </si>
  <si>
    <t>G3 LOTE 01.1 - Av Tancredo Neves - Etapa 2 / Teolândia</t>
  </si>
  <si>
    <t>G3 LOTE 02.1 - Bairro Zitão / Ubaitaba</t>
  </si>
  <si>
    <t>G5/G6 LOTE 01 B - Encosta - PDE 119.2  complementar - Vila Leal - Bairro  Campinas de Pirajá</t>
  </si>
  <si>
    <t>G5/G6 LOTE 01 B - Encosta - PDE 098 complementar Rua Candinho Fernandes  / Bairro Fazenda Grande do Retiro</t>
  </si>
  <si>
    <t>G5/G6 LOTE 02 C - Encosta - PDE 371 - Rua União / Bairro Castelo Branco</t>
  </si>
  <si>
    <t>G5/G6 LOTE 02 C - Encosta - PDE 404 - 4ª Travessa Senhor do Bonfim / Bairro Beiru</t>
  </si>
  <si>
    <t>G5/G6 LOTE 01 B - Encosta - PDE  119.2 complementar  - Parque Tecal - trecho 2 /Bairro  Campinas de Pirajá</t>
  </si>
  <si>
    <t>G5/G6 LOTE 01 B - Encosta - PDE 118 complementar - Rua Guaracira Souza / Bairro Calabetão</t>
  </si>
  <si>
    <t>G5/G6 LOTE 01 B - Encosta - PDE  119.2 complementar Parque Tecal-  trecho 1 / Bairro Campinas de Pirajá</t>
  </si>
  <si>
    <t>G5/G6 LOTE ÚNICO - Encosta - Rua Vidal Santos, Bairro Alto da Gamboa / Ilhéus</t>
  </si>
  <si>
    <t>G5/G6 LOTE ÚNICO - Encosta - Rua Ladeirinha (California) / Itabuna</t>
  </si>
  <si>
    <t>-Elaboração do Material Técnico para licitar;
-Autorização da Mandatária parar Licitar;
-Monitorar o lançamento da Licitação;
-Verificação da Realização do Processo Licitatório - VRPL;
-Autorização do Ministério Gestor para os eventos de assinatura de contratos;
-Autorização para Início de Objeto - AIO;
-Assinatura da Ordem de Serviço;
-Monitoramento da Execução do Objeto;</t>
  </si>
  <si>
    <t>https://governodabahiahml.plataformatarget.com.br/web/9efe07d0-d713-4195-84c7-ac193fada517/home</t>
  </si>
  <si>
    <t>Elaboração de projetos básico e executivo, fornecimento, transporte, montagem instalações, testes e comissionamentos dos Sistemas de Telecomunicações e Sinalização e Controle de Trens do VLT.</t>
  </si>
  <si>
    <t>Iniciar as obras</t>
  </si>
  <si>
    <t>06 - À LICITAR</t>
  </si>
  <si>
    <t>Elaboração de Projeto Executivo e Implantação de Sistema Convencional de Abastecimento de Água no município de Casa Nova, Estado da Bahia.</t>
  </si>
  <si>
    <t>56000007913/2025</t>
  </si>
  <si>
    <t xml:space="preserve">Implantação de Sistema Convencional Integrado de Abastecimento de Água nas localidades de Lamarão, Sobradinho, Barraquinha, Caboclo, Olhos Dágua de Trás, Morro Grande, Mundo Novo, Barriguda, Lagoinha dos Caldeirões, pertencentes ao município de Maetinga, Estado da Bahia. </t>
  </si>
  <si>
    <t xml:space="preserve">Habilitada conforme Portaria MCID nº 825, de 25 de julho de 2025
Sedur bucar "a Caixa Econômica Federal, Agente Financeiro do programa, para prosseguir à etapa de validação da proposta."
</t>
  </si>
  <si>
    <t>https://governodabahia.plataformatarget.com.br/web/0c7757cb-bfea-4c3e-9388-1d947d3b41d9/home</t>
  </si>
  <si>
    <t>Regularização Fundiária - Núcleo Urbano Uruguai - 1.600 famílias</t>
  </si>
  <si>
    <t>Regularização Fundiária - Núcleo Urbano Tapiraípe - 702 famílias</t>
  </si>
  <si>
    <r>
      <rPr>
        <b/>
        <sz val="16"/>
        <rFont val="Calibri"/>
        <family val="2"/>
      </rPr>
      <t xml:space="preserve">Obras iniciadas: 18/08
OS emitida: 04/08
</t>
    </r>
    <r>
      <rPr>
        <sz val="16"/>
        <rFont val="Calibri"/>
        <family val="2"/>
      </rPr>
      <t>Resumo de Contrato publicado no DOE 18/04
Ctr.: 054/2025
Empresa Vencedora: ENGEC CONSTRUTORA LTDA
Valor Contratado R$ 14.088.813.53</t>
    </r>
  </si>
  <si>
    <r>
      <rPr>
        <b/>
        <sz val="16"/>
        <rFont val="Calibri"/>
        <family val="2"/>
      </rPr>
      <t xml:space="preserve">Obras iniciadas: 18/08
OS emitida: 04/08
Resumo de Contrato publicado no DOE 18/04
Ctr.: 054/2025
</t>
    </r>
    <r>
      <rPr>
        <sz val="16"/>
        <rFont val="Calibri"/>
        <family val="2"/>
      </rPr>
      <t>Empresa Vencedora: ENGEC CONSTRUTORA LTDA
Valor Contratado R$15.835.973.63</t>
    </r>
  </si>
  <si>
    <r>
      <rPr>
        <b/>
        <sz val="16"/>
        <rFont val="Calibri"/>
        <family val="2"/>
      </rPr>
      <t>Obras iniciadas: 18/08
OS emitida: 04/08
Resumo de Contrato publicado no DOE 18/04
Ctr.: 054/2025</t>
    </r>
    <r>
      <rPr>
        <sz val="16"/>
        <rFont val="Calibri"/>
        <family val="2"/>
      </rPr>
      <t xml:space="preserve">
Empresa Vencedora: ENGEC CONSTRUTORA LTDA
Valor Contratado R$ 17.085.283.24</t>
    </r>
  </si>
  <si>
    <t>Previsão de publicação do Aviso de Licitação até 20/08/25. (inf. Sedur de 13/08)</t>
  </si>
  <si>
    <t>Aviso de Licitação Publicado DOU em 18/8/25
Recebimento das Propostas para: 09/09/25</t>
  </si>
  <si>
    <t>Atendimento à Cláusula Suspensiva:
- CE GIGOV/SA nº 3530/2025 de 19/08/25: Apontamentos da análise prévia – Etapa: Sussuarana.
Previsão de Publicação do Aviso de Licitação: outubro/25 (inf. Conder)</t>
  </si>
  <si>
    <t>Atemdimento à Cláusula Suspensiva:
- Jardim Cajazeira: Oficio CE GIGOV/SA nº 3079/2025 de 28/07/25 disponibilizando a FVP (Ficha de Verificação Preliminar) para atendimento às pendências informadas - Resposta da Conder enviada 15/08.
Previsão de Publicação do Aviso de Licitação: novembro/25 (inf. Conder)</t>
  </si>
  <si>
    <t>Lote 03 (41,02 km) e 04 (40,8 km): Contratos rescindidos. Necessário levantamento dos serviços remanescentes, devido ao encerramento do contrato da empresa gerenciadora a demanda não foi executada. Conforme DNIT Bahia, nova previsão para relicitação até final do primeiro semestre/2025.</t>
  </si>
  <si>
    <r>
      <rPr>
        <b/>
        <sz val="16"/>
        <color theme="1"/>
        <rFont val="Calibri"/>
        <family val="2"/>
      </rPr>
      <t>Proposta será enquadrada como licitação pretérita pelo contrato de gerenciamento e fiscalização do Lote 1 , que tem à atividade de realização de estudos para ampliação</t>
    </r>
    <r>
      <rPr>
        <sz val="16"/>
        <color theme="1"/>
        <rFont val="Calibri"/>
        <family val="2"/>
      </rPr>
      <t xml:space="preserve">
Execução do objeto foi enquadrado como aditivo no contrato 010/2024  lote 1 do VLT - O Termo Aditivo foi publicado no DOE 23/08.</t>
    </r>
    <r>
      <rPr>
        <b/>
        <sz val="16"/>
        <color theme="1"/>
        <rFont val="Calibri"/>
        <family val="2"/>
      </rPr>
      <t xml:space="preserve">
CE GIGOV/SA 2939.25 enviado dia 22/07/2025 - Conforme foi informado a CTB será aditivada aos termos de compromisso dos contratos a seguir listados como unidade executora:TC: 969597 OPER: 1098361-73.
</t>
    </r>
    <r>
      <rPr>
        <sz val="16"/>
        <color theme="1"/>
        <rFont val="Calibri"/>
        <family val="2"/>
      </rPr>
      <t>CE GIGOV/SA 2863/2025 enviado dia 16/07/2025 - Comunica retirada de cláusulas suspensivas.
Necessidade de apresentação pela secretaria de Termo de Referência até 30/11/25 para retirada da cláusula suspensiva.</t>
    </r>
  </si>
  <si>
    <t xml:space="preserve"> *Elaboração de TR e Edital                                                             
*Publicação da Licitação
*VRPL 
*AIO
*OS
*Execução da Obra 
                                                             </t>
  </si>
  <si>
    <t xml:space="preserve"> *Elaboração de TR e Edital                                                             
*Publicação da Licitação
*VRPL 
*AIO
*OS
*Execução da Obra           </t>
  </si>
  <si>
    <r>
      <t xml:space="preserve">Secult/Conder atender diligências da Caixa
</t>
    </r>
    <r>
      <rPr>
        <sz val="16"/>
        <color theme="1"/>
        <rFont val="Calibri"/>
        <family val="2"/>
      </rPr>
      <t xml:space="preserve">  (Aguardando Secult definir recurso complementar)</t>
    </r>
  </si>
  <si>
    <t>Ônibus - 200 Unidades</t>
  </si>
  <si>
    <t>-Monitoramento da Execução do Objeto</t>
  </si>
  <si>
    <t>*Apresentação do material técnico para análise da Caixa. (T.R. em elaboração)</t>
  </si>
  <si>
    <t>*Apresentação do material técnico para análise da Caixa. Data informada pela Sedur é de 15/10/2025</t>
  </si>
  <si>
    <t>*Apresentação do material técnico para análise da Caixa. (Data informada pela Sedur é de 15/10/2025</t>
  </si>
  <si>
    <t xml:space="preserve">*Enviar TR e orçamento preliminar para
a Caixa - data prevista 15/09/2025
*Enviar documentação das cooperativas
e/ou associações de catadoras e
catadores de materiais reutilizáveis e
recicláveis, data prevista 15/10/2025.
*Termo de compromisso  973931 publicado em
14/05/2025
</t>
  </si>
  <si>
    <t xml:space="preserve">
*Enviar TR e orçamento preliminarpara a Caixa - data prevista 15/09/2025
*Enviardocumentação das cooperativas e/ou associações de catadoras e catadores de materiais reutilizáveis e recicláveis. 
*Enviar titularidade da área.
*Enviar licenciamento ambiental.
 Data prevista 15/10/2025
Termo de compromisso 973966 publicado em
14/05/2025</t>
  </si>
  <si>
    <t>Atendimento à Cláusula Suspensiva:
CE GIGOV/SA 3778/2025 de 01/09/25 informando pendências a serem sanadas pata continuidade da análise.
Previsão de Publicação do Aviso de Licitação: outubro/25 (inf. Conder)</t>
  </si>
  <si>
    <t>F02 - LICITAÇÃO</t>
  </si>
  <si>
    <t>F01 - CAPTAÇÃO DE RECURSO</t>
  </si>
  <si>
    <t xml:space="preserve">
Monitorar execução da obra. </t>
  </si>
  <si>
    <t>- Modalidade de Licitação: Concorrência;
- Regime de Execução: Contratação Semi-integrada;
- Critério de Julgamento: Técnica e Preço (60% - 40%).
Carta Reversal nº 0068/2025/GIGOV/SA de 16/04/25 - Cláusula suspensiva para 30/11/25
Foi proposto R$ 313.065.385,93, mas foi selecionado R$ 200 milhões</t>
  </si>
  <si>
    <t>Os valores somados das 04 intervenções (Pau da Lima, Sussuarana, Gal Costa e Jd Cajazeiras) totalizam R$ 181,67 mi. (NT Conder de 22/05/25)</t>
  </si>
  <si>
    <r>
      <t xml:space="preserve">Secult/Conder atender diligências da Caixa
</t>
    </r>
    <r>
      <rPr>
        <sz val="16"/>
        <color theme="1"/>
        <rFont val="Calibri"/>
        <family val="2"/>
      </rPr>
      <t xml:space="preserve">  (Aguardando Secult definir recurso complementar)</t>
    </r>
    <r>
      <rPr>
        <b/>
        <sz val="16"/>
        <color theme="1"/>
        <rFont val="Calibri"/>
        <family val="2"/>
      </rPr>
      <t xml:space="preserve">
</t>
    </r>
  </si>
  <si>
    <t>MCMV - FNHIS SUB-50 - Construção de 25 unidades habitacionais</t>
  </si>
  <si>
    <t>MCMV - FNHIS SUB-50 - Construção de 50 unidades habitacionais</t>
  </si>
  <si>
    <t>TC: 970712/2024 - 11/12/24</t>
  </si>
  <si>
    <t>TC: 970954/2024 - 11/12/24</t>
  </si>
  <si>
    <t>TC: 970955/2024 - 11/12/24</t>
  </si>
  <si>
    <t>TC: 970957/2024 - 11/12/24</t>
  </si>
  <si>
    <t>TC: 974795/2024 - 09/05/25</t>
  </si>
  <si>
    <t>TC: 974798/2024 - 09/05/25</t>
  </si>
  <si>
    <t>TC: 974796/2024 - 09/05/25</t>
  </si>
  <si>
    <t>TC: 974799/2024 - 09/05/25</t>
  </si>
  <si>
    <t>TC: 974800/2024 - 05/05/25</t>
  </si>
  <si>
    <t>TC: 974797/2024 - 05/05/25</t>
  </si>
  <si>
    <t>TC: 974801/2024 - 05/05/25</t>
  </si>
  <si>
    <t>CE GIGOV/SA 3802/2025 de 02/8/25 informando a recepção  via TransfereGov, em 28/08/2025, da  documentação em atendimento às clausulas suspensivas do Termo de Compromisso referenciado.
E solicita ajustes e inclusão de documentação.</t>
  </si>
  <si>
    <t>Ofício nº 0502 / 2025 / GIGOV/SA - Retirada da Cláusula Suspensiva (27/06/25)</t>
  </si>
  <si>
    <t>CE GIGOV/SA 3751/2025 de 29/8/25 informando a recepcção via TransfereGov, em 25/08/2025, da documentação em atendimento às clausulas suspensivas do Termo de Compromisso referenciado.</t>
  </si>
  <si>
    <t>Oficio da Caixa CE GIGOV/SA 3706/2025 de 28/05/25 informando a "Emissão de LAE, retirada de suspensivas e solicitações para VRPL."</t>
  </si>
  <si>
    <t>Cláusula Suspensiva retirada conforme CE GIGOV/SA 3683/2025 de 27/08/25.</t>
  </si>
  <si>
    <t>Ofício CE GIGOV/SA 3704/2025 informando a "Emissão de LAE, retirada de suspensivas e solicitações para VRPL"</t>
  </si>
  <si>
    <t>Atendimento a Cláusula Suspensiva: Anteprojeto / projeto básico; Termo de referência; Titularidade do imóvel (terreno); Licenção Prévia ou dispensa; Declaração de Suspentabilidade; Projeto de Trabalho Social.</t>
  </si>
  <si>
    <t>CE GIGOV/SA 3841/2025 de 03/09/25 informando a recepcção via TransfereGov, em 26/08/2025, da documentação em atendimento às clausulas suspensivas do Termo de Compromisso referenciado." 
E solicit ajustes e envio de documentação complementar.</t>
  </si>
  <si>
    <t>Ofício nº 0498 / 2025 / GIGOV/SA - Retirada da Cláusula Suspensiva (26/06/25)</t>
  </si>
  <si>
    <t>CE GIGOV/SA 3789/2025 de 01/9/25 informando a recepcção via TransfereGov, em 26/08/2025, da documentação em atendimento às clausulas suspensivas do Termo de Compromisso referenciado." 
E solicita ajustes e envio de documentação complementar.</t>
  </si>
  <si>
    <t>MCMV - FNHIS SUB-50 - Construção de 20 unidades habitacionais</t>
  </si>
  <si>
    <t>PRÓXIMOS PASSOS</t>
  </si>
  <si>
    <t>PRAZO DE CONCLUSÃO DA FASE</t>
  </si>
  <si>
    <t>AVANÇO DA OBRA (%)</t>
  </si>
  <si>
    <t>Formalizar Proposta no TransfereGov com Doc´s exigidos e Enviar Plano de Trabalho</t>
  </si>
  <si>
    <t>Acompanhar emissão da Nota de Empenho e Envio para Mandatária</t>
  </si>
  <si>
    <t>Enviar Doc´s Institucionais para Assinatura do Termo de Compromisso</t>
  </si>
  <si>
    <t>Análise do Plano de Trabalho, Projetos e documentação técnica pela Mandatária</t>
  </si>
  <si>
    <t>Assinar e Publicar do Termo de Compromisso</t>
  </si>
  <si>
    <t>Enviar projetos para análise Qualitativa pela Mandatária</t>
  </si>
  <si>
    <t>Enviar documentos para atendimento à Cláusula Suspensiva</t>
  </si>
  <si>
    <t>Realizar Visita Técnica pela Mandatária ao local da Obra</t>
  </si>
  <si>
    <t>Elaboração TR e Edital</t>
  </si>
  <si>
    <t>LAE/SPA</t>
  </si>
  <si>
    <t>PENDÊNCIAS / TAREFA</t>
  </si>
  <si>
    <t>PROVIDÊNCIAS (DATAS)</t>
  </si>
  <si>
    <t>Publicar Aviso da Licitação</t>
  </si>
  <si>
    <t>Abertura das Propostas</t>
  </si>
  <si>
    <t xml:space="preserve">Homologar e Adjudicar Licitação </t>
  </si>
  <si>
    <t>Publicar Contrato de Execução</t>
  </si>
  <si>
    <t>Enviar documentos para obtenção do VRPL</t>
  </si>
  <si>
    <t>Emissão do aceite VRPL</t>
  </si>
  <si>
    <t>Emissão de AIO</t>
  </si>
  <si>
    <t>Emissão de Alvará</t>
  </si>
  <si>
    <t>Emitir Ordem de Serviço</t>
  </si>
  <si>
    <t>Execução da Obra</t>
  </si>
  <si>
    <t>Funcionalidade</t>
  </si>
  <si>
    <t>DETALHE DO STATUS</t>
  </si>
  <si>
    <t>958195/2024</t>
  </si>
  <si>
    <t>958204/2024</t>
  </si>
  <si>
    <t>Contrato de Financiamento: contratado em 29/08/25.
Número do contrato Caixa: 634058-14 (site da Caixa)</t>
  </si>
  <si>
    <t>PRAZO DA PENDÊNCIA / TAREFA</t>
  </si>
  <si>
    <t>Obra foi incluída por meio de aditivo ao contrato da gerenciadora do lote 1.
Os projetos já estão em desenvolvimento. Posteriormente será feita uma prestação de contas.</t>
  </si>
  <si>
    <r>
      <t xml:space="preserve">
 Proposta foi incluida como Aditivo ao contrato do lote 1 e será feita uma prestação de contas.</t>
    </r>
    <r>
      <rPr>
        <sz val="16"/>
        <color theme="1"/>
        <rFont val="Calibri"/>
        <family val="2"/>
      </rPr>
      <t xml:space="preserve">
Termo de Compromisso publicado no  DOU 09/12/2024</t>
    </r>
    <r>
      <rPr>
        <b/>
        <sz val="16"/>
        <color theme="1"/>
        <rFont val="Calibri"/>
        <family val="2"/>
      </rPr>
      <t xml:space="preserve">
</t>
    </r>
  </si>
  <si>
    <t>CAPTAÇÃO</t>
  </si>
  <si>
    <t>Definir a fonte de recurso e Ente financiador</t>
  </si>
  <si>
    <t>F03 - EXECUÇÃO</t>
  </si>
  <si>
    <t>EXECUÇÃO</t>
  </si>
  <si>
    <t>Concluir o projeto</t>
  </si>
  <si>
    <t>*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</si>
  <si>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Obra concluída em 05/09/2025</t>
  </si>
  <si>
    <t>Empresa contratada entregar a CONDER os projetos executivos (Já foram iniciados topografia e sondagem).</t>
  </si>
  <si>
    <t>Compatilibilização de cronograma</t>
  </si>
  <si>
    <t>F04 - CONCLUÍDA</t>
  </si>
  <si>
    <r>
      <rPr>
        <b/>
        <sz val="16"/>
        <color theme="1"/>
        <rFont val="Calibri"/>
        <family val="2"/>
      </rPr>
      <t>NÃO É PAC *** NÃO ENTRA NA APRESENTAÇÃO ***</t>
    </r>
    <r>
      <rPr>
        <sz val="16"/>
        <color theme="1"/>
        <rFont val="Calibri"/>
        <family val="2"/>
      </rPr>
      <t xml:space="preserve">
Construção da BR 242/BA - Santo Antônio - Nazaré (Financiamento).</t>
    </r>
  </si>
  <si>
    <t xml:space="preserve">Monitorar execução da obra. </t>
  </si>
  <si>
    <t/>
  </si>
  <si>
    <t>QTD TOTAL</t>
  </si>
  <si>
    <t>EQUIPAMENTOS</t>
  </si>
  <si>
    <t>DATA DE CONCLUSÃO ORIGINAL</t>
  </si>
  <si>
    <t>Execução dos projetos necessários para futura contratação de obra.</t>
  </si>
  <si>
    <t>DNIT concluir levantamento dos serviços remanescentes dos lotes para publicar nova de licitação.</t>
  </si>
  <si>
    <t xml:space="preserve"> Revisão de projeto, pendente de aprovação pelo DNIT Sede</t>
  </si>
  <si>
    <t>DNIT elaborar TR e Edital para licitação (regime semi-integrado), iniciando a obra pelo trecho sentido Barreiras para Luiz Eduardo Magalhães.</t>
  </si>
  <si>
    <t>Retirada da Cláusula Suspensiva</t>
  </si>
  <si>
    <t>Novo Número: 39153/2025
Proposta: 
56000003947/2025</t>
  </si>
  <si>
    <t>Novo Número: 
39165/2025
Proposta: 
56000005567/2025</t>
  </si>
  <si>
    <t>Novo Número: 
39147/2025
Proposta: 
56000005575/2025</t>
  </si>
  <si>
    <t>Novo Número: 
39143/2025
Proposta: 
56000005583/2025</t>
  </si>
  <si>
    <t>Termo de Referência; 
Declaração de Sustentabilidade; 
Licença Ambiental; 
Projeto Técnico Social Definitivo;
Outra(s) condição(ções) porventura indicada(s) no parecer técnico de aprovação do Plano de Trabalho</t>
  </si>
  <si>
    <t>Quantidade por FASE</t>
  </si>
  <si>
    <t>Apresentação da documentação administrativa para contratação de operações (SEPLAN/Secretarias)</t>
  </si>
  <si>
    <t>Publicação de Lei Autorizativa</t>
  </si>
  <si>
    <t xml:space="preserve">Validação da proposta pelo Agente Financeiro </t>
  </si>
  <si>
    <t>Contratação da Operação de Crédito</t>
  </si>
  <si>
    <t>Envio do projeto para avaliação de compatibilidade pela Caixa;</t>
  </si>
  <si>
    <t>Análise de compatibilidade do projeto pela Caixa;</t>
  </si>
  <si>
    <t>Atendimento às condicionantes da cláusula resolutiva para 1° desembolso</t>
  </si>
  <si>
    <t>Titularidade de Área;
Projeto Básico;
Licença Ambiental Prévia;
Termo de Referência;
Declaração sobre a sustentabilidade do objeto; 
Outra(s) condição(ções) porventura indicada(s) no parecer técnico de aprovação do Plano de Trabalho.</t>
  </si>
  <si>
    <t xml:space="preserve">MACRODRENAGEM DISTRITO DE COROA VERMELHA – STA CRUZ DE
CABRÁLIA 
</t>
  </si>
  <si>
    <r>
      <t xml:space="preserve">16/09/25 - Em reunião com a Madatária e a Casa Civil/PR ficou definido que o Governo do Estado deverá formalizar, através de Ofício ao MJ, pleito de recurso para contratação de equipamento fotovoltaico, visando substituir o uso de recurso próprio. 
Em relatos feitos pela SEADES e a CONDER, o MJ incluiu a fotovoltaica (não prevista no projeto inicial do Convive) após a publicação do aviso de licitação, e em tratativa conjunta mantiveram a licitação com a possibilidade de fazer um aditivo complementando o serviço, porém com uso de recursos próprios inicialmente para posteriomente pleitear os recursos do MJ destinados ao equipamento. Essa formalização deverá ser encaminhada ao MJ até 19/09/25 com justificativa consistente para substituição do recurso.
16/09/25 - Em reunião com a Mandatária e a Casa Civil/PR, ficou alinhado a emissão do VRPL para o dia 22/10/25.
16/09/25 - Conforme RT da Comissão de licitação. O Consórcio ART Projeto/JCA Engenharia foi desclassificado. Nova reunião marcada para o dia 18/09/25.
</t>
    </r>
    <r>
      <rPr>
        <sz val="16"/>
        <rFont val="Calibri"/>
        <family val="2"/>
      </rPr>
      <t>28/08/25 - Propostas técnicas apresentadas.
Licitantes:
- Consórcio (Construtora Faria Lima LTDA / Globo Engenharia LTDA)
- Consórcio (FCK Construações e Incorporações LTDA / SC Arquitetura e Consultoria LTDA)
- Consórcio (Pejota Construções LTDA / Fábio Pera Arquiteto LTDA)
- Consórcio (ART Projetos Construções LTDA / JCA Engenharia e Arquitetura
DOU 16/06/25 e DOE 14/06/25 - Aviso de licitação publicado, abertura prevista 28/08/25.</t>
    </r>
  </si>
  <si>
    <t>Implantação do Sistema de Esgotamento Sanitário de Iramaia</t>
  </si>
  <si>
    <t>56000008224/2025</t>
  </si>
  <si>
    <t>Implantação do Sistema Produtor do Centro Norte Baiano (SPCNB) com a implantação de captação, adução de água bruta, estações elevatórias de água bruta e estação de tratamento de água, que atenderá, nesta primeira etapa, os municípios de Campo Formoso, Senhor do Bonfim, Antônio Gonçalves, Jaguarari e Andorinha.</t>
  </si>
  <si>
    <t>56000008222/2025</t>
  </si>
  <si>
    <t>56000008223/2025</t>
  </si>
  <si>
    <t>Ampliação da vazão disponibilizada ao Sistema Integrado de Salvador, através da implantação do Sistema Adutor Santa Helena -  Jacumirim.</t>
  </si>
  <si>
    <t>Formalização da Proposta no TGOV e Envio do Plano de Trabalho</t>
  </si>
  <si>
    <t>- Análise da Caixa;
- Elaboração do Edital; 
- Lançamento da licitação;
- Contratação;
- Emissão do AIO pelo Mcidades.</t>
  </si>
  <si>
    <t>*Execução do projeto</t>
  </si>
  <si>
    <t>Implantação da Estação de Tratamento de Efluentes Líquidos (ETL) na Estação de Tratamento de Água (ETA) Principal do SIAA Salvador, localizado na cidade de Candeias (BA).</t>
  </si>
  <si>
    <t>56000008231/2025</t>
  </si>
  <si>
    <t>56000008238/2025</t>
  </si>
  <si>
    <t>Implantação da Meta 1B do Sistema de Esgotamento Sanitário de Lauro de Freitas</t>
  </si>
  <si>
    <t>Ampliação das Estações de Tratamento de Esgoto de Praia do Forte e Iberostar</t>
  </si>
  <si>
    <t>Implantação do SES de Pojuca</t>
  </si>
  <si>
    <t>56000008232/2025</t>
  </si>
  <si>
    <t>56000008233/2025</t>
  </si>
  <si>
    <t>56000008235/2025</t>
  </si>
  <si>
    <t>56000008237/2025</t>
  </si>
  <si>
    <t>Metrô</t>
  </si>
  <si>
    <t>https://governodabahia.plataformatarget.com.br/web/df5958b1-72a3-4198-b8f8-139952571346/home</t>
  </si>
  <si>
    <t>https://maps.app.goo.gl/rnnSPjk5m1itmTMWA</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</si>
  <si>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localizado em Área de Preservação Permanente - APP
</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</si>
  <si>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pela Conder necessita de desapropriação
</t>
  </si>
  <si>
    <t>Implantação do Sistema de Esgotamento Sanitário de Amélia Rodrigues</t>
  </si>
  <si>
    <t>Ampliação do Sistema de Esgotamento Sanitário de Santo Amaro</t>
  </si>
  <si>
    <t>Ampliação do Sistema de Esgotamento Sanitário de São Francisco do Conde</t>
  </si>
  <si>
    <t>56000008241/2025</t>
  </si>
  <si>
    <t>56000008242/2025</t>
  </si>
  <si>
    <t>56000008243/2025</t>
  </si>
  <si>
    <t>56000008244/2025</t>
  </si>
  <si>
    <t>56000008246/2025</t>
  </si>
  <si>
    <t>14/05/25 - Projeto básico concluído e aprovado, conforme Boletim Administrativo Edição nº 082 de 05/05/2025 - Portaria nº 2687, de 28/04/25
25/11/24 - Realizados ajustes no projeto, pela Strata, referente à OAE. Enviado projeto final ao DNIT para aprovação definitiva.
Pendente licitação da obra pelo DNIT.</t>
  </si>
  <si>
    <r>
      <rPr>
        <b/>
        <sz val="16"/>
        <color theme="1"/>
        <rFont val="Calibri"/>
        <family val="2"/>
      </rPr>
      <t>Em 26/09/25 a Caixa informou o laudo inviável</t>
    </r>
    <r>
      <rPr>
        <sz val="16"/>
        <color theme="1"/>
        <rFont val="Calibri"/>
        <family val="2"/>
      </rPr>
      <t xml:space="preserve">  
Secult precisa definir recurso complementar
Pendente termo de autorização de uso assinado pela prefeitura (doc. de titularidade)
</t>
    </r>
  </si>
  <si>
    <r>
      <rPr>
        <b/>
        <sz val="16"/>
        <color theme="1"/>
        <rFont val="Calibri"/>
        <family val="2"/>
      </rPr>
      <t>Em 26/09/25 a Caixa informou o laudo inviável</t>
    </r>
    <r>
      <rPr>
        <sz val="16"/>
        <color theme="1"/>
        <rFont val="Calibri"/>
        <family val="2"/>
      </rPr>
      <t xml:space="preserve">
Secult precisa definir recurso complementar
Pendente a titularidade da área, da qual se trata de imóvel de terceiro. Desapropriação através de 'Termo de Imissão Provisória de Posse'. 
</t>
    </r>
  </si>
  <si>
    <r>
      <t xml:space="preserve">AIO emitida no TGOV 13/10
</t>
    </r>
    <r>
      <rPr>
        <sz val="16"/>
        <rFont val="Calibri"/>
        <family val="2"/>
      </rPr>
      <t>CT 068/2025 - Resumo do contrato publicado no DOE dia 19/07/2025. Empresa Vencedora: Consórcio Macrodrenagem (CBS Construtora Bahiana de Saneamento Ltda / Klao Engenharia Ltda). Valor R$: 53.239.506,78.</t>
    </r>
  </si>
  <si>
    <t>https://governodabahia.plataformatarget.com.br/web/a12df5fe-97ee-4721-9751-24e415d256c4/home</t>
  </si>
  <si>
    <t>G1 Lote 6 - PDE 095 - Pedreira do Calafate - Bairro Fazenda Grande</t>
  </si>
  <si>
    <t>G2 Lote 5 - PDE 163 -   Rua das Pedreiras - Arraial do Retiro / Salvador</t>
  </si>
  <si>
    <t>VALOR SOLICITADO FINANCIAMENTO</t>
  </si>
  <si>
    <t>VALOR SOLICITADO (OGU)</t>
  </si>
  <si>
    <t>VALOR SOLICITADO OGU</t>
  </si>
  <si>
    <t>VALOR SOLICITADO (FINANCIAMENTO)</t>
  </si>
  <si>
    <t>EXECUÇÃO DE URBANIZAÇÃO INTEGRADA E HUMANIZADA, NO TERRITÓRIO PERIFÉRICO DE ANTÔNIO CONSELHEIRO, BAIRRO LOCALIZADO NO MUNICÍPIO DE JUAZEIRO/BA.</t>
  </si>
  <si>
    <t>OGU</t>
  </si>
  <si>
    <t>OGU CONTRAPARTIDA</t>
  </si>
  <si>
    <t>OGU COMPLEMENTAR</t>
  </si>
  <si>
    <t>OGU FINANCIAMENTO</t>
  </si>
  <si>
    <t>CONTRAPARTIDA FINANCIAMENTO</t>
  </si>
  <si>
    <t>CONTRAPARTIDA COMPLAMENTAR FINANCIAMENTO</t>
  </si>
  <si>
    <t>OGU CONTRAPARTIDA COMPLEMENTAR</t>
  </si>
  <si>
    <t>OGU CONTRAPARTIDA FINANCIAMENTO</t>
  </si>
  <si>
    <t xml:space="preserve">OGU  </t>
  </si>
  <si>
    <t xml:space="preserve">CONTRAPARTIDA  </t>
  </si>
  <si>
    <t xml:space="preserve">OGU  CONTRAPARTIDA  COMPLEMENTAR  </t>
  </si>
  <si>
    <t>CONTRAPARTIDA  FINANCIAMENTO</t>
  </si>
  <si>
    <t>OGU  FINANCIAMENTO</t>
  </si>
  <si>
    <t xml:space="preserve">COMPLEMENTAR  </t>
  </si>
  <si>
    <t>OGU  CONTRAPARTIDA  FINANCIAMENTO</t>
  </si>
  <si>
    <t>Contratação de empresa de engenharia para elaboração de projeto básico de macrodrenagem, no município de Aratuípe BA</t>
  </si>
  <si>
    <t>Conder enviou, em 16/10, para análise da Caixa o anteprojeto relativo as unidades habitacionais</t>
  </si>
  <si>
    <t>VALOR CONTRATADO</t>
  </si>
  <si>
    <t>EMPRESA CONTRATADA</t>
  </si>
  <si>
    <t>Daud Empreendimentos</t>
  </si>
  <si>
    <t>STS Engenharia Ltda</t>
  </si>
  <si>
    <t xml:space="preserve">CBS Construtora Baiana de Saneamento Ltda </t>
  </si>
  <si>
    <t>Geox Geotecnia e Engenharia de Obras Ltda</t>
  </si>
  <si>
    <t>CONSORCIO PROJETISTA BARREIRAS</t>
  </si>
  <si>
    <t>CONSORCIO AEROPORTO DE BARREIRAS PORTICO - ETERC - EBSA</t>
  </si>
  <si>
    <t>Lima Diniz Construções Ltda</t>
  </si>
  <si>
    <t xml:space="preserve">STS Engenharia Ltda </t>
  </si>
  <si>
    <t xml:space="preserve">Concreta Tecnologia em Engenharia Ltda </t>
  </si>
  <si>
    <t>Geox Geotecnia e Engenharia de Obras Ltda.</t>
  </si>
  <si>
    <t>Enzfluor Comércio Serviços e Tecnologia Ltda.</t>
  </si>
  <si>
    <t>CONSÓRCIO CONVIVE JUAZEIRO - FCK / SC ARQUITETURA</t>
  </si>
  <si>
    <t xml:space="preserve"> Consórcio Expresso 2 de Julho  (Áyla Construtora S/A, OECI S/A., Metro Engenharia e MPE Engenharia e serviços</t>
  </si>
  <si>
    <t xml:space="preserve"> Consórcio Sistemas Salvador ( MPE Engenharia e Serviços S/A, CETENCO Engenharia S/A, TRANSVIA Engenharia  e Sistemas Ltda</t>
  </si>
  <si>
    <t>CSO Engenharia</t>
  </si>
  <si>
    <t>ENGEC CONSTRUTORA LTDA</t>
  </si>
  <si>
    <t>COESA CONSTRUÇÕES E MONTAGENS SA</t>
  </si>
  <si>
    <t>980607/2025</t>
  </si>
  <si>
    <t xml:space="preserve"> 980605/2025</t>
  </si>
  <si>
    <t>TRILHO ENGENHARIA LTDA</t>
  </si>
  <si>
    <t>CBS CONSTRUTORA BAHIANA DE SANEAMENTO LTDA</t>
  </si>
  <si>
    <t>METRO Engenharia Ltda</t>
  </si>
  <si>
    <t>Consórcio Mais Saúde Amargosa (Construtora J Souto Ltda / Hangar Empresarial Empreendimento Imobiliário Ltda)</t>
  </si>
  <si>
    <t>Consórcio HMR Sisal (Agservice Engenharia Ltda / Controltec Engenharia Ltda)</t>
  </si>
  <si>
    <t>Holtz Engenharia Ltda</t>
  </si>
  <si>
    <t>ART PROJETOS CONSTRUÇÕES E SERVIÇOS LTDA</t>
  </si>
  <si>
    <t>OBRAS DE MACRODRENAGEM E COMPLEMENTAÇÃO DA MACRODRENAGEM DA RUA NILO PEÇANHA (BAIXA DO FISCAL), NO BAIRRO DE URUGUAI, NA CIDADE DE SALVADOR - BAHIA</t>
  </si>
  <si>
    <t>Consórcio Macrodrenagem CBS Construtora Bahiana de Saneamento Ltda / Klao Engenharia S/A</t>
  </si>
  <si>
    <t xml:space="preserve">PROJETO BÁSICO CONCLUÍDO </t>
  </si>
  <si>
    <t>PROJETO BÁSICO CONCLUÍDO</t>
  </si>
  <si>
    <t>PROJETO BÁSICO EM ANDAMENTO</t>
  </si>
  <si>
    <t>PROJETO A LICITAR</t>
  </si>
  <si>
    <t>ANTEPROJETO</t>
  </si>
  <si>
    <t>Previsão de publicação de edital, condicionada  a captação de recursos</t>
  </si>
  <si>
    <t>Acompanhar execução das obras (prazo contratual considerado inexequível para conclusão total da obra).</t>
  </si>
  <si>
    <t>PROJETO BÁSICO</t>
  </si>
  <si>
    <t>ESTUDO</t>
  </si>
  <si>
    <t>Projeto apresentado pela Prefeitura sem elementos mínimos para seleção pelo Ministério das Cidades</t>
  </si>
  <si>
    <t>C. E R. Engenharia Ltda</t>
  </si>
  <si>
    <t>Pejota Construções Ltda</t>
  </si>
  <si>
    <t>Construtora Franco Araújo Ltda</t>
  </si>
  <si>
    <t>Ambiente Engenharia Ltda</t>
  </si>
  <si>
    <t>Camel Empreendimentos e Construções Ltda</t>
  </si>
  <si>
    <t>CCP Construções e Locações de Equipamentos Ltda</t>
  </si>
  <si>
    <t xml:space="preserve">Emprenge Construtora LTda </t>
  </si>
  <si>
    <t>Consórcio Camel Terral SES Caldas do Jorro (Camel Empreendimentos e Construções Ltda e Terral Construtora Ltda.)</t>
  </si>
  <si>
    <t>BNA ENGENHARIA LTDA</t>
  </si>
  <si>
    <t>Pacto Projetos e Obras Ltda</t>
  </si>
  <si>
    <t>D. Carvalho Empreendimentos Ltda</t>
  </si>
  <si>
    <t>Bessa Engenharia Ltda</t>
  </si>
  <si>
    <t>Engec Construtora Ltda</t>
  </si>
  <si>
    <t>Roble Serviços Ltda</t>
  </si>
  <si>
    <t>Metro Engenharia e Consultoria Ltda</t>
  </si>
  <si>
    <t>Consórcio Barragem Baráunas (RCA Construções e Construtora Augusto Velloso S.A)</t>
  </si>
  <si>
    <t>Consórcio Barragem Rio da Caixa (RCA, COASTAL e CMR4)</t>
  </si>
  <si>
    <t>CONSÓRCIO CNA (Constituído pelas empresas, CETENCO ENGENHARIA S.A, NOVATEC CONSTRUÇÕES E EMPREENDIMENTOS LTDAe AJDV ENGENHARIA S.A)</t>
  </si>
  <si>
    <t>55271/2025
56000000359/2025</t>
  </si>
  <si>
    <t>55272/2025
56000000361/2025</t>
  </si>
  <si>
    <t>PLANEJAMENTO ORÇAMENTÁRIO</t>
  </si>
  <si>
    <t>PLANEJAMENTO ORÇAMENTÁRIO SEM O VALOR CONTRATADO</t>
  </si>
  <si>
    <t>· Alocação da dotação orçamentária necessária para a cobertura da despesa;</t>
  </si>
  <si>
    <t xml:space="preserve"> Regime de Execução: Empreitada por Preço Global
 A contrapartida e o valor complementar são de responsabilidade da EMBASA. 
Ordem de Serviço emitida em 02/09/2024 - retomada de obra (informação EMBASA);
Contrato assinado em 27/8/24 com o Consórcio CNA (Cetenco Eng. S.A, Novatec Construções
e Emp. Ltda e AJDV Engenhariada - valor R$ 242.443.812,89
</t>
  </si>
  <si>
    <t>PLANEJAMENTO ORÇAMENTÁRIO DESCONSIDERANDO AS OBRAS JÁ CONTRATADAS</t>
  </si>
  <si>
    <t>56000000899/2025
55977/2025</t>
  </si>
  <si>
    <t>56000001616/2025
56011/2025</t>
  </si>
  <si>
    <t>56000001639/2025
56014/2025</t>
  </si>
  <si>
    <t>Ampliação do Sistema Integrado de Abastecimento de Água de Jordão (1ª Etapa)</t>
  </si>
  <si>
    <t>Ampliação do Sistema Integrado de Abastecimento de Água no município de Ipiaú (1ª etapa)</t>
  </si>
  <si>
    <t>Ampliação do Sistema Integrado de Abastecimento de Água no município de Ipiaú (2ª etapa)</t>
  </si>
  <si>
    <t xml:space="preserve">
1ª Etapa - Monitorar execução da obra
</t>
  </si>
  <si>
    <t>Projeto Básico Concluído</t>
  </si>
  <si>
    <t>PROJETO BÁSICO EM ANDAMENTO
Conclusão prevista para agosto/26</t>
  </si>
  <si>
    <t>PROJETO BÁSICO EM ANDAMENTO
Conclusão prevista para abr/26</t>
  </si>
  <si>
    <t>Ampliação do Sistema de Abastecimento de Água -  Miguel Calmon / Piritiba / M. Novo - 2ª Etapa</t>
  </si>
  <si>
    <t>REDE GANHA
TEMPO DE SERVIÇOS EMPRESARIAIS LTDA.</t>
  </si>
  <si>
    <r>
      <rPr>
        <sz val="16"/>
        <rFont val="Calibri"/>
        <family val="2"/>
      </rPr>
      <t>DOE - 06/11 Resumo de Contrato 103/2025
Licitante vencedor - Consórcio Dom Avelar (PEJOTA Construções LTDA/ IDEAL Construção e Pavimentação LTDA
Valor R$ 42.741.860,13</t>
    </r>
    <r>
      <rPr>
        <b/>
        <sz val="16"/>
        <rFont val="Calibri"/>
        <family val="2"/>
      </rPr>
      <t xml:space="preserve">
</t>
    </r>
    <r>
      <rPr>
        <sz val="16"/>
        <rFont val="Calibri"/>
        <family val="2"/>
      </rPr>
      <t>AIL Ministério das Cidades: 02/06/25</t>
    </r>
    <r>
      <rPr>
        <b/>
        <sz val="16"/>
        <rFont val="Calibri"/>
        <family val="2"/>
      </rPr>
      <t xml:space="preserve">
</t>
    </r>
  </si>
  <si>
    <t>Monitorar a execução da obra.</t>
  </si>
  <si>
    <t>56000001639/2025
55977/2025</t>
  </si>
  <si>
    <t>56000000899/2025
56011/2025</t>
  </si>
  <si>
    <t>56000001616/2025
55977/2025</t>
  </si>
  <si>
    <t>Programa de aquisição de equipamentos para cooperativas e outras formas de associações de catadores de materiais reutilizáveis e recicláveis em municípios do estado da Bahia.</t>
  </si>
  <si>
    <t xml:space="preserve">Elaboração de projetos, construção de Unidades de Triagem e Valorização de Materiais Recicláveis com aquisição de equipamentos necessários ao seu funcionamento, a serem realizadas em municípios do estado da Bahia. </t>
  </si>
  <si>
    <t xml:space="preserve">                  
 *Elaboração de TR e Edital                                                             
*Publicação da Licitação
*VRPL 
*AIO
*OS
*Execução da Obra 
                                                   </t>
  </si>
  <si>
    <t>58032/2025
 42000000345/2023</t>
  </si>
  <si>
    <t xml:space="preserve">*Elaboração de TR e Edital                                                             
*Publicação da Licitação
*VRPL 
*AIO
*OS
*Execução da Obra </t>
  </si>
  <si>
    <t xml:space="preserve">058030/2025
42000000075/2024
</t>
  </si>
  <si>
    <t>G1 LOTE 01 - PDE 050 Complementar - Rua Klesus Rocha / Bairro São Marcos</t>
  </si>
  <si>
    <t>963496/2024</t>
  </si>
  <si>
    <t>https://governodabahia.plataformatarget.com.br/web/f17cfaf2-e3fd-4919-9170-109c1eca1e29/home</t>
  </si>
  <si>
    <t>https://governodabahia.plataformatarget.com.br/web/b7fa6ee0-c049-45cf-888e-6a31d5eef6ed/home</t>
  </si>
  <si>
    <t>https://governodabahia.plataformatarget.com.br/web/821e34eb-15da-4c5d-9b52-599e9845f198/home</t>
  </si>
  <si>
    <t>https://governodabahia.plataformatarget.com.br/web/1643e7c0-9f7b-4aa4-90bd-e5ebd2f50213/home</t>
  </si>
  <si>
    <t>https://governodabahia.plataformatarget.com.br/web/6d7ba0de-62dd-4736-b46c-bb49ee2b3250/home</t>
  </si>
  <si>
    <t>https://governodabahia.plataformatarget.com.br/web/2a4083e6-14f8-4a7d-8d73-a143cb7ce3cc/home</t>
  </si>
  <si>
    <t>https://governodabahia.plataformatarget.com.br/web/4f6dfd1a-5b52-4653-bb57-639d2b5b82eb/home</t>
  </si>
  <si>
    <t>https://governodabahia.plataformatarget.com.br/web/47425092-07ba-4b58-b557-ad411c22de08/home</t>
  </si>
  <si>
    <t>https://governodabahia.plataformatarget.com.br/web/5e139a31-ae59-4141-8cd9-5457befc5093/home</t>
  </si>
  <si>
    <t>https://governodabahia.plataformatarget.com.br/web/736b9fb3-e1f0-4bb4-a0a3-5fafe140fa3e/home</t>
  </si>
  <si>
    <t>https://governodabahia.plataformatarget.com.br/web/57f8f718-e375-4249-92fd-8d4858c9107b/home</t>
  </si>
  <si>
    <t>https://governodabahia.plataformatarget.com.br/web/b668f41d-f5ff-4f3d-a8e0-9551c490a35d/home</t>
  </si>
  <si>
    <t>https://governodabahia.plataformatarget.com.br/web/f967d55b-172f-4940-b73a-3c8693294f4e/home</t>
  </si>
  <si>
    <t>https://governodabahia.plataformatarget.com.br/web/81c8419e-e022-45e3-bb23-58c782d22dae/home</t>
  </si>
  <si>
    <t>https://governodabahia.plataformatarget.com.br/web/29a9528d-0178-492f-8683-c38b59f25bfd/home</t>
  </si>
  <si>
    <t>CONSÓRCIO DOM AVELAR , PEJOTA CONSTRUÇÕES LTDA. IDEAL CONSTRUCAO E PAVIMENTACAO LTDA</t>
  </si>
  <si>
    <t>Implantação do Sistema de Esgotamento Sanitário Pojuca Norte (1ª Etapa)</t>
  </si>
  <si>
    <t>Implantação do Sistema de Esgotamento Sanitário Pojuca Norte(2ª Etapa)</t>
  </si>
  <si>
    <t>CAMEL EMPREENDIMENTOS E CONSTRUÇÕES LTDA</t>
  </si>
  <si>
    <t xml:space="preserve">Centro Cultural da Casa do Samba                       Execução de projetos arquitetônicos, restauração e projeto complementares, visando a posterior execução das obras de Restauração do Solar do Conde de Subaé para A Requalificação do Centro Cultural da Casa do Samba, destinado as manifestações culturais ligadas ao Samba. </t>
  </si>
  <si>
    <t xml:space="preserve">Conjunto Arquitetônico do Ilê Maroialaji – Terreiro do Alaketu         Contratação de empresa especializada para a concepção e execução de projetos de arquitetura, de engenharia e complementares, como subsídio para execução das obras civis que visam a Revitalização do Conjunto Arquitetônico do Ilê Maroialaji – Terreiro do Alaketu e entorno imediato. </t>
  </si>
  <si>
    <t>Centro Histórico de Salvador                         Projetos de recuperação de casarões para habitação social no Centro Histórico de Salvador.</t>
  </si>
  <si>
    <t xml:space="preserve">Casa Berquó e Casa dos Sete Candeeiros             Restauração e modernização das instalações da Casa Berquó e seu entorno paisagístico.                                           </t>
  </si>
  <si>
    <t>Conclusão do projeto, em elaboração pela SIT. 
OBS: Prazo alterado de 31/12/2025 para até o final do primeiro semestre de 2026. (Após vistorias técnicas a empresa contratada apresentou uma alternativa de traçado que será analisada pela DPPE-SIT e posteriormente submetido ao DNIT para início do projeto) 
Definir prazo para captação de financiamento junto ao BNDES para execução das obras. Avaliar a transferência da rodovia para o DNIT, conforme planejamento SNV2025.</t>
  </si>
  <si>
    <t>- Estado captar financiamento junto ao BNDES para execução da obra ou transferir execução para o DNIT, conforme planejamento SNV2025;
- Conclusão da elaboração do projeto (180 dias), conforme contrato. Nova Previsão de conclusão aterada de DEZ/25 para até 1º semestre de 2026;
- Licitação da obra.</t>
  </si>
  <si>
    <t>F03 - EXECUÇÃO DO OBJETO</t>
  </si>
  <si>
    <t>Ampliação do Sistema de Esgotamento Sanitário de Feira de Santana - Bacia do Pojuca.</t>
  </si>
  <si>
    <t>Obra concluída.</t>
  </si>
  <si>
    <t>CT 029/2024 - Obra concluída em 17/11/2025.</t>
  </si>
  <si>
    <t>Monitorar execução da obra.</t>
  </si>
  <si>
    <t>https://governodabahia.plataformatarget.com.br/web/4b5b63aa-90ef-4690-9cf3-f53e23f6f1af/home</t>
  </si>
  <si>
    <t>https://governodabahia.plataformatarget.com.br/web/cbe4a876-f31f-4b17-bd39-89c0ec64f2ad/home</t>
  </si>
  <si>
    <t>986328/2025</t>
  </si>
  <si>
    <t>https://governodabahia.plataformatarget.com.br/web/7553743c-3d9f-49f4-9a73-e54703061a53/home</t>
  </si>
  <si>
    <t>https://governodabahia.plataformatarget.com.br/web/1f0f6d33-55e4-40a4-a5ad-2ed2955a7727/home</t>
  </si>
  <si>
    <t>https://governodabahia.plataformatarget.com.br/web/e1a06979-1d33-4a3a-b669-71a421759511/home</t>
  </si>
  <si>
    <t>https://governodabahia.plataformatarget.com.br/web/a368f2a2-bdaf-418b-8da4-8f655ad84ce1/home</t>
  </si>
  <si>
    <t>https://governodabahia.plataformatarget.com.br/web/476e969b-d25c-4a50-91d8-cd75c5477be4/home</t>
  </si>
  <si>
    <t>https://governodabahia.plataformatarget.com.br/web/09b94a98-d5a2-4963-b876-8f84ca5ae0a5/home</t>
  </si>
  <si>
    <t>https://governodabahia.plataformatarget.com.br/web/ec99f312-b3a8-4405-b441-ec5df516fecc/home</t>
  </si>
  <si>
    <t>https://governodabahia.plataformatarget.com.br/web/0aceb628-d72a-457b-91c9-9b1ff9c87fdf/home</t>
  </si>
  <si>
    <t>https://governodabahia.plataformatarget.com.br/web/487a10b9-7f10-4054-aa25-25e6dcebdabb/home</t>
  </si>
  <si>
    <t>Ordem de Serviço
Execução da Obra</t>
  </si>
  <si>
    <r>
      <t xml:space="preserve">OS Assinada dia 09/12/25
AIO emitida 03/12
</t>
    </r>
    <r>
      <rPr>
        <sz val="16"/>
        <rFont val="Calibri"/>
        <family val="2"/>
      </rPr>
      <t>LP 026/25 - Resumo de Contrato publicado no DOE 12/08
Ctr.: 075/2025</t>
    </r>
    <r>
      <rPr>
        <b/>
        <sz val="16"/>
        <rFont val="Calibri"/>
        <family val="2"/>
      </rPr>
      <t xml:space="preserve">
</t>
    </r>
    <r>
      <rPr>
        <sz val="16"/>
        <rFont val="Calibri"/>
        <family val="2"/>
      </rPr>
      <t>Empresa Vencedora:  COESA CONSTRUÇÕES E MONTAGENS SA
Valor Contratado: R$16.698.771,58</t>
    </r>
  </si>
  <si>
    <t>05</t>
  </si>
  <si>
    <t>18 - NÃO HABILITADA</t>
  </si>
  <si>
    <t>10 - AGUARDANDO PUBLICAÇÃO</t>
  </si>
  <si>
    <t>12 - EM COMPLEMENTAÇÃO</t>
  </si>
  <si>
    <t>Ampliação do Sistema de Abastecimento de Água do Município de Itaberaba (beneficiando os municípios de Itaberaba, Ruy Barbosa, Macajuba e Baixa Grande</t>
  </si>
  <si>
    <t>986128/2025</t>
  </si>
  <si>
    <r>
      <t xml:space="preserve">TC celebrado  - 04/12/2025
</t>
    </r>
    <r>
      <rPr>
        <sz val="16"/>
        <rFont val="Calibri"/>
        <family val="2"/>
      </rPr>
      <t>Plano de Trabalho, empenho e abertura da conta vinculada</t>
    </r>
  </si>
  <si>
    <t>TC celebrado  - 04/12/2025
Plano de Trabalho, empenho e abertura da conta vinculada</t>
  </si>
  <si>
    <t>Anteprojeto
Projeto básico
Termo de Referência
propriedade do imóvel
licenciamento ambiental</t>
  </si>
  <si>
    <t xml:space="preserve"> 986329/2025</t>
  </si>
  <si>
    <t>986329/2025</t>
  </si>
  <si>
    <t>https://governodabahia.plataformatarget.com.br/web/0c14baa2-28fe-4b84-b57d-4f50a921337b/home</t>
  </si>
  <si>
    <t>Grupo 1 - MACRODRENAGEM LARGO DA CALÇADA</t>
  </si>
  <si>
    <t>Grupo 1 -  MACRODRENAGEM AV. LUIS TARQUINIO/HOSP. IRMÃ DULCE</t>
  </si>
  <si>
    <t>Grupo 1 - Obras de infraestrutura para sistemas de drenagem urbano sustentável e de manejo de águas pluviais, localizada no município de Vitória da Conquista - (obra em duas etapas)</t>
  </si>
  <si>
    <t xml:space="preserve">Grupo 2 - MACRODRENAGEM PARA REQUALIFICAÇÃO DO TRECHO URBANO DO RIO ITANHÉM EM MEDEIROS NETO/BA E ATENUAÇÃO DAS INUNDAÇÕES - Obra em duas etapas - 
Fase 1 - 1.050 m no rio Itanhém (parcial)
Fase 2 - 1.205 m ao longo do eixo principal do rio
Itanhém (parcial); 552,7 m ao longo do eixo secundário do rio Itanhém (contorno da ilha - total) </t>
  </si>
  <si>
    <t>Grupo 2 - Macrodrenagem para requalificação do trecho urbano do Rio Colonia (Obra em quattro etapas)</t>
  </si>
  <si>
    <t>Grupo 2 - MACRODRENAGEM NOS CANAIS RIACHO DO MALHADA E RIACHO DO
MULUNGU – JUAZEIRO ETAPA 2</t>
  </si>
  <si>
    <t xml:space="preserve">Grupo 2 - MACRODRENAGEM ENTORNO DO CAMPO E HOSPITAL REGIONAL </t>
  </si>
  <si>
    <t xml:space="preserve">Grupo 2 - MACRODRENAGEM PARA O ACESSO À ETIB </t>
  </si>
  <si>
    <t>Grupo 2 - Requalificação do Trecho Urbano do Rio Jiquiriçá e Atenuação das Inundações em Ubaíra/BA</t>
  </si>
  <si>
    <t>56000001639/2025
56011/2025</t>
  </si>
  <si>
    <t>Ampliação do Sistema Integrado de Abastecimento de Água de Jordão (obra dividida por etapas) (beneficiando as localidades de Barra do Jacuípe, Monte Gordo, Guarajuba, Itacimirim, Jordão, Emboacica e Coqueiro). (2ª Etapa)</t>
  </si>
  <si>
    <t>CT 100/2025 - Monitorar execução da obra com previsão de conclusão 15/02/2027.</t>
  </si>
  <si>
    <t xml:space="preserve">
Monitorar execução da obra. 
</t>
  </si>
  <si>
    <t>08/01/2026 - Projeto em execução, com conclusão prevista para Abril/26.
Pendente estado captar financiamento junto ao BNDES para execução da obra.
Obs: Trecho coincidente com o plenejamento do DNIT (BR-420), conforme relatório SNV2025.</t>
  </si>
  <si>
    <t xml:space="preserve">Licitar </t>
  </si>
  <si>
    <t>Processo SEI 100.0848.2024.0032454-53
RESUMO DE EXTRATO DO CONTRATO Nº 25.2.0438.3.
Contratado: Banco Nacional de Desenvolvimento Econômico e Social - BNDES (CNPJ 33.657.248/0001-89). Objeto: Contratação de financiamentos destinados à execução de obras de implantação do Sistema de Esgotamento Sanitário Pojuca Norte, no município Mata de São João, com recursos do FGTS, via Programa Saneamento para Todos. Valor Contratado: R$ 95.362.242,78.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</si>
  <si>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25.2.0438.2.
Contratado: Banco Nacional de Desenvolvimento Econômico e Social - BNDES (CNPJ 33.657.248/0001-89). Objeto: Contratação de financiamentos destinados à execução de obras de implantação do Sistema de Esgotamento Sanitário na sede do município de Pojuca, com recursos do FGTS, via Programa Saneamento para Todos. Valor Contratado: R$ 133.713.948,71. Execução: 19 anos. Assinado em 30/12/2025. Origem: Dispensa de Licitação (homologada pela RC n° 185/2024). Unidade Gestora: DF/FAF/FAFC. Salvador/BA, 05/01/2026. Marcela Passos Lima - Diretora Financeira e Comercial.</t>
  </si>
  <si>
    <t>Empenho enviado ao IPHAN 03/07/2024
Paracer com novo valor apoiado R$ 1.000.000,00
Publicação no diário da União dia 20/01/2025</t>
  </si>
  <si>
    <t xml:space="preserve">
Empenho enviado ao IPHAN 21/06/2024
</t>
  </si>
  <si>
    <t xml:space="preserve">
Empenho enviado ao IPHAN 21/06/2024
Publicação no diário da União dia 20/01/2025
</t>
  </si>
  <si>
    <t xml:space="preserve">Paracer com novo valor apoiado R$ 312.500,00
Empenho enviado ao IPHAN 01/07/2024
Publicação no diário da União dia 20/01/2025
</t>
  </si>
  <si>
    <t xml:space="preserve">LICITAÇÃO 043.4098.2025.0011436-77
Publicado no DOE  09/09/2025
Abertura 17/11/2025
LICITAÇÃO FRACASSADA
IPHAN e SEDUR/SH dialogando para definição de inclusão de mais casarões nesta licitação. Casarões que estavam contemplado na avaliação de uma MIP mas que têm indicação do Ministério para receber recurso OGU. (nf. 09/01/26)
Empenho enviado ao IPHAN  21/06/2024
Paracer com novo valor apoiado R$ 1.000.000,00
Publicação no diário da União dia 05/12/2024
</t>
  </si>
  <si>
    <t>Processo SEI 100.0848.2024.0032454-53
RESUMO DE EXTRATO DO CONTRATO Nº 25.2.0438.4.
Contratado: Banco Nacional de Desenvolvimento Econômico e Social - BNDES (CNPJ 33.657.248/0001-89). Objeto: Contratação de financiamentos destinados à execução de obras de ampliação do Sistema de Esgotamento Sanitário do Município de Mata de São João (ETE Praia do Forte e ETE Iberostar), com recursos do FGTS, via Programa Saneamento para Todos. Valor Contratado: R$ 89.186.425,26. Execução: 19 anos. Assinado em 30/12/2025. Origem: Dispensa de Licitação (homologada pela RC n° 185/2024). Unidade Gestora: DF/FAF/FAFC. Salvador/BA, 05/01/2026. Marcela Passos Lima - Diretora Financeira e Comercial.</t>
  </si>
  <si>
    <t xml:space="preserve">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
</t>
  </si>
  <si>
    <t>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</si>
  <si>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25.2.0438.1.
Contratado: Banco Nacional de Desenvolvimento Econômico e Social - BNDES (CNPJ 33.657.248/0001-89). Objeto: Contratação de financiamentos destinados à execução de obras de ampliação do Sistema de Esgotamento Sanitário do município de Lauro de Freitas, com recursos do FGTS, via Programa Saneamento para Todos. Valor Contratado: R$ 167.575.521,45. Execução: 19 anos. Assinado em 30/12/2025. Origem: Dispensa de Licitação (homologada pela RC n° 185/2024). Unidade Gestora: DF/FAF/FAFC. Salvador/BA, 05/01/2026. Marcela Passos Lima - Diretora Financeira e Comercial.</t>
  </si>
  <si>
    <t>- Conclusão do projeto executivo
- Execução da obra.</t>
  </si>
  <si>
    <t>Aguardando o Ministério se manifestar quanto a inclusão da ação no Novo PAC.</t>
  </si>
  <si>
    <t>PROPONENTE : EMBASA</t>
  </si>
  <si>
    <t>EXTRATO DO CONTRATO Nº 460024410
Processo SEI 100.0917.2025.0045489-72. Contratada: CAMEL EMPREENDIMENTOS E CONSTRUÇÕES LTDA. (CNPJ 05.325.897/0001-47). Objeto: EXECUÇÃO DAS OBRAS DA IMPLANTAÇÃO DO SISTEMA DE ESGOTAMENTO SANITÁRIO DE POJUCA NORTE - 1ª ETAPA. Valor Contratado: R$ 49.455.000,00 (valor global). Execução: 1080 dias. Assinado em 02/12/25. Origem: Licitação nº LC 072/25. Unidade Gestora: EXM / DE. Recursos: Próprios. Salvador/BA, 02/12/25
PROPONENTE : EMBASA</t>
  </si>
  <si>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t>
  </si>
  <si>
    <t>- Apresentação da documentação administrativa para contratação de operações  pela SEPLAN. 
- Validação da proposta pelo Agente Financeiro
- Contratação da operação de crédito 
- Envio do projeto para avaliação de compatibilidade pela Caixa;
- Análise de compatibilidade do projeto pela Caixa; 
- Elaboração de TR e edital para licitar;
- Previsão de publicação do aviso de licitação;
- Contratação do objeto licitado;
- Emissão de OS;
- Atendimento às condicionantes da cláusula resolutiva para 1° desembolso;
- Monitorar execução do objeto;</t>
  </si>
  <si>
    <t xml:space="preserve">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t>
  </si>
  <si>
    <t>Titularidade de àrea, PB, Licença Ambiental préviae Declaração sobre sustentabilidade do objeto, Anteprojeto ou TR Conj Art 12, inc. I ou III, "a", da Port conjuntiva MGI/MF/CGU nº3224</t>
  </si>
  <si>
    <t>986129</t>
  </si>
  <si>
    <t xml:space="preserve">
IQ Construtora Ltda
</t>
  </si>
  <si>
    <t>Consórcio Saneamento Litoral Norte. Empresas:
Alves da Cunha Saneamento, Terceirização e Construção LTDA.; EBISA -Engenharia Brasileira, Industria e Saneamento LTDA. E Meir Serviços e Construções LTDA.</t>
  </si>
  <si>
    <t>SECRETARIA/ ÓRGÃO</t>
  </si>
  <si>
    <t>FONTE DE FINANCIAMENTO</t>
  </si>
  <si>
    <t>FGTS</t>
  </si>
  <si>
    <t>FNAC</t>
  </si>
  <si>
    <t>FGTS – Fundo de Garantia do Tempo de Serviço</t>
  </si>
  <si>
    <t>FI-FGTS – Fundo de Investimento do FGTS</t>
  </si>
  <si>
    <t>FAR – Fundo de Arrendamento Residencial</t>
  </si>
  <si>
    <t>FDS – Fundo de Desenvolvimento Social</t>
  </si>
  <si>
    <t>FNHIS – Fundo Nacional de Habitação de Interesse Social</t>
  </si>
  <si>
    <t>FNAC – Fundo Nacional de Aviação Civil</t>
  </si>
  <si>
    <t>FNS – Fundo Nacional de Saúde</t>
  </si>
  <si>
    <t>FNDE – Fundo Nacional de Desenvolvimento da Educação</t>
  </si>
  <si>
    <t>FUNASA – Fundação Nacional de Saúde (saneamento)</t>
  </si>
  <si>
    <t>FIIs - Fundos de Investimento Imobiliário</t>
  </si>
  <si>
    <t>FAR</t>
  </si>
  <si>
    <t>FDS</t>
  </si>
  <si>
    <t>FI-FGTS</t>
  </si>
  <si>
    <t>FIIs</t>
  </si>
  <si>
    <t>FNDE</t>
  </si>
  <si>
    <t>FNHIS</t>
  </si>
  <si>
    <t>FNS</t>
  </si>
  <si>
    <t>FUNASA</t>
  </si>
  <si>
    <t>Pejota Construções LTDA</t>
  </si>
  <si>
    <t xml:space="preserve">OBRA DE DRENAGEM URBANA </t>
  </si>
  <si>
    <t>Obra de drenagem profunda na sede da cidade</t>
  </si>
  <si>
    <t>- Elaboração de TR e edital para licitar;
- Previsão de publicação do aviso de licitação;
- Contratação do objeto licitado;
- Emissão de OS;
- Atendimento às condicionantes da cláusula resolutiva para 1° desembolso;
- Monitorar execução do objeto;</t>
  </si>
  <si>
    <t xml:space="preserve"> 56000001897/2023</t>
  </si>
  <si>
    <t xml:space="preserve">Contratação da operação de crédito.
Projeto em Fase final de Análise pela CAIXA. </t>
  </si>
  <si>
    <r>
      <t xml:space="preserve">
</t>
    </r>
    <r>
      <rPr>
        <b/>
        <sz val="16"/>
        <rFont val="Calibri"/>
        <family val="2"/>
      </rPr>
      <t xml:space="preserve">OGU:
</t>
    </r>
    <r>
      <rPr>
        <sz val="16"/>
        <rFont val="Calibri"/>
        <family val="2"/>
      </rPr>
      <t xml:space="preserve">-Monitoramento da Execução de Obras;
</t>
    </r>
    <r>
      <rPr>
        <b/>
        <sz val="16"/>
        <rFont val="Calibri"/>
        <family val="2"/>
      </rPr>
      <t>FGTS:</t>
    </r>
    <r>
      <rPr>
        <sz val="16"/>
        <rFont val="Calibri"/>
        <family val="2"/>
      </rPr>
      <t xml:space="preserve">
- Atendimento às condicionantes da cláusula resolutiva para 1° desembolso;</t>
    </r>
  </si>
  <si>
    <r>
      <t xml:space="preserve">Resumo DO CT 010/2026 - Macrodrenagem Bate Facho - DOE 21/01
</t>
    </r>
    <r>
      <rPr>
        <sz val="16"/>
        <rFont val="Calibri"/>
        <family val="2"/>
      </rPr>
      <t>Homologação, Adjudicação e Convocação para assinatura do Contrato - LP 058/25 - publicado no DOE 15/01 - Licitante Vencedor 
Pejota Construções LTDA.</t>
    </r>
  </si>
  <si>
    <t xml:space="preserve">
965999/2024</t>
  </si>
  <si>
    <t>33/2026
56000007872/2025</t>
  </si>
  <si>
    <t>26/2026
56000007894/2025</t>
  </si>
  <si>
    <t>32/2026
56000007895/2025</t>
  </si>
  <si>
    <t>29/2026
56000007896/2025</t>
  </si>
  <si>
    <t>34/2026
56000007897/2025</t>
  </si>
  <si>
    <t>27/2026
56000007911/2025</t>
  </si>
  <si>
    <t>28/2026
56000008072/2025</t>
  </si>
  <si>
    <t>31/2026
56000008082/2025</t>
  </si>
  <si>
    <t>30/2026
56000008200/2025</t>
  </si>
  <si>
    <t>Extrato de Termo Aditivo conforme DOU nº 255 de 22 de novembro de 2024
A CAIXA informa que o Ministério Gestor concedeu, em 22/01/2026, a Autorização para Início de Execução do Objeto (AIO) do Termo de Compromisso 966496/2024 e orienta a SIHS e a CERB a iniciarem imediatamente o procedimento de habilitação no TransfereGov, conforme o Tutorial 05. 
O e‑mail destaca que a Ordem de Serviço deve ser registrada em até 10 dias úteis após a AIO e que, antes do primeiro desbloqueio, devem ser inseridos no sistema a Ordem de Serviço, os cronogramas físico‑financeiros e de desembolso, além das ARTs de execução e fiscalização.</t>
  </si>
  <si>
    <t>CT 029/2024 - Obra concluída em 30/04/2025.</t>
  </si>
  <si>
    <t>Consórcio CRRC CHANGCHUN formado pelas empresas CRRC CHANGCHUN do Brasil Railway Equipamentos e Serviços LTDA e (CRRC BRASIL) e CRRC CHANGCHUN RailWay Vehicles Co. Ltd.(CRRC CHANGCHUN)</t>
  </si>
  <si>
    <t>A DEFINIR</t>
  </si>
  <si>
    <t xml:space="preserve">Acompanhar o envio da documentação para assinatura do Termo de Compromisso. </t>
  </si>
  <si>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</si>
  <si>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Ônibus - 100 Unidades</t>
  </si>
  <si>
    <t>Processo SEI 100.0848.2024.0032454-53
RESUMO DE EXTRATO DO CONTRATO Nº 25.2.0440.1.
Contratado: Banco Nacional de Desenvolvimento Econômico e Social - BNDES (CNPJ 33.657.248/0001-89). Objeto: Contratação de financiamentos destinados à execução de obras de implantação do Sistema de Tratamento de Lodo da ETA de Candeias, no município Candeias, com recursos do FAT - Fundo de Ampara ao Trabalhador. Valor Contratado: R$ 85.413.258,98. Execução: 19 anos. Assinado em 30/01/2026. Origem: Dispensa de Licitação (homologada pela RC n° 185/2024). Unidade Gestora: DF/FAF/FAFC. Salvador/BA, 02/02/2026. Marcela Passos Lima - Diretora Financeira e Comercial.</t>
  </si>
  <si>
    <t>Consórcio Saúde Total / Empresa Líder: Axxo Construtora Ltda</t>
  </si>
  <si>
    <t xml:space="preserve">
Monitorar execução da obra.</t>
  </si>
  <si>
    <t xml:space="preserve">
Monitorar execução da obra.</t>
  </si>
  <si>
    <t>Geox Geotecnia e Engenharia de Obra Ltda</t>
  </si>
  <si>
    <t>Construção de Nova Unidade
Escolar Estadual de Tempo
Integral, através do Programa
do Novo PAC/FNDE – BARRO
ALTO (NTE-01)</t>
  </si>
  <si>
    <t>Construção de Nova Unidade
Escolar Estadual de Tempo
Integral, através do Programa
do Novo PAC/FNDE – IPUPIARA
(NTE-01)</t>
  </si>
  <si>
    <t>Construção de Nova Unidade
Escolar Estadual de Tempo
Integral, através do Programa
do Novo PAC/FNDE – MULUNGU
DO MORRO (NTE-01)</t>
  </si>
  <si>
    <t>Construção de Nova Unidade
Escolar Estadual de Tempo
Integral, através do Programa
do Novo PAC/FNDE – NOVA
ITARANA (NTE-09)</t>
  </si>
  <si>
    <t>Construção de Nova Unidade
Escolar Estadual de Tempo
Integral, através do Programa
do Novo PAC/FNDE – PALMAS
DO MONTE ALTO (NTE-13)</t>
  </si>
  <si>
    <t>Construção de Nova Unidade
Escolar Estadual de Tempo
Integral, através do Programa
do Novo PAC/FNDE – PIRIPÁ
(NTE-20)</t>
  </si>
  <si>
    <t>Enviar a proposta</t>
  </si>
  <si>
    <t>Definir prazo para captação de financiamento junto ao BNDES para execução das obras ou avaliar a transferência da rodovia para o DNIT, conforme planejamento SNV2025.</t>
  </si>
  <si>
    <t>- Levantamento dos serviços remanescentes dos lotes 03 e 04 e definir nova previsão de licitação, pelo DNIT;
- Definir licitação para contratação de empresa para a supervisão das obras.</t>
  </si>
  <si>
    <t>Avaliar articulação junto ao DNIT Sede para que haja conclusão do levantamento dos serviços remanescentes dos lotes 03 e 04, a fim de realizar nova licitação.</t>
  </si>
  <si>
    <r>
      <rPr>
        <b/>
        <sz val="16"/>
        <rFont val="Calibri"/>
        <family val="2"/>
      </rPr>
      <t xml:space="preserve">O prazo para atendimento da cláusula suspensiva referente a résiduos sólidos mudou para 31/05/2026. conforme informação do site Transfergov. 
</t>
    </r>
    <r>
      <rPr>
        <sz val="16"/>
        <rFont val="Calibri"/>
        <family val="2"/>
      </rPr>
      <t>DIA 22/01/2026
CE GIGOV/SA 385/2026 
Assunto: Parecer Técnico de Apontamentos da Análise (PA GIGOV/SA 051/2026)
Ref.: Termo de Compromisso OGU MCIDADES 973966/2025 
dentificamos que alguns documentos da operação supracitada foram anexados no Transfergov, porém não houve envio pelo sistema para a análise da Caixa. Como resultado da pré-análise da documentação, listamos as pendências na FVP – Ficha de Verificação Preliminar.
Assunto: Incorporação de Nota de Empenho
Ref.: Termo de Compromisso OGU MCIDADES 973966/2025 - Operação 1099696-93  - Elaboração de projetos, construção de Unidades de Triagem e Valorização de Materiais Reutilizáveis e recicláveis com a aquisição de equipamentos necessários ao seu funcionamento.
1. Informamos a incorporação dos dados orçamentários e financeiros de recursos empenhados no presente exercício, a saber:
Programa de Trabalho: 17512232200TQ0000
R$ 15.021.396,11 (quinze milhões vinte e um mil trezentos e noventa e seis reais e onze centavos), 444042, Nota de Empenho (NE) nº 2025NE001681, emitida em 02/12/2025.
Em  11/12/2025 através do CE GIGOV/SA nº  5785/2025 Fica alterada para o dia 28/04/2026 o prazo para atendimento da cláusula suspensiva referente a résiduos sólidos.
Em 28 de novembro de 2025 a Portaria MCID Nº 1.381, de 28 de novembro de 2025 altera o prazo da cláusula suspensiva de 30/11 para 30/12/2025.
Conforme Ofício de nº 1174/2025 -SEDUR/GAB/SGT/DRES de 07/11/2025, foi solicitado uma prorrogação de prazo de 8 meses para atendimento da cláusula suspensiva.</t>
    </r>
    <r>
      <rPr>
        <b/>
        <sz val="16"/>
        <rFont val="Calibri"/>
        <family val="2"/>
      </rPr>
      <t xml:space="preserve">
</t>
    </r>
    <r>
      <rPr>
        <sz val="16"/>
        <rFont val="Calibri"/>
        <family val="2"/>
      </rPr>
      <t>Conforme processo nº 80000.010375/2024-01 deferido em 04/11/2025, fica alterado o Publico Alvo. 
(Salvador, Itabuna, Ilhéus, Barreiras, Irecê, Terra Nova, Candeias, Luís Eduardo Magalhães, Tanque Nova e Itaparica)
Termo de compromisso 973966 publicado em
14/05/2025</t>
    </r>
  </si>
  <si>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</si>
  <si>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Atendimento as pendências para retirada da Cláusula suspensiva.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</si>
  <si>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Emissão do LAE. A Conder elaborou um estudo preliminar, já ecaminhado e em posse do município, que atualmente se encontra em fase de planejamento, compatibilização e adequação dos elementos arquitetónicos passíveis de tal demandas e realidades locais. O terreno se locliza próximo á Ruínas do Irapuru muito relevante para memória regional. Terreno possui matrícula e escritura. 
Terrenos definidos e tecnicamente aprovados/ Projetos em desenvolvimento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</si>
  <si>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</si>
  <si>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 indicada não cabe, mas há espaço para ampliação, foi solicitada ajuste da poligonal. Conclusão automática da SPA. Aguardando autorização pela Caixa para licitar. Aguardando definição de recurso compelementar pela Secult. Elaboração de TR e Edital.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</si>
  <si>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 </t>
  </si>
  <si>
    <t>Ofício CE 46/2026 enviado em 04/02/2026 solicitando nova prorrogação de prazo para abertura de licitação dos CEUS da Cultura.Ofício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</si>
  <si>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</si>
  <si>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A Conder elaborou um estudo preliminar, já ecaminhado e em posse do município, que atualmente se encontra em fase de planejamento, compatinilização e adequação dos elementos arquitetónicos passíveis de tal demandas e realidades locais. 
- Ce Gigov 2408/2025 solicitação de complementação.
Terrenos definidos e tecnicamente aprovados/ Projetos em desenvolvimento visando licitação 
Atendimento as pendências para retirada da Cláusula suspensiva.</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</si>
  <si>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em desenvolvimento visando licitação.</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</si>
  <si>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043.4110.2025.0014007-73.  
Solicitação de Ordenador de Despesas 043.4110.2025.0018290-01  enviado para SECULT em 13/10/2025 duplicado.
Aguardando autorização pela Caixa para licitar
Aguardando definição de recurso compelementar pela Secult 
Elaboração de TR e Edital   
Aguardando autorização pela Caixa para licitar
Aguardando definição de recurso compelementar pela Secult 
Elaboração de TR e Edital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</si>
  <si>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visando licitação
Atendimento as pendências para retirada da Cláusula suspensiva.
Retirada da suspensiva 26/08/25.</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</si>
  <si>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aprovados possíveis de licitação.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</si>
  <si>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t>
  </si>
  <si>
    <t>OGU CONTRAPARTIDA COMPLEMENTAR FINANCIAMENTO</t>
  </si>
  <si>
    <t>Ajustar projeto de acordo com interferências observadas após cadastramento das redes da Embasa (água e esgoto) e Bahia Gás.
Solucionar embargo (Prefeitura) parcial da obra de drenagem, devido a um alagamento de uma travessia em rodovia estadual. DNIT está solicitando reunião com Dr. Saulo para tratar a questão.</t>
  </si>
  <si>
    <t xml:space="preserve"> DNIT Sede analisar as revisões dos projetos (baseadas nos achados do TCU), já em ajustes/adequação pela empresa contratada para aprovação final e execução definitiva da obra. Permanece sem prazo estimado para conclusão (29/10).
OBS: Parte da obra, correspondente à 14km de pavimentação (Sub-base, base e revestimento asfáltico) do trecho, está em fase final de aprovação pelo DNIT Sede, no entanto a empresa já deu início à mobilização com limpeza de canteiros e segue na execução de terraplanagem.</t>
  </si>
  <si>
    <t>https://governodabahia.plataformatarget.com.br/web/ddae084d-f628-45fa-b4e1-428313f24101/home</t>
  </si>
  <si>
    <t>Consórcio Faria Lima - L3 - CEU (Construtora Fria Lima/ Leite Engenharia e Consultoria Ltda)</t>
  </si>
  <si>
    <t xml:space="preserve">
AIO emitida em 07/10/2025
</t>
  </si>
  <si>
    <t>37275/2025
36000010391/2025</t>
  </si>
  <si>
    <t>37328/2025
36000010749/2025</t>
  </si>
  <si>
    <t>37346/2025
36000010421/2025</t>
  </si>
  <si>
    <t>AIO emitida em 16/06/2025.</t>
  </si>
  <si>
    <t>Publicado Termo de Compromisso em 30/12/2024: 
Valor de Repasse: R$78.125.000,00
Valor da Contrapartida: R$40.730.611,00
Valor Global: R$118.855.611,00
Valor Contratado da Obra: 118.859.268,17 - Verificar diferença de R$3.657,17.
Obra incluída no NovoPAC, em 07/10/2024, conforme Resolução CGPAC n° 7.
Empresa contratada: CBS Construtora Bahiana de Saneamento Ltda
Houve redução do valor da contrapartida em relação ao previsto originalmente (R$ 40.730.611,00) quando da contratação deste Termo, será necessária formalização de Termo Aditivo de redução de contrapartida para R$ 18.450.505,84 mediante solicitação no Transferegov.
Retificação: O RECEBEDOR alocará, a título de contrapartida, o valor de R$ 18.079.415,12.</t>
  </si>
  <si>
    <t>AIO emitida em 13/06/2025.</t>
  </si>
  <si>
    <t xml:space="preserve">Obra será enquadrada como Licitação Pretérita. </t>
  </si>
  <si>
    <t>FAT</t>
  </si>
  <si>
    <t>FAT - Fundo de Amparo ao Trabalhador</t>
  </si>
  <si>
    <r>
      <t xml:space="preserve">Obra em andamento. O.S. emitida em 29/10/2025. Resumo de Contrato publicado no DOE 24/04
Ctr.: 013/2025
 Área liberada - previsão de mobilização 14/11/25
</t>
    </r>
    <r>
      <rPr>
        <sz val="16"/>
        <rFont val="Calibri"/>
        <family val="2"/>
      </rPr>
      <t>Empresa Vencedora: CSO Engenharia
Valor Contratado: R$ 17.046.630,44</t>
    </r>
  </si>
  <si>
    <r>
      <t xml:space="preserve">Obras em andamento. OS emitida dia 13/06/2025. Resumo de Contrato publicado no DOE 24/04
Ctr.: 013/2025
</t>
    </r>
    <r>
      <rPr>
        <sz val="16"/>
        <rFont val="Calibri"/>
        <family val="2"/>
      </rPr>
      <t>Empresa Vencedora: CSO Engenharia
Valor Contratado: R$18.034.899,44</t>
    </r>
  </si>
  <si>
    <t>-Verificação da Realização do Processo Licitatório - VRPL;
-Autorização do Ministério Gestor para os eventos de assinatura de contratos;
-Autorização para Início de Objeto - AIO
-Assinatura da Ordem de Serviço;
-Monitoramento da Execução de Obras;</t>
  </si>
  <si>
    <t>986130/2025</t>
  </si>
  <si>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</si>
  <si>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Anteprojeto, Titularidade de àrea, PB, Licença Ambiental prévia e Declaração sobre sustentabilidade do objeto, Anteprojeto ou TR Conj Art 12, inc. I ou III, "a", da Port conjuntiva MGI/MF/CGU nº3224</t>
  </si>
  <si>
    <t xml:space="preserve">LR Engenharia Ltda </t>
  </si>
  <si>
    <t xml:space="preserve">
Monitorar a execução da obra
</t>
  </si>
  <si>
    <t>Monitorar andamento das obras.</t>
  </si>
  <si>
    <t xml:space="preserve"> Geox  Geotecnia e Engenharia  De Obras Ltda.</t>
  </si>
  <si>
    <t>DATA DA SELEÇÃO</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</si>
  <si>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</si>
  <si>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</si>
  <si>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</si>
  <si>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</si>
  <si>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</si>
  <si>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</si>
  <si>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</si>
  <si>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421922-59/2013</t>
  </si>
  <si>
    <t>AIO emitida em 06/02/2026.</t>
  </si>
  <si>
    <t>SPA emitido em 06/02/2025.
Valor apoiado pelo Ministério da Saúde,  - Resultado da Seleção, conforme Painel InvestSus: R$ 103.000.000,00.</t>
  </si>
  <si>
    <t>Consórcio CTVUM (CTV Engenharia S.A/ ENGEUM Construções Ltda)</t>
  </si>
  <si>
    <r>
      <t xml:space="preserve">Início da limpeza e mobilização efetuada dia 24/02/2026. 
O.S. emitida em 02/02/2026. 
Após Licitação foi necessário trocar o terreno. O novo terreno foi definido pelo Governador - DUP publicado no DOE 12/09/25
Resumo de Contrato publicado no DOE 24/04
Ctr.: 013/2025
</t>
    </r>
    <r>
      <rPr>
        <sz val="16"/>
        <rFont val="Calibri"/>
        <family val="2"/>
      </rPr>
      <t>Empresa Vencedora: CSO Engenharia
Valor Contratado: R$ 16.631.306,07</t>
    </r>
  </si>
  <si>
    <t>PROJETO BÁSICO
(LICITAÇÃO n.º 025/26
Abertura de Propostas: 27/03/2026)</t>
  </si>
  <si>
    <t xml:space="preserve">
1ª Etapa LC 150/24 - Monitorar execução da obra 
Investimento: R$ 28.699.705,72
Empresa: Camel Empreendimentos e Construções Ltda
Contrato com a empresa: R$ 20.823.856,23
</t>
  </si>
  <si>
    <t>PROJETO BÁSICO EM ANDAMENTO
Conclusão prevista para 28/02/26</t>
  </si>
  <si>
    <t>PROJETO BÁSICO EM ANDAMENTO
Conclusão prevista para 30/04/26</t>
  </si>
  <si>
    <t>PROJETO BÁSICO EM ANDAMENTO
Conclusão prevista para 28/02/2026</t>
  </si>
  <si>
    <t>PROJETO BÁSICO EM ANDAMENTO 
Previsão de conclusão em 28/08/2026</t>
  </si>
  <si>
    <t>Concluir projeto</t>
  </si>
  <si>
    <t>PROJETO BÁSICO EM ANDAMENTO COM PREVISÃO DE CONCLUSÃO EM 30/10/2026</t>
  </si>
  <si>
    <t>Consorcio Construtor Caetite, Constituído Pelas Empresas (R &amp; R Engenharia Ltda (Líder) - Cnpj Nº 03.424.858/0001-71 E Dact Engenharia Ltda - CNPJ Nº 12.047.016/0001-39). (CNPJ 65.125.744/0001-88</t>
  </si>
  <si>
    <t>EXTRATO DO CONTRATO Nº 460024718
Processo SEI 100.0917.2026.0005680-07. Contratada: Consorcio Construtor Caetite, Constituído Pelas Empresas (R &amp; R Engenharia Ltda (Líder) - Cnpj Nº 03.424.858/0001-71 E Dact Engenharia Ltda - CNPJ Nº 12.047.016/0001-39). (CNPJ 65.125.744/0001-88). Objeto: Execução das obras de implantação do sistema de esgotamento sanitário de Caetité- 1ª etapa. Valor Contratado: R$ 107.577.791,32. Execução: 1.080 dias. Assinado em 05/03/26. Origem: Licitação nº LC 083/2025. Unidade Gestora: EXS - DE. Recursos: Próprios. Salvador/BA, 06/03/26. Vítor Augusto do Carmo Sousa - Gerente da Unidade de Licitações e Contratações.</t>
  </si>
  <si>
    <t>Implantação do Sistema de Esgotamento Sanitário de Humildes (Bacia Subaé)</t>
  </si>
  <si>
    <t>PROJETO BÁSICO EM LICITAÇÃO</t>
  </si>
  <si>
    <t>Implantação do Sistema de Esgotamento Sanitário de São Gonçalo dos Campos (Bacia Subaé)</t>
  </si>
  <si>
    <t>(Construtota Kazza Ltda/STS Engenharia Ltda)</t>
  </si>
  <si>
    <t>EXTRATO DO CONTRATO Nº 460024786
Processo SEI 100.0917.2026.0008074-35. Contratada: Pejota Construções LTDA. (CNPJ 03.174.004/0001-84). Objeto: Execução das obras de implantação do sistema de esgotamento sanitário de Rio Real. Valor Contratado: R$ 117.870.000,00. Execução: 1080 dias. Assinado em 11/03/26. Origem: Licitação nº LC 139/25. Unidade Gestora: EXN/DE. Recursos: Próprios. Salvador/BA, 12/03/26. Vítor Augusto do Carmo Sousa - Gerente da Unidade de Licitações e Contratações.</t>
  </si>
  <si>
    <t>Contratação de empresa especializada para elaboração dos projetos básico e executivo e a execução da obra de Macrodrenagem de Bacias no Município de Ipiaú.
Grupo 2 - MACRODRENAGEM 5 BACIAS (Bacias Euclides Neto, Nova Conquista, Getúlio Vargas, 02 de dezembro e Aparecida)</t>
  </si>
  <si>
    <t>Devido ao acréscimo de serviços para atendimento a licença ambiental o valor inicial da obra foi alterado. O Governo do Estado da Bahia conseguiu destinar a dotação complementar para que a execução da obra da Barragem de Morrinhos seja realizada com o êxito esperado pelo Governo Federal e Estadual. Para tanto se faz necessária a formalização do Termo Aditivo para acréscimo da contrapartida estadual.</t>
  </si>
  <si>
    <t>AIO
Monitorar enquadramento como licitação pretérita
Monitorar a obra</t>
  </si>
  <si>
    <t>Proposta não habilitada. 
Previsão de publicação de edital, condicionada  a captação de recursos</t>
  </si>
  <si>
    <t xml:space="preserve">Proposta não habilitada. 
</t>
  </si>
  <si>
    <t>Proposta não habilitada. 
PROJETO BÁSICO
(LICITAÇÃO n.º 025/26
Abertura de Propostas: 27/03/2026)</t>
  </si>
  <si>
    <t>https://governodabahia.plataformatarget.com.br/web/fd115da4-f175-4911-ab0c-f866fa99dc93/home</t>
  </si>
  <si>
    <t>https://governodabahia.plataformatarget.com.br/web/24f98c53-1b0e-458b-9ce7-f91d836209cd/home</t>
  </si>
  <si>
    <t>https://governodabahia.plataformatarget.com.br/web/011338d0-7995-41e5-9d57-bef9a18d5a12/home</t>
  </si>
  <si>
    <t>https://governodabahia.plataformatarget.com.br/web/93be3a9f-a6ac-4012-9dee-aba5e0f89698/home</t>
  </si>
  <si>
    <t>https://governodabahia.plataformatarget.com.br/web/5d575d0c-fff6-4c4b-bff7-5e9569535645/home</t>
  </si>
  <si>
    <t>https://governodabahia.plataformatarget.com.br/web/67899e11-1f85-4e44-89c6-ed44b9904141/home</t>
  </si>
  <si>
    <t>https://governodabahia.plataformatarget.com.br/web/8d425b99-fdfb-4123-b92d-b527348e280f/home</t>
  </si>
  <si>
    <t>https://governodabahia.plataformatarget.com.br/web/7a42068a-7f30-4c4c-9d3c-2ec828209821/home</t>
  </si>
  <si>
    <t>https://governodabahia.plataformatarget.com.br/web/43a2271d-f063-418c-87f5-719176f9471d/home</t>
  </si>
  <si>
    <t>https://governodabahia.plataformatarget.com.br/web/7fd5d305-5466-4e17-911a-4b0aed1b2df3/home</t>
  </si>
  <si>
    <t>https://governodabahia.plataformatarget.com.br/web/8789c347-5419-4119-ade7-594045c773e3/home</t>
  </si>
  <si>
    <t>https://governodabahia.plataformatarget.com.br/web/ad95b41d-4575-40fa-992b-4bea8a5cde23/home</t>
  </si>
  <si>
    <t>https://governodabahia.plataformatarget.com.br/web/7362145a-bc2b-4968-af86-51e07893b0ea/home</t>
  </si>
  <si>
    <t>https://governodabahia.plataformatarget.com.br/web/c17e03cd-9478-4ad9-b7b3-482597707cc0/home</t>
  </si>
  <si>
    <t>https://governodabahia.plataformatarget.com.br/web/585bfc0f-a140-488d-b6ac-b212a1ba9f55/home</t>
  </si>
  <si>
    <t>https://governodabahia.plataformatarget.com.br/web/05f27b4a-15a6-485a-949b-1d46c52a6162/home</t>
  </si>
  <si>
    <t>https://governodabahia.plataformatarget.com.br/web/97cbfe37-dc59-4556-b532-44aa8b7974ad/home</t>
  </si>
  <si>
    <t>https://governodabahia.plataformatarget.com.br/web/ee7526fa-228f-42ac-9680-bddbc53bfaa0/home</t>
  </si>
  <si>
    <t>https://governodabahia.plataformatarget.com.br/web/0079c93e-4f03-4f21-8338-5eaa31b399b9/home</t>
  </si>
  <si>
    <t>https://governodabahia.plataformatarget.com.br/web/8964b1a5-3d69-48ea-bb80-d90677e13834/home</t>
  </si>
  <si>
    <t>https://governodabahia.plataformatarget.com.br/web/f1fffe89-40d8-4c20-bcd6-d3295c91c163/home</t>
  </si>
  <si>
    <t>https://governodabahia.plataformatarget.com.br/web/49fc86a9-f2e7-42ca-bee7-cce992ffe2da/home</t>
  </si>
  <si>
    <t>https://governodabahia.plataformatarget.com.br/web/96d86e64-1a8f-4b02-b626-c6ee50993abd/home</t>
  </si>
  <si>
    <t>https://governodabahia.plataformatarget.com.br/web/e77ec5ca-826c-4385-9606-dca2d9891624/home</t>
  </si>
  <si>
    <t>https://governodabahia.plataformatarget.com.br/web/6159fbc7-d0a3-46fa-9f16-0ddeaee8b6e6/home</t>
  </si>
  <si>
    <t>https://governodabahia.plataformatarget.com.br/web/189a2781-155b-472c-9c6d-01d0b10616b2/home</t>
  </si>
  <si>
    <t>https://governodabahia.plataformatarget.com.br/web/6289c3ce-9ecf-45d2-87aa-5ad1398eb9ea/home</t>
  </si>
  <si>
    <t>https://governodabahia.plataformatarget.com.br/web/fc5720e9-b456-471a-9f6b-2df10d649844/home</t>
  </si>
  <si>
    <t>https://governodabahia.plataformatarget.com.br/web/ad4b6407-ea23-44e9-be91-479a93c6e88f/home</t>
  </si>
  <si>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Proposta Habilitada.
Trata-se de da aquisição de 200 ônibus para atender aos municípios da RMS Salvador, Camaçari e Lauro de Freitas - sendo 80 elétricos e 120 `Diesel; 
30 carregadores/infraestrutura de recarga para ônibus elétricos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</si>
  <si>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</si>
  <si>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t>LC 118/25 - Monitorar ordem de serviço
Enquadrada como licitação pretérita
Investimento: R$
Empresa: C. E .R. Engenharia Ltda
Contrato com a empresa: R$ 26.469.000,00</t>
  </si>
  <si>
    <t>Ordem de serviço</t>
  </si>
  <si>
    <t xml:space="preserve">CERB enviar documentação </t>
  </si>
  <si>
    <t>G5/G6 LOTE 02 C - Encosta - PDE 276 complementar - Rua Ademir Peixoto -Bairro Praia Grande</t>
  </si>
  <si>
    <t>- Processo de VRPL pendentes de atendimento de deligências (Aprovação na Divisa, Protocolo de Viabilidade do Corpo de Bombeiros, Coelba e Embasa) - Informação SESAB em 08/01/25;
- Os equipamentos serão parte do PAC e o restante recurso será estadual;
- Projetos aceito pela Mandária; SPA emitido em 26/07/2024.</t>
  </si>
  <si>
    <t xml:space="preserve">- Os equipamentos serão parte do PAC e o restante recurso será estadual;
- Projetos aceito pela Mandária; SPA emitido em 08/08/2024.
- Ordem de serviço em 14/10/2024. Novo terreno definido em abril/25, obra retomada com nova ordem de serviço em 24/05/2025.
VRPL Aceito em 07/10/2025.
- Pendências apresentadas na CE 4435/2025-GIGOV/SA para emissão da ordem de serviço.
-  Aguardando TA referente a redução de contrapartida (anteriormente R$699.541,80, passando a ser R$0,00 de contrapartida). </t>
  </si>
  <si>
    <t>- Aguardando TA referente a redução de contrapartida (anteriormente R$699.541,80, passando a ser R$0,00 de contrapartida). 
- Os equipamentos serão parte do PAC e o restante recurso será estadual;
- Projetos aceito pela Mandária; SPA emitido em 07/08/2024.</t>
  </si>
  <si>
    <t>https://governodabahia.plataformatarget.com.br/web/04d20d23-9d08-44f9-b053-5bdea11e5389/home</t>
  </si>
  <si>
    <t>Contratação da operação</t>
  </si>
  <si>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</si>
  <si>
    <t>Não foi selecionada no PAC 2025,  esta escrevendo pelo Proinfra, Banco do Brasil.</t>
  </si>
  <si>
    <t xml:space="preserve"> Pejota Construções Ltda/Geosonda S.A Serviços de Engenharia</t>
  </si>
  <si>
    <t>Habilitada conforme PORTARIA MCID Nº 825, DE 24 DE JULHO DE 2025.
O proponente deve entrar em contato com a Caixa Econômica Federal, Agente Financeiro do programa, para prosseguir à etapa de validação da proposta.
Definição do Estado quanto a publicação de Lei Autorizativa</t>
  </si>
  <si>
    <t>Definição do Estado quanto a publicação de Lei Autorizativa</t>
  </si>
  <si>
    <t>Definição do Estado quanto a publicação da Lei Autorizativa</t>
  </si>
  <si>
    <t xml:space="preserve">Em elaboração do PRMC. Em fase de caracterização dos imóveis e definição do quantitativo de reassentamentos previstos. </t>
  </si>
  <si>
    <t xml:space="preserve">Validação da proposta pelo Agente Financeiro
</t>
  </si>
  <si>
    <t>Validação da proposta pelo Agente Financeiro</t>
  </si>
  <si>
    <t>Validação da proposta pelo Agente Financeiro
Previsão de publicação de edital em 01/09/2026.</t>
  </si>
  <si>
    <t>Publicado Termo de Compromisso em 30/12/2024: 
Valor de Repasse: R$133.789.062,00 
Valor da Contrapartida: R$27.393.336,00 
Valor Global: R$161.182.398,00
Valor Contratado da Obra: R$161.189.600,00 - Verificar diferença de R$7.202,00.
Obra incluída no NovoPAC, em 07/10/2024, conforme Resolução CGPAC n° 7.
Empresa contratada: Consórcio Saúde Alagoinhas (Metro Engenharia e Consultoria Ltda / QG Construções e Engenharia Ltda)
Houve uma redução do valor originalmente contratado (R$ 161.182.398,00, sendo R$ 133.789,062,00 de repasse e R$ 27.393.336,00 de contrapartida) em R$ 84.945.11,34, ficando esse saldo de demais etapas, sendo R$ 57.551.775,34 como saldo de repasse e R$ 27.393.336,00 como saldo de Contrapartida (Inf. CE nº 2258/2025).
Apesar do Termo de Compromisso ter sido assinado com um repasse de R$ 133.789.062,00 e uma contrapartida de R$ 27.393.336,00, apenas R$ 76.237.286,66 do repasse foi utilizado e R$ 0,00 de contrapartida. Ainda não há definição por parte da SESAB sobre como proceder com o valor restante. (Inf. Conder 09/07)
Em fase de checklist final, comissionamento dos ares condicionados, finalização da elétrica, montagem de equipamentos e entrega dos elevadores. (Inf. Conder 02/04)</t>
  </si>
  <si>
    <t>CONSÓRCIO SES BARROCAS. CONSTITUIDO PELAS EMPRESAS, IQ CONSTRUTORA LTDA - LIDER (CNPJ 13.662.064/0001-08), HONDA CONSTRUTORA LTDA (CNPJ 16.895.925/0001-88) E ZACCARA ENHENHARIA LTDA (CNPJ 09.193.698/0001-83)</t>
  </si>
  <si>
    <t>Mobilização foi iniciada dia 13/06/25. Ordem de Serviço foi reemitida em 13/06 devido a um ajuste de contrato, antes tinha sido em 27/05/2025.
CE GIGOV/SA 1711/2025 recepcionado dia 14/05/2025 com Aceite da VRPL.       
Composição do novo Valor de Investimento vigente do T C(após aceite da VRPL):
- Valor de Repasse = R$ 8.466.325,33</t>
  </si>
  <si>
    <t>Monitorar a Execução de obras</t>
  </si>
  <si>
    <t xml:space="preserve"> CBS CONSTRUTORA BAIANA DE SANEAMENTO LTDA</t>
  </si>
  <si>
    <t>CAMURUJIPE - CONTRATAÇÃO DE EMPRESA ESPECIALIZADA PARA DESENVOLVIMENTO DE PROJETOS E EXECUÇÃO DE OBRAS DE MACRODRENAGEM DE COMPLEMENTAÇÃO DA MACRODRENAGEM DO RIO CAMARAJIPE, NA CIDADE DE SALVADOR - BAHIA.</t>
  </si>
  <si>
    <t xml:space="preserve">
- Elaboração de TR e edital para licitar;
- Previsão de publicação do aviso de licitação;
- Contratação do objeto licitado;
- Emissão de OS;
- Atendimento às condicionantes da cláusula resolutiva para 1° desembolso;
- Monitorar execução do objeto;</t>
  </si>
  <si>
    <t>CONDER reunindo documentações complementares solicitadas pela Caixa para posterior submissão para continuidade da análise.</t>
  </si>
  <si>
    <t>Aeroporto (TPS)</t>
  </si>
  <si>
    <t>Aeroporto (INFRA)</t>
  </si>
  <si>
    <t>Aeroporto (EQUIPAMENTOS)</t>
  </si>
  <si>
    <t xml:space="preserve">AIO emitido em 25/03/26 </t>
  </si>
  <si>
    <r>
      <t xml:space="preserve">Expansão Oeste do VLT </t>
    </r>
    <r>
      <rPr>
        <b/>
        <sz val="16"/>
        <rFont val="Calibri"/>
        <family val="2"/>
      </rPr>
      <t xml:space="preserve">LOTE 4 </t>
    </r>
    <r>
      <rPr>
        <sz val="16"/>
        <rFont val="Calibri"/>
        <family val="2"/>
      </rPr>
      <t>- contratação integrada de empresa ou consórcio para elaboração dos projetos
básico e executivo, execução das obras civis e dos sistemas, bem como fornecimento,
instalação, testes e comissionamento necessários à implantação e à ampliação do VLT de
Salvador e Região Metropolitana - RMS, Trecho com 3,75km de extensão, interligando a
Parada Santa Luzia e Baixa do Fiscal a Estação Retiro do Sistema Metroviário de Salvador
e Lauro de Freitas - SMSL
____________
 MACRODRENAGEM AVENIDA GEN SAN MARTINS - Faseada em 02 etapas</t>
    </r>
  </si>
  <si>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______________________________
-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</si>
  <si>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56000008203/2025
56000000899/2025
060847/2025</t>
  </si>
  <si>
    <t>Documentação em análise na CAIXA.</t>
  </si>
  <si>
    <t>Proposta INATIVA. 
Monitorar a execução da obra</t>
  </si>
  <si>
    <t>Termo de Compromisso Nº 992849/2026/MCIDADES/CAIXA</t>
  </si>
  <si>
    <t>Termo de Compromisso Nº 992848/2026/MCIDADES/CAIXA</t>
  </si>
  <si>
    <t>Termo de Compromisso Nº 992814/2026/MCIDADES/CAIXA</t>
  </si>
  <si>
    <t>Termo de Compromisso Nº 992846/2026/MCIDADES/CAIXA</t>
  </si>
  <si>
    <t>Termo de Compromisso Nº 992847/2026/MCIDADES/CAIXA</t>
  </si>
  <si>
    <t>Termo de Compromisso Nº 992845/2026/MCIDADES/CAIXA</t>
  </si>
  <si>
    <t>Termo de Compromisso Nº  992784/2026/MCIDADES/CAIXA</t>
  </si>
  <si>
    <t>Termo de Compromisso Nº 992786/2026/MCIDADES/CAIXA</t>
  </si>
  <si>
    <t>Termo de Compromisso Nº 992785/2026/MCIDADES/CAIXA</t>
  </si>
  <si>
    <t>03 - Cláusula Vigente</t>
  </si>
  <si>
    <t xml:space="preserve">
Monitorar execução da obra.</t>
  </si>
  <si>
    <t>FIOL- Ferrovia de integração Oeste Leste- FIOL 2 (Lote - 05FC)</t>
  </si>
  <si>
    <t>FIOL- Ferrovia de integração Oeste Leste- FIOL 2 (Lote 06FA)</t>
  </si>
  <si>
    <t>FIOL- Ferrovia de integração Oeste Leste- FIOL 2 (Lote 06FD)</t>
  </si>
  <si>
    <t>FIOL- Ferrovia de integração Oeste Leste- FIOL 2 (Lote 07FA)</t>
  </si>
  <si>
    <t>CONSÓRCIO FERROVIÁRIO formado pelas empresas (Construtora A Gaspar S/A Vipetro Construções e Montagens Industriais Ltda.)</t>
  </si>
  <si>
    <t xml:space="preserve">Aguardando emissão de OSElaboração dos projetos básico e executivo de engenharia, bem como para a execução dos serviços remanescentes necessários à conclusão das obras de engenharia do Lote Único (05FC) da Ferrovia de Integração Oeste-Leste (FIOL II), no estado da Bahia, com extensão de 35,75 km.Trecho faz parte do lote 05F que foi subdividio em duas partes(05FC e 05FB). Este trecho tem como impedimentos:variante da Barragem Cerraima </t>
  </si>
  <si>
    <t>Lote 05FB licitado em lote único,  junto com o lote 06FC, incorpora o trecho da Ponte sobre o Rio São Francisco (antes nominado 05FA). Este trecho tem como impedimentos: Territórios Quilombolas.Municipios: Guanambi, Palmas do Monte Alto, Riacho de Santana e Bom Jesus da Lapa</t>
  </si>
  <si>
    <t>Lote  06FA, abrange a maior fatia do antigo lote 06F(subdividido em 03 partes) Este trecho tem como impedimentos: Cavernas, sítios arqueológicosMunicipios: Serra do Ramalho, São Félix do Coribe, Santa Maria da Vitória Correntina</t>
  </si>
  <si>
    <t xml:space="preserve">
*Elaboração do projeto</t>
  </si>
  <si>
    <t xml:space="preserve">
Monitorar execução da obra.</t>
  </si>
  <si>
    <t>CT 013/2026 - Monitorar execução da obra com previsão de conclusão 10/06/2027.</t>
  </si>
  <si>
    <t xml:space="preserve">CT 001/2026 - Monitorar execução da obra com previsão de conclusão 03/02/2027.
</t>
  </si>
  <si>
    <t xml:space="preserve">CT 005/2026 - Monitorar execução da obra com previsão de conclusão 30/01/2027.
</t>
  </si>
  <si>
    <t>CT 001/2026 - Monitorar execução da obra com previsão de conclusão 03/02/2027.</t>
  </si>
  <si>
    <t>CT 005/2026 - Monitorar execução da obra com previsão de conclusão 30/01/2027.</t>
  </si>
  <si>
    <t>CT 096/2025 - Monitorar execução da obra com previsão de conclusão 30/04/2027.</t>
  </si>
  <si>
    <t>CT 056/2025 - Monitorar execução da obra com previsão de conclusão 03/05/2027.</t>
  </si>
  <si>
    <t xml:space="preserve">CT 014/2026 - Monitorar execução da obra com previsão de conclusão 02/09/2027.
</t>
  </si>
  <si>
    <t>CT 014/2026 - Monitorar execução da obra com previsão de conclusão 02/09/2027.</t>
  </si>
  <si>
    <t xml:space="preserve">
CT 016/2026 - Monitorar execução da obra com previsão de conclusão 15/08/2027.</t>
  </si>
  <si>
    <t>CT 016/2026 - Monitorar execução da obra com previsão de conclusão 15/08/2027.</t>
  </si>
  <si>
    <t>CT 055/2025 - Monitorar execução da obra com previsão de conclusão 03/11/2026.</t>
  </si>
  <si>
    <t>CT 071/2025 - Monitorar execução da obra com previsão de conclusão 01/01/2027.</t>
  </si>
  <si>
    <t xml:space="preserve">
CT 094/2025 - Monitorar execução da obra com previsão de conclusão 29/09/2026.</t>
  </si>
  <si>
    <t>CT 094/2025 - Monitorar execução da obra com previsão de conclusão 29/09/2026.</t>
  </si>
  <si>
    <t xml:space="preserve">
CT 099/2025 - Monitorar execução da obra com previsão de conclusão 15/02/2027.</t>
  </si>
  <si>
    <t>CT 099/2025 - Monitorar execução da obra com previsão de conclusão 15/02/2027.</t>
  </si>
  <si>
    <t xml:space="preserve">
CT 111/2025 - Monitorar execução da obra com previsão de conclusão 30/03/2027.</t>
  </si>
  <si>
    <t>CT 111/2025 - Monitorar execução da obra com previsão de conclusão 30/03/2027.</t>
  </si>
  <si>
    <t>CT 009/2026 - Monitorar execução da obra com previsão de conclusão 09/04/2027.</t>
  </si>
  <si>
    <t>CT 008/2026 - Monitorar execução da obra com previsão de conclusão 13/02/2027.</t>
  </si>
  <si>
    <t>https://governodabahia.plataformatarget.com.br/web/4c6d14a1-2bcf-4189-8817-12655bb14e43/home?doAsUserId=null</t>
  </si>
  <si>
    <t>https://governodabahia.plataformatarget.com.br/web/8d73c644-e4bb-4921-a7cf-2b37726f2174/home?doAsUserId=null</t>
  </si>
  <si>
    <t>https://governodabahia.plataformatarget.com.br/web/ea643735-b22d-4056-804f-3427ad344226/home</t>
  </si>
  <si>
    <t>https://governodabahia.plataformatarget.com.br/web/85697ff6-4d36-4545-918c-5924ff3d7015/home</t>
  </si>
  <si>
    <t>https://governodabahia.plataformatarget.com.br/web/4e824811-25fb-44f7-98bb-521ac49ed39c/home</t>
  </si>
  <si>
    <t xml:space="preserve"> IPAC lançou aviso de licitação no DOE 06/03/2026
Abertura das propostas 15/04/26</t>
  </si>
  <si>
    <t>IPAC lançou aviso de licitação no DOE 06/03/2026
Abertura das propostas 20/04/26</t>
  </si>
  <si>
    <t>IPAC lançou aviso de licitação no DOE 06/03/2026
Abertura das propostas 17/04/26</t>
  </si>
  <si>
    <t>Novo Número: 033234/2024
Proposta: 56000001294/2024
026.1279.2025.0002317-15
BB: 1090743</t>
  </si>
  <si>
    <t>Novo Número: 032908/2024
Proposta: 56000000428/2024
026.1279.2025.0003959-12
BB: 1090747</t>
  </si>
  <si>
    <t>Novo Número: 032918/2024
Proposta: 56000000515/2024
026.1279.2025.0003960-48
BB: 1090749</t>
  </si>
  <si>
    <t>Novo Número: 033235/2024
Proposta: 56000000674/2024
026.1279.2025.0003961-29
BB: 1090750</t>
  </si>
  <si>
    <t>Novo Número: 033232/2024
Proposta: 56000001133/2024
026.1279.2025.0003962-18
BB: 1090751</t>
  </si>
  <si>
    <t>Novo Número: 033233/2024
Proposta: 56000001263/2024
026.1279.2025.0003966-33
BB: 1090757</t>
  </si>
  <si>
    <t>Novo Número: 033230/2024
Proposta: 56000001320/2024
BB: 1090753</t>
  </si>
  <si>
    <t>Novo Número: 033236/2024
Proposta: 56000000703/2024
026.1279.2025.0003967-14
BB: 1090758</t>
  </si>
  <si>
    <t>Novo Número: 033229/2024
Proposta: 56000001391/2024
026.1279.2025.0003963-91
BB:  1090752</t>
  </si>
  <si>
    <t>Execução das obras de ampliação do SIAA de Itaparica/Vera Cruz - 1ª etapa, Abertura de Propostas: 26/05/2026 (Licitação BB nº: 1092172)</t>
  </si>
  <si>
    <t xml:space="preserve">Ampliação do Sistema Integrado de Abastecimento de Água de Irecê
</t>
  </si>
  <si>
    <r>
      <t xml:space="preserve">Ampliação do Sistema Integrado de Abastecimento de Água de Irecê
</t>
    </r>
    <r>
      <rPr>
        <b/>
        <sz val="16"/>
        <rFont val="Calibri"/>
        <family val="2"/>
      </rPr>
      <t xml:space="preserve">1ª etapa </t>
    </r>
  </si>
  <si>
    <t>Construtora Pablo LTDA</t>
  </si>
  <si>
    <t xml:space="preserve">
Validação da proposta pelo Agente Financeiro
</t>
  </si>
  <si>
    <t>Validação da proposta pelo Agente Financeiro
Ordem de Serviço</t>
  </si>
  <si>
    <t>NORDESTE ENGENHARIA LTDA</t>
  </si>
  <si>
    <t>https://maps.app.goo.gl/xd1XX3GsfoVqTCkj6?g_st=iw</t>
  </si>
  <si>
    <t>https://governodabahia.plataformatarget.com.br/web/ca69bf35-d351-44e1-9d5c-7f91f6cd929a/home</t>
  </si>
  <si>
    <t xml:space="preserve">Obra incluída no NovoPAC, em 25/07/2025, conforme Resolução CGPAC n° 10.
</t>
  </si>
  <si>
    <t>ART PROJETOS CONSTRUÇÕES E
SERVIÇOS LTDA</t>
  </si>
  <si>
    <t xml:space="preserve">
Monitorar execução da obra. </t>
  </si>
  <si>
    <t xml:space="preserve">- Conclusão do projeto para licitar obra (nova previsão até 30/08/2026;
- Estado captar financiamento junto ao BNDES para execução da obra </t>
  </si>
  <si>
    <t>https://maps.app.goo.gl/dLtBLxMx8JxsgC4t9</t>
  </si>
  <si>
    <t>G7 - ETAPA 1 - PDE 119.3 Complementar - Rua Ana Cristina - Bairro Campinas de Pirajá</t>
  </si>
  <si>
    <t>G7 - ETAPA 1 - PDE 166 Complementar -  Rua Direta de Pituaçu - Nova Sussuarana</t>
  </si>
  <si>
    <t>G7 - ETAPA 1- PDE 131  Complementar - Rua do Mingau  -  Bairro  Campinas de Pirajá</t>
  </si>
  <si>
    <t xml:space="preserve">G7 - ETAPA 1 - PDE 194 - Travessa das Pedrinhas - Bairro Luis Anselmo </t>
  </si>
  <si>
    <t xml:space="preserve">G7 - ETAPA 1 - PDE 32 Complementar  - Rua Oscar Seixas - Pirajá </t>
  </si>
  <si>
    <t>G7 - ETAPA 1 - PDE 033 - Rua Inácio Azevedo - Pirajá</t>
  </si>
  <si>
    <t xml:space="preserve">G7 - ETAPA 1 - PDE 435 Complementar - Bom Jesus dos Passos /Rua do Tanque </t>
  </si>
  <si>
    <r>
      <t xml:space="preserve">Resultado final, homologação, adjudicação e convocação para assinatura do contrato publicado no DOE 11/05/2026
</t>
    </r>
    <r>
      <rPr>
        <sz val="16"/>
        <rFont val="Calibri"/>
        <family val="2"/>
      </rPr>
      <t xml:space="preserve">Aviso de licitação presencial publicado no DOE  03/02/26 - LP 007/26 previsão de abertura 17/04/26. </t>
    </r>
  </si>
  <si>
    <t>1ª Etapa - Monitorar execução da obra</t>
  </si>
  <si>
    <t xml:space="preserve">
Proposta não habilitada. 
</t>
  </si>
  <si>
    <t>Proposta não habilitada</t>
  </si>
  <si>
    <t xml:space="preserve">
Proposta não habilitada. 
</t>
  </si>
  <si>
    <t>Validação da proposta pelo Agente Financeiro
Abertura em 23/02/2026, em fase de análise das propostas
Ordem de Serviço</t>
  </si>
  <si>
    <t>Publicação do Aviso de Licitação
Recebimento das propostas / Julgamento /
Homologação / Adjudicação / Contratação / Emissão de Ordem de Serviço.</t>
  </si>
  <si>
    <t>CONTRATAÇÃO INTEGRADA DE EMPRESA ESPECIALIZADA PARA DESENVOLVIMENTO DE PROJETOS BASICOS E EXECUTIVOS E EXECUÇÃO DE OBRAS DE MACRODRENAGEM DO CANAL DE BATE FACHO, NO BAIRRO DE PITUAÇU, NA CIDADE DE SALVADOR-BA.</t>
  </si>
  <si>
    <t>Serviços preliminares de limpeza do terreno iniciados em 28/04/2026. Em andamento fechamento da obra com tapume (75% executado).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Publicado contrato no DOE em 05/12/2025. Homologação publicado no DOE em 02/12/2025. Aviso de Licitação Semi-Integrada publicado no DOE em 03/09/2025 (LP - 057/25). Edital disponível em 05/09/2025. Abertura de Propostas realizada em: 10/11/2025. Única Licitante participando: Consórcio Faria Lima - L3 - CEU (Construtora Fria Lima/ Leite Engenharia e Consultoria Ltda).
Ofício CE nº 2281/2025 - GIGOV/AS emitido em 11/06/2025 com Aceite de projeto, retirada da Cláusula Suspensiva e autorização para o Processo Licitatório.
Terrenos definidos e tecnicamente aprovados/ Projetos aprovados possíveis de licitação.</t>
  </si>
  <si>
    <t xml:space="preserve">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para licitar. </t>
  </si>
  <si>
    <t>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do lote para licitar. SEI:043.4110.2025.0013212-11.</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</si>
  <si>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</si>
  <si>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</si>
  <si>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</si>
  <si>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do lote para licitar. SEI:043.4110.2025.0014007-73</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</si>
  <si>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</si>
  <si>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</si>
  <si>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Construção de Escola Indígena na Comunidade Aldeia Gurita Comexatibá, Município de Prado - Ba - conforme Padrão FNDE - Tipologia de 4 Salas de Aula.</t>
  </si>
  <si>
    <t>Construção de Unidade Escolar Indígena no Município de Prado - Ba, na Comunidade Indígena da Aldeia Tibá, Distrito de Cumuruxatiba, conforme Padrão FNDE- Tipologia e3 Salas, destinada à oferta da Educação Escolar Indígena nas diversas etapas da educação básica.</t>
  </si>
  <si>
    <t>Construção de Unidade Escolar Indígena na Comunidade Pankararé - Aaldeia Serrota, localizada no município de Glória - Ba, conforme Padrão do FNDE - Tipologia 2 Salas destinada ao atendimento de Educação Escolar Indígena.</t>
  </si>
  <si>
    <t>Construção de Unidade Escolar Indígena na Comunidade, localizada na Comunidade Kiriri Alto da Jurema, no município de Banzaê, conforme padrões estabelecidos pelo FNDE - Tipologia 5 Salas de Aula.</t>
  </si>
  <si>
    <t>CT 056/2025 - Obra concluída em 16/05/2026.</t>
  </si>
  <si>
    <t>996818</t>
  </si>
  <si>
    <t>996820</t>
  </si>
  <si>
    <t>996822</t>
  </si>
  <si>
    <t>996823</t>
  </si>
  <si>
    <t>OBRA - Projeto Padrão FNDE 04 salas</t>
  </si>
  <si>
    <t>OBRA - Projeto Padrão FNDE 03 salas</t>
  </si>
  <si>
    <t>OBRA - Projeto Padrão FNDE 02 salas</t>
  </si>
  <si>
    <t>OBRA - Projeto Padrão FNDE 05 salas</t>
  </si>
  <si>
    <t>EXTRATO DO CONTRATO Nº 460025107
Processo SEI 100.21248.2026.0017642-16. Contratada: Construtora Pablo Ltda. (CNPJ 14.443.519/0001-59). Objeto: Execução das obras de ampliação do sistema integrado de abastecimento de água de Miguel Calmon - 2ª etapa. Valor Contratado: R$ 26.812.984,88. Execução: 720 dias. Assinado em 20/05/26. Origem: Licitação nº LC 163/25. Unidade Gestora: EXN / DE. Recursos: Próprios. Salvador/BA, 20/05/26. Vítor Augusto do Carmo Sousa - Gerente da Unidade de Licitações e Contratações.</t>
  </si>
  <si>
    <t>Construtora Pablo Ltda.</t>
  </si>
  <si>
    <t>https://governodabahia.plataformatarget.com.br/web/14f0db05-fbe7-4a19-8f21-cafbf90dc063/home</t>
  </si>
  <si>
    <t>https://governodabahia.plataformatarget.com.br/web/bb28691f-da24-4279-a1af-66fb67162fdb/home</t>
  </si>
  <si>
    <t>Definição do Estado quanto a publicação de Lei Autorizativa
Ordem de Serviço condicionada a assinatura do contato de financiamento.</t>
  </si>
  <si>
    <t>CT 004/2026 - Monitorar execução da obra com previsão de conclusão 19/05/2027.</t>
  </si>
  <si>
    <t>https://maps.app.goo.gl/P8Bynu81pn3iitY8A?g_st=iw</t>
  </si>
  <si>
    <t>https://maps.app.goo.gl/3ZP2UX71zTbsKZus7?g_st=iw</t>
  </si>
  <si>
    <t>Proposta em análise pela CAIXA. 
Previsão de publicação de edital, condicionada  a captação de recursos</t>
  </si>
  <si>
    <t>. 
Previsão de publicação de edital, condicionada  a captação de recursos</t>
  </si>
  <si>
    <t>002534/2026</t>
  </si>
  <si>
    <t>002535/2026</t>
  </si>
  <si>
    <t>002533/2026</t>
  </si>
  <si>
    <t>002532/2026</t>
  </si>
  <si>
    <t xml:space="preserve">Secult atender as diligências da Clasula Suspensiva  para Caixa
 </t>
  </si>
  <si>
    <t xml:space="preserve">Titularidade de área, Projeto básico,Licença Ambiental Prévia e Plano de Sustentabilidade </t>
  </si>
  <si>
    <t>980606/2025</t>
  </si>
  <si>
    <t>https://maps.app.goo.gl/skxQSs4DFAn55guK8</t>
  </si>
  <si>
    <t>https://maps.app.goo.gl/Pxi8pZznCeD9eDmL9</t>
  </si>
  <si>
    <t>https://maps.app.goo.gl/fcnaT6Nyi2NyUTK87</t>
  </si>
  <si>
    <t>HIGESA ENGENHARIA LTDA</t>
  </si>
  <si>
    <t>https://maps.app.goo.gl/XnYBQPtkUSUKX6sF6</t>
  </si>
  <si>
    <t>https://maps.app.goo.gl/57J9F4sF91u39w926</t>
  </si>
  <si>
    <t>https://maps.app.goo.gl/VRMtkD8hwYF7tuu3A</t>
  </si>
  <si>
    <t>https://maps.app.goo.gl/ALbYPm2kv33Uj3a59</t>
  </si>
  <si>
    <t>https://maps.app.goo.gl/19AYyS9untL3HG9s6</t>
  </si>
  <si>
    <t>https://maps.app.goo.gl/jDo8AeZjWBfxrNq6A</t>
  </si>
  <si>
    <t>https://maps.app.goo.gl/JY9AP5tWa88733tn7</t>
  </si>
  <si>
    <t xml:space="preserve">https://maps.app.goo.gl/JY9AP5tWa88733tn7 </t>
  </si>
  <si>
    <t>https://maps.app.goo.gl/Yp7KTBCx11AuG8WW9</t>
  </si>
  <si>
    <t>https://maps.app.goo.gl/YuAbFwbBYuTaqJdj7</t>
  </si>
  <si>
    <t>https://maps.app.goo.gl/8gQZ1RP5MyinEnjg9</t>
  </si>
  <si>
    <t>https://maps.app.goo.gl/DmoknvRmZHNhcms59</t>
  </si>
  <si>
    <t>https://maps.app.goo.gl/1zMZ76zQFzMsSfrB9</t>
  </si>
  <si>
    <t>https://maps.app.goo.gl/a81MEnW8YDuaZnWE9</t>
  </si>
  <si>
    <t>https://maps.app.goo.gl/UYT2sWkcHsBrY2ur7</t>
  </si>
  <si>
    <t>https://maps.app.goo.gl/vENtzFFdCvAEkRy96</t>
  </si>
  <si>
    <t>https://maps.app.goo.gl/obs3GWCfoQF3CxEbA</t>
  </si>
  <si>
    <t xml:space="preserve"> https://maps.app.goo.gl/jyiRSkS1Rky4ZPXU9</t>
  </si>
  <si>
    <t>https://maps.app.goo.gl/h6cD8biU7tmCStcX6</t>
  </si>
  <si>
    <t>https://maps.app.goo.gl/TzekwwKGfwZbnKpV6</t>
  </si>
  <si>
    <t>https://maps.app.goo.gl/ZsfmdY2n2tXfJhJy8</t>
  </si>
  <si>
    <t>https://maps.app.goo.gl/3b6UVWQp8dmMiuVs8</t>
  </si>
  <si>
    <t>https://maps.app.goo.gl/3weYqMmj2idV1tyQ6</t>
  </si>
  <si>
    <t xml:space="preserve">
Monitorar execução da obra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</si>
  <si>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</si>
  <si>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</si>
  <si>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r>
      <t xml:space="preserve">Ampliação do sistema integrado de abastecimento de água  de Seabra (Beneficiando as sedes municipais e localidades de Seabra e Boninal)
</t>
    </r>
    <r>
      <rPr>
        <b/>
        <sz val="16"/>
        <rFont val="Calibri"/>
        <family val="2"/>
      </rPr>
      <t>(1ª etapa)</t>
    </r>
  </si>
  <si>
    <t>Enviar documentos para obtenção de AIO</t>
  </si>
  <si>
    <t>Centro Especializado em Reabilitação - CER, Tipo IV</t>
  </si>
  <si>
    <t>CER</t>
  </si>
  <si>
    <t>CAIXA analisar documentação enviada pela CERB</t>
  </si>
  <si>
    <t>LAE / SPA</t>
  </si>
  <si>
    <t>Monitorar a execução da obra
Em análise pelo Ministério a solicitação de PAD - Planilha de Ajustes e Desvios.</t>
  </si>
  <si>
    <t>Elaboração do anteprojeto do VLT trechos Ilha de São João até Mapele em Simões Filho, Mapele até Camaçari, Mapele até Alagoinhas e Alagoinhas até Juazeiro</t>
  </si>
  <si>
    <t xml:space="preserve">
Monitorar a execução da obra
</t>
  </si>
  <si>
    <t xml:space="preserve">
Monitorar a execução da obra
</t>
  </si>
  <si>
    <t>CCP Construções e Locações de Equipamentos LTDA.</t>
  </si>
  <si>
    <r>
      <t xml:space="preserve">
Definição do Estado quanto a publicação de Lei Autorizativa
</t>
    </r>
    <r>
      <rPr>
        <b/>
        <sz val="16"/>
        <color theme="1"/>
        <rFont val="Calibri"/>
        <family val="2"/>
      </rPr>
      <t/>
    </r>
  </si>
  <si>
    <t>AIO emitida de forma indireta, a partir da conclusão de um instrumento contratual pelo usuário em 22/05/26
 VRPL emitido 20/05/26. 
 OS emitida em 07/01/2026 e início da execução em 09/01/2026 (Projetos). Empresa Contratada: Consórcio Faria Lima - L3 - CEU (Construtora Fria Lima/ Leite Engenharia e Consultoria Ltda).</t>
  </si>
  <si>
    <t xml:space="preserve">EXTRATO DO CONTRATO Nº 460025146
Processo SEI 100.21248.2026.0018903-51. Contratada: Pejota Construções LTDA. (CNPJ 03.174.004/0001-84). Objeto: Execução das obras da segunda etapa de ampliação do sistema integrado de abastecimento de água de Ipiaú. Valor Contratado: R$ 23.140.000,00. Execução: 720 dias. Assinado em 26/05/26. Origem: Licitação nº LC 175/25. Unidade Gestora: EXS/DE. Recursos: Próprios. Salvador/BA, 26/05/26. Vítor Augusto do Carmo Sousa - Gerente da Unidade de Licitações e Contratações.
</t>
  </si>
  <si>
    <t>Apontamentos da análise técnica - Etapa Canal de Vitória da Conquista</t>
  </si>
  <si>
    <r>
      <rPr>
        <sz val="16"/>
        <rFont val="Calibri"/>
        <family val="2"/>
      </rPr>
      <t>Resultado da Licitação, Homologação, Adjudicação e Convocação para Ass. do Contrato publ. no DOE 17/10/25
Vencedor: Consórcio Sistemas Salvador ( MPE Engenharia e Serviços S/A, CETENCO Engenharia S/A, TRANSVIA Engenharia  e Sistemas Ltda)
Valor Total: 388.129.296,66</t>
    </r>
    <r>
      <rPr>
        <b/>
        <sz val="16"/>
        <rFont val="Calibri"/>
        <family val="2"/>
      </rPr>
      <t xml:space="preserve"> </t>
    </r>
    <r>
      <rPr>
        <sz val="16"/>
        <rFont val="Calibri"/>
        <family val="2"/>
      </rPr>
      <t xml:space="preserve">
FGTS -  Contratação da operação de crédito.
Despacho publicado no DOU 18/09/25 - Processo nº 17944.003500/2025-11 Autoriza a concessão da garantia da União.
</t>
    </r>
  </si>
  <si>
    <t>Valor apoiado pelo Ministério da Saúde: R$3.100.000,00
Planilha orçamentária: R$3.449.948,73
Inaugurada em 22/05/2026</t>
  </si>
  <si>
    <t>SECRETARIA DE INFRAESTRUTURA HÍDRICA E SANEAMENTO - SIHS
COMPANHIA DE ENGENHARIA HÍDRICA E DE SANEAMENTO DA BAHIA - CERB
Extrato de Contrato nº 034/2026. Processo Sei nº 039.0798.2024.0007917-54. Partes: CERB e Pejota Construções Ltda. Objeto: Contratação de empresa especializada para execução das obras do Sistema Integrado de Abastecimento de Água das localidades de Ibatui, Capianga, Poços, Malhadinha, Gamba, Cinco Estradas, Pedros, Tabuado, Rebolo, Rio da Caatinga, Chapadinha, Augustinho, Chapada do Fogo e Roça Grande, no Município de Entre Rios, Estado da Bahia. Fundamento: Licitação nº 2024026. Valor:  R$ 15.564.213,23 (quinze milhões, quinhentos e sessenta e quatro mil, duzentos e treze reais e vinte e três centavos). Prazo de execução será de 360 (trezentos e sessenta) dias, a contar do 7º dia após a emissão da ordem de serviço expedida pela CERB. Prazo de vigência do contrato será de 480 (quatrocentos e oitenta) dias, iniciando-se a partir do dia útil seguinte a assinatura do contrato pela CERB. Data da Assinatura: 28/05/2026. Larissa Gomes Moraes - Diretora Presidente -CERB.</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</si>
  <si>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</si>
  <si>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</si>
  <si>
    <t xml:space="preserve">Atendimento à Cláusula Suspensiva, devendo ser apresentados os seguintes documentos no Tgov (aba Projeto Básico/Termo de Referência):
 1*  O anteprojeto, quando for adotado o regime de contratação integrada, ou o projeto básico, para os demais regimes de contratação . 2* A comprovação da Titularidade da Área de Intervenção.                                   3* A comprovação da manifestação prévia do órgão ambiental competente ou licença prévia, comprovante de dispensa do licenciamento ambiental ou declaração de que a responsabilidade pela obtenção do licenciamento ambiental será delegada à empresa contratada (art. 25, § 5º, inciso I, da Lei nº 14.133, de 2021).
 4*  Declaração sobre a sustentabilidade do objeto. 
4.1*     Em até sessenta dias, contados da data de emissão do laudo de verificação técnica para retirada da Cláusula Suspensiva, o recebedor deverá apresentar a publicação do edital de licitação ao repassador ou à mandatária.
 4.2*  A conclusão do processo licitatório e o envio para análise da mandatária deverá ocorrer no prazo máximo de cento e vinte dias, contados da data de publicação do edital de licitação.
 4.3* As ordens de serviço para início da execução das obras deverão ser emitidas e registradas no Transferegov.br em até dez dias úteis, contados da data da autorização de início de objeto (AIO).
</t>
  </si>
  <si>
    <t xml:space="preserve">Contratação para inicio das operações da Rota dos Sertões, previsão SET/26.
Concluir o processo de leilão/licitação da Concessão da Rota 2 de Julho. </t>
  </si>
  <si>
    <t>https://maps.app.goo.gl/kkjkEj2YgvwCVFmd6?g_st=iw</t>
  </si>
  <si>
    <t>https://maps.app.goo.gl/2UqqijCSWKzvdqb67?g_st=iw</t>
  </si>
  <si>
    <t>https://maps.app.goo.gl/twd22R7g9MUY82N87?g_st=iw</t>
  </si>
  <si>
    <t>C.Fncto.: 0634.058-14/25</t>
  </si>
  <si>
    <t>T.C: 965811/2024</t>
  </si>
  <si>
    <t>68996/2025
990682/2025</t>
  </si>
  <si>
    <t>Contrato de Financiamento 639.466-65</t>
  </si>
  <si>
    <t>Contrato de Financiamento (CF) 639.468-83</t>
  </si>
  <si>
    <t xml:space="preserve">Contrato de Financiamento (CF) 639.452-02 </t>
  </si>
  <si>
    <t>Contrato de Financiamento (CF) 639.457-54</t>
  </si>
  <si>
    <t>Contrato de Financiamento (CF) 639.463-31</t>
  </si>
  <si>
    <t>Contrato de Financiamento (CF) 639.464-45</t>
  </si>
  <si>
    <t>Contrato de Financiamento (CF) 639-458-68</t>
  </si>
  <si>
    <t>0394941-94/2012</t>
  </si>
  <si>
    <t>06/2018</t>
  </si>
  <si>
    <r>
      <rPr>
        <b/>
        <u/>
        <sz val="16"/>
        <rFont val="Calibri"/>
        <family val="2"/>
      </rPr>
      <t>Informação recebida em 13/08/2025:</t>
    </r>
    <r>
      <rPr>
        <sz val="16"/>
        <rFont val="Calibri"/>
        <family val="2"/>
      </rPr>
      <t xml:space="preserve">
_ A responsabilidade pela execução da totalidade da obra será da Eletrobrás, que fará a contratação da empresa construtora.
_ O projeto inicial é da CODEVASF, porém a Eletrobrás contratou uma empresa para revisar o Projeto Básico, tendo em vista dificuldades para a execução da obra em trechos urbanos (municípios de Riacho de Santana e Igaporã) com interferência na malha rodoviária administrada pelo DNIT.
_ Foi aberto requerimento para início do procedimento da Licença dessa fase da obra, porém está pendente até a conclusão da revisão do projeto.
</t>
    </r>
    <r>
      <rPr>
        <b/>
        <sz val="16"/>
        <rFont val="Calibri"/>
        <family val="2"/>
      </rPr>
      <t>Assim, ainda não há expectativa para início das obras da 2ª etapa e do cronograma para a sua implantação.</t>
    </r>
  </si>
  <si>
    <r>
      <t>(Obra contratada pela Eletrobrás - contrato assinado em 21/01/25 - Inf. Codevasf)
Verificar a coluna de observações</t>
    </r>
    <r>
      <rPr>
        <sz val="16"/>
        <rFont val="Calibri"/>
        <family val="2"/>
      </rPr>
      <t xml:space="preserve">
"...não há expectativa para início das obras da 2ª etapa e do cronograma para a sua implantação."</t>
    </r>
  </si>
  <si>
    <r>
      <t xml:space="preserve">CONTRATOS
COMPANHIA DE ENGENHARIA HÍDRICA E DE SANEAMENTO DA BAHIA - CERB
Extrato do Termo Aditivo nº 137/2025 ao Contrato de Empreitada nº 045/2021 - Processo SEI nº 039.0792.2025.0006319-16. Partes: CERB e o Consórcio Barragem de Baraúnas. Objeto: Alteração do contrato originário com o </t>
    </r>
    <r>
      <rPr>
        <b/>
        <sz val="16"/>
        <rFont val="Calibri"/>
        <family val="2"/>
      </rPr>
      <t>2º Reequilíbrio Econômico-financeiro, no valor de R$ 11.012.079,78,</t>
    </r>
    <r>
      <rPr>
        <sz val="16"/>
        <rFont val="Calibri"/>
        <family val="2"/>
      </rPr>
      <t xml:space="preserve"> que passa a ter o valor total de R$ 99.802.320,54. </t>
    </r>
    <r>
      <rPr>
        <b/>
        <sz val="16"/>
        <rFont val="Calibri"/>
        <family val="2"/>
      </rPr>
      <t xml:space="preserve">Data da Assinatura: 04.12.2025. </t>
    </r>
    <r>
      <rPr>
        <sz val="16"/>
        <rFont val="Calibri"/>
        <family val="2"/>
      </rPr>
      <t>JAYME DE SOUZA VIEIRA LIMA FILHO - Diretor Presidente-CERB.</t>
    </r>
  </si>
  <si>
    <r>
      <t xml:space="preserve">Licitação pretérita
EXTRATO De termo aditivo Publicado em: 05/02/2025 | Edição: 25 | Seção: 3 DOU
Alteração no valor do repasse do MIDR que passa a ser R$ 123.165.596,20, </t>
    </r>
    <r>
      <rPr>
        <b/>
        <u/>
        <sz val="16"/>
        <rFont val="Calibri"/>
        <family val="2"/>
      </rPr>
      <t>sendo apenas R$117.509.310,18 para a obra necessitando assim uma complementação financeira do Estado de R$ 1.272.765,95 para atender o valor de contrato para execução da obra.</t>
    </r>
    <r>
      <rPr>
        <sz val="16"/>
        <rFont val="Calibri"/>
        <family val="2"/>
      </rPr>
      <t xml:space="preserve">
Emitida OS Nº006/2024 - complementar em 18/09/2024. Esta OS é complementar a OS 006/2024 Parcial, de 25/04/2024 ;</t>
    </r>
  </si>
  <si>
    <r>
      <rPr>
        <b/>
        <sz val="16"/>
        <rFont val="Calibri"/>
        <family val="2"/>
      </rPr>
      <t>OBRA</t>
    </r>
    <r>
      <rPr>
        <sz val="16"/>
        <rFont val="Calibri"/>
        <family val="2"/>
      </rPr>
      <t xml:space="preserve"> - Projeto Padrão</t>
    </r>
  </si>
  <si>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</si>
  <si>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 Abertura das Propostas
- Homologar e Adjudicar Licitação 
- Publicar Contrato de Execução
- Enviar documentos para obtenção do VRPL
- Emissão de AIO
- Emissão de Alvará
- Emitir Ordem de Serviço</t>
  </si>
  <si>
    <r>
      <t xml:space="preserve">CE GIGOV/SA 1395/2026 - Enviado dia 13/03/26 Pendência Para Desbloqueio de Parcela do Social. Informamos a pendência para desbloqueio no valor de R$  2.242,38.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</si>
  <si>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CE GIGOV/SA 1395/2026 - Enviado dia 13/03/26 Pendência Para Desbloqueio de Parcela do Social. Informamos a pendência para desbloqueio no valor de R$  2.242,38.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</si>
  <si>
    <r>
      <t xml:space="preserve">CE GIGOV/SA 1556/2026 - Enviado dia 19/03/26  pendência para desbloqueio no valor de R$ 43.260,76.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</si>
  <si>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rPr>
        <b/>
        <sz val="16"/>
        <rFont val="Calibri"/>
        <family val="2"/>
      </rPr>
      <t>CE GIGOV/SA 2952/2026 - Enviado dia 19/05/26 -Reanálise do Projeto Básico. Valor R$: 2.580.781,39.</t>
    </r>
    <r>
      <rPr>
        <sz val="16"/>
        <rFont val="Calibri"/>
        <family val="2"/>
      </rPr>
      <t xml:space="preserve">
OGU / ESTADO</t>
    </r>
  </si>
  <si>
    <r>
      <t xml:space="preserve">29/10/25 - Conforme trocas de mensagens com Gledson do DNIT, parte da obra, correspondente à 14km de pavimentação do trecho, está em fase final de aprovação pelo DNIT Sede e a empresa já deu início à mobilização executando limpeza de canteiros. Os demais itens permanecem em revisão de projeto, (baseadas nos achados do TCU), em ajustes/adequação pela empresa contratada para aprovação final e execução definitiva da obra. Sem prazo estimado para conclusão.
OBS.: Valor de contrato atualizado, após reajuste R$ 610.470.480,56, podendo sofrer nova alteração após adequações em curso.
28/07/25 - Permanece em revisão de projeto, pendente de aprovação pelo DNIT Sede.
</t>
    </r>
    <r>
      <rPr>
        <sz val="16"/>
        <rFont val="Calibri"/>
        <family val="2"/>
      </rPr>
      <t>04/06/25 - Projeto em revisão, pendente de aprovação pelo DNIT Sede.
07/03/25 - Em fase de mobilização de canteiro, porém permanece em atualização de projeto e aprovação pelo DNIT Sede.
04/11/24 - Os projetos estão sendo revisados pelo DNIT Federal visando atender aos achados do TCU, expectativa de iniciar até o final de 2024. Início da mobilização previsto para SET/24 não ocorreu.</t>
    </r>
  </si>
  <si>
    <r>
      <t xml:space="preserve">29/10 - Ainda não há percentual de execução física contabilizado. Foi realizado cadastramento das redes da EMBASA (108 de água e esgoto) e Bahia Gás que interferem na execução da obra, em relação à drenagem, fundações de viadutos, passarelas e contenções. A empresa contratada está elaborando algumas alterações nos projetos e serão protocoladas solicitações de remanejamento de rede por parte da EMBASA.
</t>
    </r>
    <r>
      <rPr>
        <sz val="16"/>
        <rFont val="Calibri"/>
        <family val="2"/>
      </rPr>
      <t>15/09/25 - Conforme Gledson (DNIT) a obra já está em fase de mobilização. Licença já emitida.</t>
    </r>
    <r>
      <rPr>
        <b/>
        <sz val="16"/>
        <rFont val="Calibri"/>
        <family val="2"/>
      </rPr>
      <t xml:space="preserve">
</t>
    </r>
    <r>
      <rPr>
        <sz val="16"/>
        <rFont val="Calibri"/>
        <family val="2"/>
      </rPr>
      <t>28/07/25 - Obra não iniciada, permanece pendente a emissão de licença.</t>
    </r>
    <r>
      <rPr>
        <b/>
        <sz val="16"/>
        <rFont val="Calibri"/>
        <family val="2"/>
      </rPr>
      <t xml:space="preserve">
</t>
    </r>
    <r>
      <rPr>
        <sz val="16"/>
        <rFont val="Calibri"/>
        <family val="2"/>
      </rPr>
      <t>19/05/25 - assinatura da ordem de serviço (pró-forma), pelo Ministro dos Transportes, autorizando o início das obras (ato realizado em Feira de Santana), vinculado à emissão da Licença, prevista inicialmente para até o dia 30/05, conforme vistoria realizada pelo INEMA.</t>
    </r>
  </si>
  <si>
    <r>
      <t xml:space="preserve">Conclusão dos estudos pelo DNIT em JUN/25 </t>
    </r>
    <r>
      <rPr>
        <b/>
        <sz val="16"/>
        <rFont val="Calibri"/>
        <family val="2"/>
      </rPr>
      <t xml:space="preserve">(sem atualização). </t>
    </r>
  </si>
  <si>
    <r>
      <t xml:space="preserve">Disponibilizar detalhamentos do trecho da BR-101/BA/SE, em estudo, para conhecimento do Estado;
- Conclusão dos estudos pelo BNDES.
Editais para leilão/licitação das Concessões das Rotas 2 de Julho e dos Sertões:
</t>
    </r>
    <r>
      <rPr>
        <b/>
        <sz val="16"/>
        <rFont val="Calibri"/>
        <family val="2"/>
      </rPr>
      <t xml:space="preserve">Em 28/05/26, realizado leilão para concessão da Rota dos Sertões, tendo como vencedor o Consórcio 116 Sertões que será responsável pela operação, manutenção e modernização dos cerca de 502 quilômetros das rodovias BR 116 e BR 324, incluindo os 7,2 km do anel viário de Feira de Santana.
</t>
    </r>
    <r>
      <rPr>
        <sz val="16"/>
        <rFont val="Calibri"/>
        <family val="2"/>
      </rPr>
      <t xml:space="preserve">
Em 29/01/26,  foi aprovado o Relatório final da Audiência Pública para futuro leilão de Concessão da Rota 2 de Julho, sendo protocolado em 02/02, junto ao TCU para análise. Pendente elaboração do Edital para leilão da Concessão.</t>
    </r>
  </si>
  <si>
    <r>
      <rPr>
        <b/>
        <sz val="16"/>
        <rFont val="Calibri"/>
        <family val="2"/>
      </rPr>
      <t xml:space="preserve">
30/07/2025 - RESOLUÇÃO CGPAC Nº 10, DE 25 DE JULHO DE 2025 (Altera especificações das ações passando a integrar a relação consolidada das ações do Novo PAC, com suas novas delimitações)
</t>
    </r>
    <r>
      <rPr>
        <sz val="16"/>
        <rFont val="Calibri"/>
        <family val="2"/>
      </rPr>
      <t>09/07/2025, Ministro dos Transportes anunciou invetimentos de R$ 31,7 Bi em Concessões na Bahia (https://www.gov.br/transportes/pt-br/assuntos/noticias/2025/07/renan-filho-anuncia-investimentos-de-r-31-7-bilhoes-em-concessoes-rodoviarias-na-bahia)
De acordo e-mail da SEPPI/CC/PR, foram esclarecidos que estão sendo realizados os seguintes estudos:
- Lote 2 BR 116/BA/PE - Feira de Santana/BA a Salgueiro/PE: Estudo para concessão aprovado pelo MT, Portaria nº 436, 03/05/2024. Projeto considera 502 km de extensão, sendo:
* BR-116/PE: 66,02km entronc BR-232/361 e divisa PE/BA [km inicial 25,700 e km final 91,720]; 
* BR-116/BA: 429,28 km entre divisa PE/BA e entronc. Av. Fróes da Mota, parte integrante do Contorno de Feira [km 0,000 e km 429,280];
* BR-324/BA: 6,82 km entre o acesso Contorno de Feira (Entronc. Av. Eduardo Fróes da Mota) e entronc. BR-116(B)/BA-502/503 (Feira) [km inicial 512,000 e km final 518,820];
- BR 101/BA/SE: Estudos em andamento. Aguardando disponibilização de detalhamento pela SEPPI/CC/PR.</t>
    </r>
  </si>
  <si>
    <r>
      <t xml:space="preserve">
</t>
    </r>
    <r>
      <rPr>
        <sz val="16"/>
        <rFont val="Calibri"/>
        <family val="2"/>
      </rPr>
      <t>AIO emitido em 07/08/25</t>
    </r>
    <r>
      <rPr>
        <b/>
        <sz val="16"/>
        <rFont val="Calibri"/>
        <family val="2"/>
      </rPr>
      <t xml:space="preserve">
</t>
    </r>
    <r>
      <rPr>
        <sz val="16"/>
        <color theme="1"/>
        <rFont val="Calibri"/>
        <family val="2"/>
      </rPr>
      <t/>
    </r>
  </si>
  <si>
    <r>
      <t xml:space="preserve">Novo Número: 032915/2024
Proposta: 56000000497/2024
026.1279.2025.0002322-82
BB: 1092753 </t>
    </r>
    <r>
      <rPr>
        <strike/>
        <sz val="16"/>
        <rFont val="Calibri"/>
        <family val="2"/>
      </rPr>
      <t>1090746</t>
    </r>
  </si>
  <si>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 xml:space="preserve">
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Sedur ajustou a proposta de 150 para 100 onibus elétricos e infraestrutura de carregamento;
FINANCIAMENTO: FUNDO NACIONAL SOBRE MUDANÇA DO CLIMA OU FUNDO CLIMA (FNMC) NO VALOR DE R$330.000,00.
Diretriz para utilização do recurso através do Fundo Nacional. (Logística de Transporte, Transporte Coletivo e Mobilidade Verdes)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</si>
  <si>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</si>
  <si>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r>
      <t xml:space="preserve">Urbanização Integrada em áreas carentes e insalubres, com infraestrutura precária, algumas sujeitas a escorregamento localidade de </t>
    </r>
    <r>
      <rPr>
        <b/>
        <sz val="16"/>
        <rFont val="Calibri"/>
        <family val="2"/>
      </rPr>
      <t>Baixinha de Santo Antônio</t>
    </r>
  </si>
  <si>
    <r>
      <t xml:space="preserve">EXECUÇÃO DE URBANIZAÇÃO INTEGRADA E HUMANIZADA NO TERRITÓRIO PERIFÉRICO DE </t>
    </r>
    <r>
      <rPr>
        <b/>
        <sz val="16"/>
        <rFont val="Calibri"/>
        <family val="2"/>
      </rPr>
      <t>ÁGUAS CLARAS</t>
    </r>
    <r>
      <rPr>
        <sz val="16"/>
        <rFont val="Calibri"/>
        <family val="2"/>
      </rPr>
      <t xml:space="preserve"> NO MUNICÍPIO DE SALVADOR - BAHIA. (2.500 famílias)</t>
    </r>
  </si>
  <si>
    <r>
      <rPr>
        <b/>
        <sz val="16"/>
        <rFont val="Calibri"/>
        <family val="2"/>
      </rPr>
      <t>Classificada inf (17/06/25 - Márcio - Sepac - Ministério)</t>
    </r>
    <r>
      <rPr>
        <sz val="16"/>
        <rFont val="Calibri"/>
        <family val="2"/>
      </rPr>
      <t xml:space="preserve">
</t>
    </r>
    <r>
      <rPr>
        <b/>
        <sz val="16"/>
        <rFont val="Calibri"/>
        <family val="2"/>
      </rPr>
      <t>Prioridade 01 da Sedur</t>
    </r>
    <r>
      <rPr>
        <sz val="16"/>
        <rFont val="Calibri"/>
        <family val="2"/>
      </rPr>
      <t xml:space="preserve">
Valor solicitado em 2024 R$ 450,26 mi (04 poligonais)</t>
    </r>
  </si>
  <si>
    <r>
      <t xml:space="preserve">A proposta consiste na execução de obras de infraestrutura de saneamento básico na área denominada </t>
    </r>
    <r>
      <rPr>
        <b/>
        <sz val="16"/>
        <rFont val="Calibri"/>
        <family val="2"/>
      </rPr>
      <t>Alagados III</t>
    </r>
    <r>
      <rPr>
        <sz val="16"/>
        <rFont val="Calibri"/>
        <family val="2"/>
      </rPr>
      <t>, inserida no bairro do Uruguai, localizada no Município de Salvador/Ba. A proposta prevê a extensão das redes de abastecimento de água, esgotamento sanitário, iluminação pública e drenagem pluvial. Além destes serviços está prevista a construção da pista de borda, melhoria de moradias existentes e oferta de novas unidades habitacionais. (631 famílias)</t>
    </r>
  </si>
  <si>
    <r>
      <rPr>
        <b/>
        <sz val="16"/>
        <rFont val="Calibri"/>
        <family val="2"/>
      </rPr>
      <t>Classificada inf (17/06/25 - Márcio - Sepac - Ministério)</t>
    </r>
    <r>
      <rPr>
        <sz val="16"/>
        <rFont val="Calibri"/>
        <family val="2"/>
      </rPr>
      <t xml:space="preserve">
</t>
    </r>
    <r>
      <rPr>
        <b/>
        <sz val="16"/>
        <rFont val="Calibri"/>
        <family val="2"/>
      </rPr>
      <t>Prioridade 06 da Sedur</t>
    </r>
    <r>
      <rPr>
        <sz val="16"/>
        <rFont val="Calibri"/>
        <family val="2"/>
      </rPr>
      <t xml:space="preserve">
Conder - Dihab</t>
    </r>
  </si>
  <si>
    <r>
      <t xml:space="preserve">Atender condicionante do Ministério Público no que se refere a retirada da população que ocupa indevidamente a área de proteção da </t>
    </r>
    <r>
      <rPr>
        <b/>
        <sz val="16"/>
        <rFont val="Calibri"/>
        <family val="2"/>
      </rPr>
      <t>Lagoa da Paixão</t>
    </r>
    <r>
      <rPr>
        <sz val="16"/>
        <rFont val="Calibri"/>
        <family val="2"/>
      </rPr>
      <t xml:space="preserve"> e ainda recomenda que seja executada no limite da faixa, cercamento e ciclovia de contorno. Essas famílias serão realocadas para terreno inserido na poligonal de intervenção.  A lagoa da Paixão é nascente do Rio do Cobre e está inserida na Bacia do Cobre. (2.500 famílias)</t>
    </r>
  </si>
  <si>
    <r>
      <rPr>
        <b/>
        <sz val="16"/>
        <rFont val="Calibri"/>
        <family val="2"/>
      </rPr>
      <t xml:space="preserve">Classificada inf (17/06/25 - Márcio - Sepac - Ministério) - FORA (falta R$)
</t>
    </r>
    <r>
      <rPr>
        <sz val="16"/>
        <rFont val="Calibri"/>
        <family val="2"/>
      </rPr>
      <t>Conder - Dihab
R$ 25,60 milhões em construção de Unidades habitacionais.</t>
    </r>
  </si>
  <si>
    <r>
      <t xml:space="preserve">A proposta consiste na execução de obras de reurbanização e infraestrutura básica no bairro de </t>
    </r>
    <r>
      <rPr>
        <b/>
        <sz val="16"/>
        <rFont val="Calibri"/>
        <family val="2"/>
      </rPr>
      <t>Pirajá</t>
    </r>
    <r>
      <rPr>
        <sz val="16"/>
        <rFont val="Calibri"/>
        <family val="2"/>
      </rPr>
      <t>, no Município de Salvador/Ba, em 03 comunidades contíguas: Vista da Baía, Independência (Sapolândia) e Pantanal.  A intervenção contempla implantação e extensão de redes de abastecimento de água, esgotamento sanitário, iluminação pública, drenagem pluvial, execução de contenção e estabilização de encostas, pavimentação de ruas e caminhos, equipamentos públicos, áreas de esporte e lazer, melhoria de moradias existentes e oferta de novas unidades habitacionais. (4.034 famílias)</t>
    </r>
  </si>
  <si>
    <r>
      <t xml:space="preserve">URBANIZAÇÃO INTEGRADA E HUMANIZADA NO TERRITÓRIO PERIFÉRICO DE </t>
    </r>
    <r>
      <rPr>
        <b/>
        <sz val="16"/>
        <rFont val="Calibri"/>
        <family val="2"/>
      </rPr>
      <t>SARAMANDAIA</t>
    </r>
    <r>
      <rPr>
        <sz val="16"/>
        <rFont val="Calibri"/>
        <family val="2"/>
      </rPr>
      <t xml:space="preserve"> NO MUNICÍPIO DE SALBADOR (BA). (1.820 famílias)</t>
    </r>
  </si>
  <si>
    <r>
      <t xml:space="preserve">URBANIZAÇÃO INTEGRADA E HUMANIZADA NO TERRITÓRIO PERIFÉRICO DO </t>
    </r>
    <r>
      <rPr>
        <b/>
        <sz val="16"/>
        <rFont val="Calibri"/>
        <family val="2"/>
      </rPr>
      <t>VETOR IPITANGA</t>
    </r>
    <r>
      <rPr>
        <sz val="16"/>
        <rFont val="Calibri"/>
        <family val="2"/>
      </rPr>
      <t xml:space="preserve"> NO MUNICÍPIO DE LAURO DE FREITAS (BA). (3.800 famílias)</t>
    </r>
  </si>
  <si>
    <r>
      <t xml:space="preserve">Classificada inf (17/06/25 - Márcio - Sepac - Ministério) - FORA (falta R$)
</t>
    </r>
    <r>
      <rPr>
        <sz val="16"/>
        <rFont val="Calibri"/>
        <family val="2"/>
      </rPr>
      <t xml:space="preserve">Retificadora da Proposta 56000000685/2025 (Excluído do Panorama em 25/06/25)
</t>
    </r>
    <r>
      <rPr>
        <b/>
        <sz val="16"/>
        <rFont val="Calibri"/>
        <family val="2"/>
      </rPr>
      <t xml:space="preserve">
</t>
    </r>
    <r>
      <rPr>
        <sz val="16"/>
        <rFont val="Calibri"/>
        <family val="2"/>
      </rPr>
      <t xml:space="preserve">Valor solicitado em 2023 R$ 175,35 mi </t>
    </r>
  </si>
  <si>
    <r>
      <t xml:space="preserve">URBANIZAÇÃO INTEGRADA E HUMANIZADA NO TERRITÓRIO PERIFÉRICO </t>
    </r>
    <r>
      <rPr>
        <b/>
        <sz val="16"/>
        <rFont val="Calibri"/>
        <family val="2"/>
      </rPr>
      <t>TERRA PROMETIDA</t>
    </r>
    <r>
      <rPr>
        <sz val="16"/>
        <rFont val="Calibri"/>
        <family val="2"/>
      </rPr>
      <t xml:space="preserve"> NO MUNICÍPIO DE LAURO DE FREITAS (BA)._x000D_</t>
    </r>
  </si>
  <si>
    <r>
      <t xml:space="preserve">Urbanização com construção de 108 novas unidades e 300 melhorias habitacionais em complementação aos serviços de macrodrenagem </t>
    </r>
    <r>
      <rPr>
        <b/>
        <sz val="16"/>
        <rFont val="Calibri"/>
        <family val="2"/>
      </rPr>
      <t xml:space="preserve">Nilo Peçanha </t>
    </r>
    <r>
      <rPr>
        <sz val="16"/>
        <rFont val="Calibri"/>
        <family val="2"/>
      </rPr>
      <t>no Bairro do Uruguai em Salvador/Ba.</t>
    </r>
  </si>
  <si>
    <r>
      <rPr>
        <b/>
        <sz val="16"/>
        <rFont val="Calibri"/>
        <family val="2"/>
      </rPr>
      <t xml:space="preserve">Classificada inf (17/06/25 - Márcio - Sepac - Ministério) 
Prioridade 02 da Sedur
</t>
    </r>
    <r>
      <rPr>
        <sz val="16"/>
        <rFont val="Calibri"/>
        <family val="2"/>
      </rPr>
      <t xml:space="preserve">
Conder - Dinep
Necessário compatibilzação com a Drebagem do PAC; a obra do VLT e Alagados III</t>
    </r>
  </si>
  <si>
    <r>
      <t xml:space="preserve">Pavimentação, urbanização e melhoria habitacional, de 500 unidades na comunidade </t>
    </r>
    <r>
      <rPr>
        <b/>
        <sz val="16"/>
        <rFont val="Calibri"/>
        <family val="2"/>
      </rPr>
      <t>Bate Facho</t>
    </r>
    <r>
      <rPr>
        <sz val="16"/>
        <rFont val="Calibri"/>
        <family val="2"/>
      </rPr>
      <t>, Boca_x000D_
do Rio, Salvador-Bahia._x000D_ (3.500 famílias)</t>
    </r>
  </si>
  <si>
    <r>
      <t xml:space="preserve">Proposta de intervenção na </t>
    </r>
    <r>
      <rPr>
        <b/>
        <sz val="16"/>
        <rFont val="Calibri"/>
        <family val="2"/>
      </rPr>
      <t>Lagoa do Prato</t>
    </r>
    <r>
      <rPr>
        <sz val="16"/>
        <rFont val="Calibri"/>
        <family val="2"/>
      </rPr>
      <t xml:space="preserve"> </t>
    </r>
    <r>
      <rPr>
        <b/>
        <sz val="16"/>
        <rFont val="Calibri"/>
        <family val="2"/>
      </rPr>
      <t>Raso</t>
    </r>
    <r>
      <rPr>
        <sz val="16"/>
        <rFont val="Calibri"/>
        <family val="2"/>
      </rPr>
      <t xml:space="preserve"> visa solucionar os recorrentes problemas de alagamento que afetam os bairros situados ao longo do curso d’água, bem como recuperar a funcionalidade ambiental da lagoa</t>
    </r>
  </si>
  <si>
    <r>
      <t xml:space="preserve">Classificada inf (17/06/25 - Márcio - Sepac - Ministério)
Prioridade 03 da Sedur
</t>
    </r>
    <r>
      <rPr>
        <sz val="16"/>
        <rFont val="Calibri"/>
        <family val="2"/>
      </rPr>
      <t>Conder - Dihab</t>
    </r>
  </si>
  <si>
    <r>
      <t xml:space="preserve">Urbanização Integral de poligonal englobando as Ocupações </t>
    </r>
    <r>
      <rPr>
        <b/>
        <sz val="16"/>
        <rFont val="Calibri"/>
        <family val="2"/>
      </rPr>
      <t>Alto da Conquista e Marielle Franco</t>
    </r>
    <r>
      <rPr>
        <sz val="16"/>
        <rFont val="Calibri"/>
        <family val="2"/>
      </rPr>
      <t>, no Território Periférico</t>
    </r>
    <r>
      <rPr>
        <b/>
        <sz val="16"/>
        <rFont val="Calibri"/>
        <family val="2"/>
      </rPr>
      <t xml:space="preserve"> Vale do Baraúna</t>
    </r>
    <r>
      <rPr>
        <sz val="16"/>
        <rFont val="Calibri"/>
        <family val="2"/>
      </rPr>
      <t>, em Simões Filho/BA. (400 famílias)</t>
    </r>
  </si>
  <si>
    <r>
      <t xml:space="preserve">Classificada inf (17/06/25 - Márcio - Sepac - Ministério)
Prioridade 04 da Sedur
</t>
    </r>
    <r>
      <rPr>
        <sz val="16"/>
        <rFont val="Calibri"/>
        <family val="2"/>
      </rPr>
      <t>Projeto da UFBA x Mcidades</t>
    </r>
  </si>
  <si>
    <r>
      <t xml:space="preserve">
</t>
    </r>
    <r>
      <rPr>
        <sz val="16"/>
        <rFont val="Calibri"/>
        <family val="2"/>
      </rPr>
      <t>AIO emitida em 08/04/2025</t>
    </r>
    <r>
      <rPr>
        <b/>
        <sz val="16"/>
        <rFont val="Calibri"/>
        <family val="2"/>
      </rPr>
      <t xml:space="preserve">
</t>
    </r>
  </si>
  <si>
    <r>
      <t xml:space="preserve">
</t>
    </r>
    <r>
      <rPr>
        <sz val="16"/>
        <rFont val="Calibri"/>
        <family val="2"/>
      </rPr>
      <t>AIO emitida em 17/02/2025</t>
    </r>
  </si>
  <si>
    <r>
      <t xml:space="preserve">
56000000229/2023
</t>
    </r>
    <r>
      <rPr>
        <b/>
        <sz val="16"/>
        <rFont val="Calibri"/>
        <family val="2"/>
      </rPr>
      <t>034059/2024</t>
    </r>
  </si>
  <si>
    <r>
      <rPr>
        <b/>
        <sz val="16"/>
        <rFont val="Calibri"/>
        <family val="2"/>
      </rPr>
      <t xml:space="preserve">O prazo para atendimento da cláusula suspensiva referente a résiduos sólidos mudou para 31/05/2026. conforme informação do site Transfergov.
</t>
    </r>
    <r>
      <rPr>
        <sz val="16"/>
        <rFont val="Calibri"/>
        <family val="2"/>
      </rPr>
      <t xml:space="preserve">Em  11/12/2025 através do CE GIGOV/SA nº 5786/2025 Fica alterada para o dia 28/04/2026 o prazo para atendimento da cláusula suspensiva referente a résiduos sólidos.
Em 28 de novembro de 2025 a Portaria MCID Nº 1.381, de 28 de novembro de 2025 altera </t>
    </r>
    <r>
      <rPr>
        <b/>
        <sz val="16"/>
        <rFont val="Calibri"/>
        <family val="2"/>
      </rPr>
      <t xml:space="preserve">o prazo da </t>
    </r>
    <r>
      <rPr>
        <sz val="16"/>
        <rFont val="Calibri"/>
        <family val="2"/>
      </rPr>
      <t>cláusula suspensiva de 30/11 para 30/12/2025.</t>
    </r>
    <r>
      <rPr>
        <b/>
        <sz val="16"/>
        <rFont val="Calibri"/>
        <family val="2"/>
      </rPr>
      <t xml:space="preserve">
</t>
    </r>
    <r>
      <rPr>
        <sz val="16"/>
        <rFont val="Calibri"/>
        <family val="2"/>
      </rPr>
      <t>Conforme Ofício de nº 1173/2025 - SEDUR/GAB/SGT/DRES de 07/11/2025, foi solicitado uma prorrogação de prazo de 8 meses para atendimento da cláusula suspensiva.
Conforme processo nº 80000.010435/2025-68 deferido em 04/11/2025, fica alterado o Publico Alvo</t>
    </r>
    <r>
      <rPr>
        <b/>
        <sz val="16"/>
        <rFont val="Calibri"/>
        <family val="2"/>
      </rPr>
      <t xml:space="preserve">. </t>
    </r>
    <r>
      <rPr>
        <sz val="16"/>
        <rFont val="Calibri"/>
        <family val="2"/>
      </rPr>
      <t xml:space="preserve">
 (CONSID Barreiras, Buritirama, Formosa do Rio Preto, Santa Rita de Cássia e Tabocas do Brejo Velho)
Termo de compromisso  973931 publicado em
14/05/2025
</t>
    </r>
  </si>
  <si>
    <r>
      <t xml:space="preserve">Lei nº 14.810 de 26 de dezembro de 2024
Fica o Poder Executivo autorizado a prestar contragarantia à União, para
obter as garantias na operação de crédito interno a ser celebrada entre a Empresa Baiana de
Águas e Saneamento S.A. - EMBASA, na qualidade de mutuário, e a Caixa Econômica Federal -
CEF, na qualidade de entidade financiadora, até o valor equivalente a R$818.614.544,40
</t>
    </r>
    <r>
      <rPr>
        <b/>
        <sz val="16"/>
        <rFont val="Calibri"/>
        <family val="2"/>
      </rPr>
      <t>O ministério instituiu fluxo contínuo de contratação.</t>
    </r>
    <r>
      <rPr>
        <sz val="16"/>
        <rFont val="Calibri"/>
        <family val="2"/>
      </rPr>
      <t xml:space="preserve">
Fonte de recurso: FGTS</t>
    </r>
  </si>
  <si>
    <r>
      <t xml:space="preserve">EXTRATO DO CONTRATO Nº 460025093
Processo SEI 100.21248.2026.0017385-68. Contratada: Pejota Construções LTDA. (CNPJ 03.174.004/0001-84). Objeto: Execução das obras da ampliação do sistema de abastecimento de água de Seabra​​​​. Valor Contratado: R$ 38.759.000,00. Execução: 720 dias. Assinado em 15/05/26. Origem: Licitação nº LC 161/25. Unidade Gestora: EXN/DE. Recursos: Próprios. Salvador/BA, 15/05/26. Vítor Augusto do Carmo Sousa - Gerente da Unidade de Licitações e Contratações.(Licitação BB nº: 1084010)
</t>
    </r>
    <r>
      <rPr>
        <b/>
        <sz val="16"/>
        <rFont val="Calibri"/>
        <family val="2"/>
      </rPr>
      <t>PROPONENTE : EMBASA
TENTATIVA DE ENQUADRAR COMO OGU  E-MAIL DA EMBASA</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</si>
  <si>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</si>
  <si>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t>LICITAÇÃO nº2025 016
Aberta em: 01.07.2025</t>
    </r>
    <r>
      <rPr>
        <b/>
        <sz val="16"/>
        <rFont val="Calibri"/>
        <family val="2"/>
      </rPr>
      <t xml:space="preserve"> 
Contrato publicado no DOE:
</t>
    </r>
    <r>
      <rPr>
        <sz val="16"/>
        <rFont val="Calibri"/>
        <family val="2"/>
      </rPr>
      <t xml:space="preserve">Ambiente Engenharia Ltda
R$ 33.595.853,84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</si>
  <si>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</si>
  <si>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
A Caixa informou que, em 22/01/2026, foi concedida a Autorização para Início da Execução do Objeto (AIO) do Termo de Compromisso 966501/2024, relativo ao SIAA de Feira da Mata. A instituição orienta que seja realizado imediatamente o procedimento de habilitação para início da obra e alerta que a Ordem de Serviço deve ser incluída no TransfereGov em até 10 dias úteis após a AIO. Antes do primeiro desbloqueio, devem ainda ser inseridos no sistema a Ordem de Serviço, os cronogramas físico‑financeiro e de desembolso, e as ARTs de execução e fiscalização.</t>
    </r>
  </si>
  <si>
    <r>
      <t xml:space="preserve">LICITAÇÃO nº2025 018
Aberta em: 03/07/2025 
</t>
    </r>
    <r>
      <rPr>
        <b/>
        <sz val="16"/>
        <rFont val="Calibri"/>
        <family val="2"/>
      </rPr>
      <t xml:space="preserve">
Contrato publicado no DOE:</t>
    </r>
    <r>
      <rPr>
        <sz val="16"/>
        <rFont val="Calibri"/>
        <family val="2"/>
      </rPr>
      <t xml:space="preserve">
BNA ENGENHARIA LTDA
R$7.759.066,07 
</t>
    </r>
  </si>
  <si>
    <r>
      <rPr>
        <b/>
        <sz val="16"/>
        <rFont val="Calibri"/>
        <family val="2"/>
      </rPr>
      <t>Até o primeiro desbloqueio:</t>
    </r>
    <r>
      <rPr>
        <sz val="16"/>
        <rFont val="Calibri"/>
        <family val="2"/>
      </rPr>
      <t xml:space="preserve">
Deve ser apresentada a anuência dos órgãos SIT/DNIT, conforme o caso, para intervenções em rodovias; </t>
    </r>
    <r>
      <rPr>
        <b/>
        <sz val="16"/>
        <rFont val="Calibri"/>
        <family val="2"/>
      </rPr>
      <t>(Aprovado pela SIT)</t>
    </r>
    <r>
      <rPr>
        <sz val="16"/>
        <rFont val="Calibri"/>
        <family val="2"/>
      </rPr>
      <t xml:space="preserve">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</si>
  <si>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023 
Aberta em: 07.05.2025
</t>
    </r>
    <r>
      <rPr>
        <b/>
        <sz val="16"/>
        <rFont val="Calibri"/>
        <family val="2"/>
      </rPr>
      <t>Contrato publicado no DOE:</t>
    </r>
    <r>
      <rPr>
        <sz val="16"/>
        <rFont val="Calibri"/>
        <family val="2"/>
      </rPr>
      <t xml:space="preserve">
Pacto Projetos e Obras Ltda
R$ 7.330.665,38
</t>
    </r>
  </si>
  <si>
    <r>
      <t xml:space="preserve">Extrato de Termo Aditivo conforme DOU nº 255 de 22 de novembro de 2024
2          Solicitamos realização do procedimento de Cadastro de Obra, itens abaixo, conforme tutorial disponível em https://www.gov.br/transferegov/pt-br/manuais/transferegov/obras.
Cadastro do CTEF e da publicação de seu extrato;
Cadastro da empresa vencedora do processo licitatório.
2.1       Informamos que a AIO automática será cancelada por esta gerência no TGov e encaminhado pedido de AIO ao Ministério Gestor, conforme inciso XI do art. 7º da Portaria Conjunta MGI/MF/CGU nº 32, alterada pela Portaria Conjunta MGI/MF/CGU nº 43, de 9 de junho de 2025.
Deverão ser inseridos no TransfereGov, em data anterior ao primeiro desbloqueio, os seguintes documentos:
Cronogramas Físico financeiro da Obra e de Desembolso do Termo de Compromisso
ART de Execução e Fiscalização
</t>
    </r>
    <r>
      <rPr>
        <b/>
        <sz val="16"/>
        <rFont val="Calibri"/>
        <family val="2"/>
      </rPr>
      <t>Ordem de Serviço (emitida em 28/01/2026)</t>
    </r>
    <r>
      <rPr>
        <sz val="16"/>
        <rFont val="Calibri"/>
        <family val="2"/>
      </rPr>
      <t xml:space="preserve">
</t>
    </r>
  </si>
  <si>
    <r>
      <t xml:space="preserve">LICITAÇÃO Nº2025 001 
Aberta em: 12.05.2025  
</t>
    </r>
    <r>
      <rPr>
        <b/>
        <sz val="16"/>
        <rFont val="Calibri"/>
        <family val="2"/>
      </rPr>
      <t>Contrato publicado no DOE:</t>
    </r>
    <r>
      <rPr>
        <sz val="16"/>
        <rFont val="Calibri"/>
        <family val="2"/>
      </rPr>
      <t xml:space="preserve">
D. Carvalho Empreendimentos Ltda
R$ 10.680.775,47
</t>
    </r>
  </si>
  <si>
    <r>
      <t>LICITAÇÃO nº2024 021 
Aberta em: 07.05.2025</t>
    </r>
    <r>
      <rPr>
        <b/>
        <sz val="16"/>
        <rFont val="Calibri"/>
        <family val="2"/>
      </rPr>
      <t xml:space="preserve">
Contrato publicado no DOE:
</t>
    </r>
    <r>
      <rPr>
        <sz val="16"/>
        <rFont val="Calibri"/>
        <family val="2"/>
      </rPr>
      <t xml:space="preserve">Bessa Engenharia Ltda
R$ 6.646.269,26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</si>
  <si>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(Aprovado pela SIT)
Deverão ser inseridos no TransfereGov, em data anterior ao primeiro desbloqueio, os seguintes documentos:
        Ordem de Serviço
        Cronogramas Físico financeiro da Obra e de                                        Desembolso do Termo de Compromisso
        ART de Execução e Fiscalização</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</si>
  <si>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024 
Aberta em: 08.05.2025 </t>
    </r>
    <r>
      <rPr>
        <b/>
        <sz val="16"/>
        <rFont val="Calibri"/>
        <family val="2"/>
      </rPr>
      <t xml:space="preserve"> 
Contrato publicado no DOE
</t>
    </r>
    <r>
      <rPr>
        <sz val="16"/>
        <rFont val="Calibri"/>
        <family val="2"/>
      </rPr>
      <t xml:space="preserve">Engec Construtora Ltda
R$ 9.319.252,09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</si>
  <si>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 xml:space="preserve">(Aprovado pela SIT)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</si>
  <si>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017
Aberta em: 03/07/2025 
</t>
    </r>
    <r>
      <rPr>
        <b/>
        <sz val="16"/>
        <rFont val="Calibri"/>
        <family val="2"/>
      </rPr>
      <t xml:space="preserve">
Contrato publicado no DOE:
</t>
    </r>
    <r>
      <rPr>
        <sz val="16"/>
        <rFont val="Calibri"/>
        <family val="2"/>
      </rPr>
      <t xml:space="preserve">Roble Serviços Ltda
R$ 9.569.730,05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</si>
  <si>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</si>
  <si>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019 
Aberta em: 30/06/2025
</t>
    </r>
    <r>
      <rPr>
        <b/>
        <sz val="16"/>
        <rFont val="Calibri"/>
        <family val="2"/>
      </rPr>
      <t>Contrato publicado no DOE:</t>
    </r>
    <r>
      <rPr>
        <sz val="16"/>
        <rFont val="Calibri"/>
        <family val="2"/>
      </rPr>
      <t xml:space="preserve">
Metro Engenharia e Consultoria Ltda
R$ 21.930.269,70
</t>
    </r>
  </si>
  <si>
    <r>
      <t xml:space="preserve">Ampliação do Sistema Integrado de Abastecimento de Água nos muncípios de Miguel Calmon/Piritiba/Mundo Novo </t>
    </r>
    <r>
      <rPr>
        <b/>
        <sz val="16"/>
        <rFont val="Calibri"/>
        <family val="2"/>
      </rPr>
      <t>(EXECUÇÃO DAS OBRAS DE AMPLIAÇÃO DA ETA DO SISTEMA INTEGRADO DE ABASTECIMENTO DE ÁGUA )</t>
    </r>
  </si>
  <si>
    <r>
      <t xml:space="preserve">AMPLIAÇÃO DO SISTEMA INTEGRADO DE ABASTECIMENTO DE ÁGUA (SIAA) DE ITAPARICA/VERA CRUZ
</t>
    </r>
    <r>
      <rPr>
        <b/>
        <sz val="16"/>
        <rFont val="Calibri"/>
        <family val="2"/>
      </rPr>
      <t>(1ª etapa em licitação)</t>
    </r>
  </si>
  <si>
    <r>
      <t xml:space="preserve">Proposta em análise pela CAIXA
</t>
    </r>
    <r>
      <rPr>
        <b/>
        <sz val="16"/>
        <rFont val="Calibri"/>
        <family val="2"/>
      </rPr>
      <t>Execução das obras de ampliação do SIAA de Itaparica/Vera Cruz - 1ª etapa, Abertura de Propostas: 26/05/2026 (Licitação BB nº: 1092172)</t>
    </r>
  </si>
  <si>
    <r>
      <t xml:space="preserve">Execução das obras de ampliação do SIAA de Itaparica/Vera Cruz - 1ª etapa, Abertura de Propostas: 26/05/2026 (Licitação BB nº: 1092172)
</t>
    </r>
    <r>
      <rPr>
        <b/>
        <sz val="16"/>
        <rFont val="Calibri"/>
        <family val="2"/>
      </rPr>
      <t>PROPONENTE: EMBASA</t>
    </r>
  </si>
  <si>
    <r>
      <t xml:space="preserve">Ampliação do sistema integrado de abastecimento de água  de Seabra (Beneficiando as sedes municipais e localidades de Seabra e Boninal)
</t>
    </r>
    <r>
      <rPr>
        <b/>
        <sz val="16"/>
        <rFont val="Calibri"/>
        <family val="2"/>
      </rPr>
      <t>(2ª etapa)</t>
    </r>
  </si>
  <si>
    <r>
      <t xml:space="preserve">O empreendimento foi selecionado, através da Portaria 1421 de 09/12/2025 - Novo PAC FGTS 2025, no valor de R$ 421.118.404,24 (referente ao empréstimo).
</t>
    </r>
    <r>
      <rPr>
        <b/>
        <sz val="16"/>
        <rFont val="Calibri"/>
        <family val="2"/>
      </rPr>
      <t>PROPONENTE : GOVERNO DO ESTADO
TENTATIVA DE ENQUADRAR COMO OGU  E-MAIL DA EMBASA</t>
    </r>
  </si>
  <si>
    <r>
      <t xml:space="preserve">CE GIGOV/SA 4943/2025  - Aceite da reprogramação para Alteração de Terreno 
Recepcionado 08/10 </t>
    </r>
    <r>
      <rPr>
        <b/>
        <sz val="16"/>
        <rFont val="Calibri"/>
        <family val="2"/>
      </rPr>
      <t>CE GIGOV/SA 4456/2025 -</t>
    </r>
    <r>
      <rPr>
        <sz val="16"/>
        <rFont val="Calibri"/>
        <family val="2"/>
      </rPr>
      <t xml:space="preserve"> Pendências para reprogramação de novo local da obra 
CE GIGOV 1838/25 recepcionado dia 21/05  com Aceite da VRPL
Detalhamos a seguir a composição do novo Valor de Investimento vigente do Termo de Compromisso (após aceite da VRPL):
- Valor de Repasse = </t>
    </r>
    <r>
      <rPr>
        <b/>
        <sz val="16"/>
        <rFont val="Calibri"/>
        <family val="2"/>
      </rPr>
      <t>R$ 8.467.295,71</t>
    </r>
    <r>
      <rPr>
        <sz val="16"/>
        <rFont val="Calibri"/>
        <family val="2"/>
      </rPr>
      <t xml:space="preserve">
- Valor de Contrapartida = </t>
    </r>
    <r>
      <rPr>
        <b/>
        <sz val="16"/>
        <rFont val="Calibri"/>
        <family val="2"/>
      </rPr>
      <t>R$ 540.278,24</t>
    </r>
    <r>
      <rPr>
        <sz val="16"/>
        <rFont val="Calibri"/>
        <family val="2"/>
      </rPr>
      <t xml:space="preserve">
- Valor do Investimento Vigente (VRPL) = </t>
    </r>
    <r>
      <rPr>
        <b/>
        <sz val="16"/>
        <rFont val="Calibri"/>
        <family val="2"/>
      </rPr>
      <t>R$ 9.007.573,95</t>
    </r>
    <r>
      <rPr>
        <sz val="16"/>
        <rFont val="Calibri"/>
        <family val="2"/>
      </rPr>
      <t xml:space="preserve">
- Saldo Contratual = </t>
    </r>
    <r>
      <rPr>
        <b/>
        <sz val="16"/>
        <rFont val="Calibri"/>
        <family val="2"/>
      </rPr>
      <t>R$ 2.465.391,65</t>
    </r>
    <r>
      <rPr>
        <sz val="16"/>
        <rFont val="Calibri"/>
        <family val="2"/>
      </rPr>
      <t xml:space="preserve">
Houve uma deliberação orientando a troca do terreno. Processo já remetido à SEDUR e Casa Civil.
Adjudicação e Homologação publicada no DOE  11/01/25 
Recepcionado Of. nº 3146/2024/GIGOV/SA que trata da alteração do valor dos Recursos do Repasse da União, dos Recursos da Contrapartida e do Investimento - (VI - Repasse + Contrapartida) R$ 11.472.965,60;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2991/2024/GIGOV/SA - Informa aceite de projeto e retirada da Cláusula Suspensiva.
Valor do TC: R$ 11.947.574,97</t>
    </r>
  </si>
  <si>
    <r>
      <t>Início da limpeza e mobilização efetuada dia 24/02/2026. 
O.S. emitida em 02/02/2026. 
CE GIGOV/SA 3974/2025  - Aceite da Verificação do Resultado do Processo Licitatório e procedimentos posteriores
- Valor de Repasse = R$</t>
    </r>
    <r>
      <rPr>
        <b/>
        <sz val="16"/>
        <rFont val="Calibri"/>
        <family val="2"/>
      </rPr>
      <t xml:space="preserve"> 8.466.328,07</t>
    </r>
    <r>
      <rPr>
        <sz val="16"/>
        <rFont val="Calibri"/>
        <family val="2"/>
      </rPr>
      <t xml:space="preserve">
- Valor de Contrapartida = R$ </t>
    </r>
    <r>
      <rPr>
        <b/>
        <sz val="16"/>
        <rFont val="Calibri"/>
        <family val="2"/>
      </rPr>
      <t>540.403,92</t>
    </r>
    <r>
      <rPr>
        <sz val="16"/>
        <rFont val="Calibri"/>
        <family val="2"/>
      </rPr>
      <t xml:space="preserve">
- Valor do Investimento Vigente (VRPL) = R$ </t>
    </r>
    <r>
      <rPr>
        <b/>
        <sz val="16"/>
        <rFont val="Calibri"/>
        <family val="2"/>
      </rPr>
      <t>9.006.731,99</t>
    </r>
    <r>
      <rPr>
        <sz val="16"/>
        <rFont val="Calibri"/>
        <family val="2"/>
      </rPr>
      <t xml:space="preserve">
- Saldo Contratual = R$</t>
    </r>
    <r>
      <rPr>
        <b/>
        <sz val="16"/>
        <rFont val="Calibri"/>
        <family val="2"/>
      </rPr>
      <t xml:space="preserve"> 2.466.233,61</t>
    </r>
    <r>
      <rPr>
        <sz val="16"/>
        <rFont val="Calibri"/>
        <family val="2"/>
      </rPr>
      <t xml:space="preserve">
CE GIGOV/SA 1777/2025 recepcionado dia 19/05/2025 com pendências para conclusão da VRPL.                                                                                                                                                                                  Houve  uma deliberação para alterar o terreno. A SEC aguarda a indicação do novo terreno e o município regularizar a área e formalizar a doação ao Estado.
Adjudicação e Homologação publicada no DOE  11/01/25
SEC em tratativas com a CEF sobre a alteração de terreno.
Recepcionado Of. nº 3146/2024/GIGOV/SA que trata da alteração do valor dos Recursos do Repasse da União, dos Recursos da Contrapartida e do Investimento - (VI - Repasse + Contrapartida) R$ 11.472.965,60 ;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2990/2024/GIGOV/SA - Informa aceite de projeto e retirada da Cláusula Suspensiva.
Valor do TC: R$ 11.947.574,97</t>
    </r>
  </si>
  <si>
    <r>
      <t xml:space="preserve">CE GIGOV/SA </t>
    </r>
    <r>
      <rPr>
        <b/>
        <sz val="16"/>
        <rFont val="Calibri"/>
        <family val="2"/>
      </rPr>
      <t>368/2026</t>
    </r>
    <r>
      <rPr>
        <sz val="16"/>
        <rFont val="Calibri"/>
        <family val="2"/>
      </rPr>
      <t xml:space="preserve"> - Caixa Listou providências necessárias para o desbloqueio do BM 5.
Obras iniciadas: 18/08
OS: 04/08
Recepcionado CE GIGOV/SA 3300/2025 - AIO em 08/08/2025.
Caixa encaminhou em 25/07/2025 Ofício CE GIGOV/SA 3040/2025 com Aceite da VRPL e informou que desde 12/06/2025 passou a ser obrigatória a emissão da AIO para início de obras. Detalhamos a seguir a composição do novo Valor de Investimento vigente do Termo de Compromisso (após aceite da VRPL):
- Valor de Repasse = </t>
    </r>
    <r>
      <rPr>
        <b/>
        <sz val="16"/>
        <rFont val="Calibri"/>
        <family val="2"/>
      </rPr>
      <t xml:space="preserve">R$ 8.816.098,48 </t>
    </r>
    <r>
      <rPr>
        <sz val="16"/>
        <rFont val="Calibri"/>
        <family val="2"/>
      </rPr>
      <t xml:space="preserve">
- Valor de Contrapartida = </t>
    </r>
    <r>
      <rPr>
        <b/>
        <sz val="16"/>
        <rFont val="Calibri"/>
        <family val="2"/>
      </rPr>
      <t xml:space="preserve">R$ 562.729,69 </t>
    </r>
    <r>
      <rPr>
        <sz val="16"/>
        <rFont val="Calibri"/>
        <family val="2"/>
      </rPr>
      <t xml:space="preserve">
- Valor do Investimento Vigente (VRPL) = </t>
    </r>
    <r>
      <rPr>
        <b/>
        <sz val="16"/>
        <rFont val="Calibri"/>
        <family val="2"/>
      </rPr>
      <t>R$ 9.378.828,17</t>
    </r>
    <r>
      <rPr>
        <sz val="16"/>
        <rFont val="Calibri"/>
        <family val="2"/>
      </rPr>
      <t xml:space="preserve">
- Saldo Contratual = </t>
    </r>
    <r>
      <rPr>
        <b/>
        <sz val="16"/>
        <rFont val="Calibri"/>
        <family val="2"/>
      </rPr>
      <t>R$ 2.343.862,73</t>
    </r>
    <r>
      <rPr>
        <sz val="16"/>
        <rFont val="Calibri"/>
        <family val="2"/>
      </rPr>
      <t xml:space="preserve"> Situação do Terreno: Aguardando Lavrar Escritura no cartório doando ao Estado. Área já está liberada (Secretária Rowenna enviou Declaração de Posse do Terreno à Caixa).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3041/2024/GIGOV/SA - Informa aceite de projeto e retirada da Cláusula Suspensiva.
Valor do TC: R$ 11.947.574,97</t>
    </r>
  </si>
  <si>
    <r>
      <rPr>
        <b/>
        <sz val="16"/>
        <rFont val="Calibri"/>
        <family val="2"/>
      </rPr>
      <t>CE GIGOV/SA 372/2026</t>
    </r>
    <r>
      <rPr>
        <sz val="16"/>
        <rFont val="Calibri"/>
        <family val="2"/>
      </rPr>
      <t xml:space="preserve"> - Caixa listou providências para Desbloqueio BM 5 - TC OGU 964158/2024
Obras iniciadas: 18/08
OS: 04/08
CE GIGOV/SA 3341/2025 - Autorização de Início de Objeto (Automática) - TC OGU
Recepcionado 08/08/2025 OF GIGOV/SA 3277/2025 com informações sobre crédito de recursos financeiros, sob bloqueio, em 06/08/2025, no valor de R$ 1.617.688,15.
Caixa encaminhou em 30/07/2025 Ofício CE GIGOV/SA 3122/2025 com Aceite da VRPL e informou que desde 12/06/2025 passou a ser obrigatória a emissão da AIO para início de obras. Detalhamos a seguir a composição do novo Valor de Investimento vigente do Termo de Compromisso (após aceite da VRPL):
 Valor de Repasse =</t>
    </r>
    <r>
      <rPr>
        <b/>
        <sz val="16"/>
        <rFont val="Calibri"/>
        <family val="2"/>
      </rPr>
      <t xml:space="preserve"> R$ 8.627.234,38 (94%)</t>
    </r>
    <r>
      <rPr>
        <sz val="16"/>
        <rFont val="Calibri"/>
        <family val="2"/>
      </rPr>
      <t xml:space="preserve">
- Valor de Contrapartida = </t>
    </r>
    <r>
      <rPr>
        <b/>
        <sz val="16"/>
        <rFont val="Calibri"/>
        <family val="2"/>
      </rPr>
      <t>R$ 550.674,53 (6%)</t>
    </r>
    <r>
      <rPr>
        <sz val="16"/>
        <rFont val="Calibri"/>
        <family val="2"/>
      </rPr>
      <t xml:space="preserve">
- Valor do Investimento Vigente (VRPL) = </t>
    </r>
    <r>
      <rPr>
        <b/>
        <sz val="16"/>
        <rFont val="Calibri"/>
        <family val="2"/>
      </rPr>
      <t>R$ 9.177.908,91 (100%)</t>
    </r>
    <r>
      <rPr>
        <sz val="16"/>
        <rFont val="Calibri"/>
        <family val="2"/>
      </rPr>
      <t xml:space="preserve">
- Saldo Contratual</t>
    </r>
    <r>
      <rPr>
        <b/>
        <sz val="16"/>
        <rFont val="Calibri"/>
        <family val="2"/>
      </rPr>
      <t xml:space="preserve"> = R$ 2.295.056,69</t>
    </r>
    <r>
      <rPr>
        <sz val="16"/>
        <rFont val="Calibri"/>
        <family val="2"/>
      </rPr>
      <t xml:space="preserve">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3042/2024/GIGOV/SA - Informa aceite de projeto e retirada da Cláusula Suspensiva.
Valor do TC: R$ 11.947.574,97</t>
    </r>
  </si>
  <si>
    <r>
      <t>Obras iniciadas: 18/08
OS: 04/08
Caixa encaminhou em 30/07/2025 Ofício CE GIGOV/SA 3134/2025 com Aceite da VRPL e informou que desde 12/06/2025 passou a ser obrigatória a emissão da AIO para início de obras. Detalhamos a seguir a composição do novo Valor de Investimento vigente do Termo de Compromisso (após aceite da VRPL):
- Valor de Repasse =</t>
    </r>
    <r>
      <rPr>
        <b/>
        <sz val="16"/>
        <rFont val="Calibri"/>
        <family val="2"/>
      </rPr>
      <t xml:space="preserve"> R$ 8.442.017,54  (94%)</t>
    </r>
    <r>
      <rPr>
        <sz val="16"/>
        <rFont val="Calibri"/>
        <family val="2"/>
      </rPr>
      <t xml:space="preserve">
- Valor de Contrapartida =</t>
    </r>
    <r>
      <rPr>
        <b/>
        <sz val="16"/>
        <rFont val="Calibri"/>
        <family val="2"/>
      </rPr>
      <t xml:space="preserve"> R$ 538.852,18 (6%)</t>
    </r>
    <r>
      <rPr>
        <sz val="16"/>
        <rFont val="Calibri"/>
        <family val="2"/>
      </rPr>
      <t xml:space="preserve">
- Valor do Investimento Vigente (VRPL) = </t>
    </r>
    <r>
      <rPr>
        <b/>
        <sz val="16"/>
        <rFont val="Calibri"/>
        <family val="2"/>
      </rPr>
      <t>R$ 8.980.869,72 (100%)</t>
    </r>
    <r>
      <rPr>
        <sz val="16"/>
        <rFont val="Calibri"/>
        <family val="2"/>
      </rPr>
      <t xml:space="preserve">
- Saldo Contratual = R$ 2.245.479,45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3043/2024/GIGOV/SA - Informa aceite de projeto e retirada da Cláusula Suspensiva.
Valor do TC: R$ 11.947.574,97</t>
    </r>
  </si>
  <si>
    <r>
      <t xml:space="preserve">Recepcionado 14/05 CE GIGOV/SA 2898/2026 - Informa prazos para realização do processo licitatório. Caixa informa com base na PORTARIA CONJUNTA MGI/MF/CGU Nº 32, DE 04 DE JUNHO DE 2024, prazo Até 60 (sessenta) dias, contados da data de emissão do laudo de verificação técnica (até dia 22/05/2026)
REcepcionado 19/05 CE GIGOV/SA 2956/26 - Acata autorização de Ampliação do Objeto
REcepcionado 06/05 CE GIGOV/SA 1502/26 - Termos Aditivos para Inclusão da Unidade Executora, tarifa e aditivo de prazo da vigencia
Recepcionado 09/04/26 </t>
    </r>
    <r>
      <rPr>
        <b/>
        <sz val="16"/>
        <rFont val="Calibri"/>
        <family val="2"/>
      </rPr>
      <t xml:space="preserve">CE GIGOV/SA 1988/26 </t>
    </r>
    <r>
      <rPr>
        <sz val="16"/>
        <rFont val="Calibri"/>
        <family val="2"/>
      </rPr>
      <t xml:space="preserve">- Disponibiliza 2º TA de prorrogação de vigência - TC: 970645 Expansão do VLT  </t>
    </r>
    <r>
      <rPr>
        <b/>
        <sz val="16"/>
        <rFont val="Calibri"/>
        <family val="2"/>
      </rPr>
      <t xml:space="preserve">
RETIFICA:  CE GIGOV/SA 1502/26 - Enviado dia 18/03/26 - 2º Termo Aditivo de prorrogação de vigência para para 27/12/2027.
</t>
    </r>
    <r>
      <rPr>
        <sz val="16"/>
        <rFont val="Calibri"/>
        <family val="2"/>
      </rPr>
      <t>CTB</t>
    </r>
    <r>
      <rPr>
        <b/>
        <sz val="16"/>
        <rFont val="Calibri"/>
        <family val="2"/>
      </rPr>
      <t xml:space="preserve"> </t>
    </r>
    <r>
      <rPr>
        <sz val="16"/>
        <rFont val="Calibri"/>
        <family val="2"/>
      </rPr>
      <t xml:space="preserve">avalia fazer uma parceria com uma Universidade e contratar por meio de uma dispensa de enexibilidade.
</t>
    </r>
    <r>
      <rPr>
        <b/>
        <sz val="16"/>
        <rFont val="Calibri"/>
        <family val="2"/>
      </rPr>
      <t xml:space="preserve">
CE GIGOV/SA 697/2026 - Enviado dia 03/02/2026 - Análise - Solicitações para Continuidade do Processo. 
</t>
    </r>
    <r>
      <rPr>
        <sz val="16"/>
        <rFont val="Calibri"/>
        <family val="2"/>
      </rPr>
      <t>CE GIGOV/SA 4402/2025 -Enviado dia 06/10/2025 Prazo para Atendimento da Cláusula Suspensiva expira em 30/11/2025.</t>
    </r>
    <r>
      <rPr>
        <b/>
        <sz val="16"/>
        <rFont val="Calibri"/>
        <family val="2"/>
      </rPr>
      <t xml:space="preserve">
</t>
    </r>
    <r>
      <rPr>
        <sz val="16"/>
        <rFont val="Calibri"/>
        <family val="2"/>
      </rPr>
      <t>CE GIGOV/SA 2939.25 enviado dia 22/07/2025 - Conforme foi informado a CTB será aditivada aos termos de compromisso dos contratos a seguir listados como unidade executora: TC: 970645 OPER: 1098820-27.
TC ASSINADO DO Oficio 007-2025 11/02/25
Clausula Suspensiva - apresentação do TR</t>
    </r>
  </si>
  <si>
    <r>
      <rPr>
        <b/>
        <sz val="16"/>
        <rFont val="Calibri"/>
        <family val="2"/>
      </rPr>
      <t>TR e demais documentação técnica para licitação estão em elaboração (Ajustes finais).</t>
    </r>
    <r>
      <rPr>
        <sz val="16"/>
        <rFont val="Calibri"/>
        <family val="2"/>
      </rPr>
      <t xml:space="preserve">
Termo de Compromisso publicado no DOU 11/12/24. </t>
    </r>
  </si>
  <si>
    <r>
      <rPr>
        <b/>
        <sz val="16"/>
        <rFont val="Calibri"/>
        <family val="2"/>
      </rPr>
      <t>FGTS:</t>
    </r>
    <r>
      <rPr>
        <sz val="16"/>
        <rFont val="Calibri"/>
        <family val="2"/>
      </rPr>
      <t xml:space="preserve">
- Contratação do objeto licitado;
- Emissão de OS;
- Atendimento às condicionantes da cláusula resolutiva para 1° desembolso;
- Monitorar execução do objeto;</t>
    </r>
  </si>
  <si>
    <r>
      <t xml:space="preserve">EXTRATO DO CONTRATO Nº 460025001
Processo SEI 100.21248.2026.0015062-76. Contratada: Construtora Pablo LTDA. (CNPJ 14.443.519/0001-59). Objeto: Execução das obras de ampliação do sistema integrado de abastecimento de água de Irecê - 1ª etapa. Valor contratado R$ 12.898.101,86. Execução: 540 dias. Assinado em 28/04/2026. Origem: Licitação nº LC 019/26. Unidade Gestora: EXN/DE. Recursos: Próprios. Salvador/BA, 28/04/2026. Vítor Augusto do Carmo Sousa - Gerente da Unidade de Licitações e Contratações.
</t>
    </r>
    <r>
      <rPr>
        <b/>
        <sz val="16"/>
        <rFont val="Calibri"/>
        <family val="2"/>
      </rPr>
      <t>PROPONENTE : GOVERNO DO ESTADO
TENTATIVA DE ENQUADRAR COMO OGU  E-MAIL DA EMBASA</t>
    </r>
  </si>
  <si>
    <t>CONCLUÍDAS</t>
  </si>
  <si>
    <t>Termo Aditivo de Prazo Proposto:
Prazo: 122 Dias
Final do Prazo de Execução: 30/10/2026
Nova Vigência: 16/12/2026</t>
  </si>
  <si>
    <r>
      <t xml:space="preserve">DOE 24/10/25 - Contrato Publicado
17/10/25 - Contrato Nº 095/2025 assinado em 23/10/25.
DOE 16/10/25 - Homologação, vencedora FCK / SC ARQUITETURA. Valor Global: R$12.360.508,59
DOE 15/10/25 - Publicação do julgamento
13/10/25 - Aditivo de valor (placa fotovoltaica) publicado.
24/09/25 - CE GIGOV/SA 4153/2025 - Incorporação de Nota de Empenho no valor de R$ 3.500.000,00.
DOE 27/09/25 - FARIA LIMA / GLOBO, FCK  / SC, PEJOTA / FÁBIO PERA e ART / JCA, interpuseram recursos contra a decisão da Comissão.
18/09/25 - 2ª Ata de reunião:
1ª Classificada Consórcio CONVIVE Juazeiro (FCK/SC Arquitetura), nota final: 9,58  Valor Global: R$ 12.360.508,59
2ª Classificada Consórcio Centro Comunitário pela Vida (Pejota / Fábio Pera Arquiteto LTDA), nota final: 9,25. Valor Global: R$ 11.554.829,39
3ª Classificada Consórcio Faria Lima - Globo - CCV, nota final: 9,17. Valor Global: R$ 12.308.405,22
DOU 24/06/25 - Oficializa inclusão da CONDER ente executor.
10/06/25 - SEADES encaminha Ofício nº 555/2025, à CONDER para assinatura do termo de oficialização do executor.
10/06/25 - CAIXA encaminha termo para oficialização do ente executor para assinatura.
04/06/25 - Conforme SEADES, a CAIXA aprovou a documentação para oficialização da CONDER como executor. Prazo dado pela CAIXA para abertura da conta: 13/06/25. 
28/05/25 - Conforme SEADES, expectativa de publicação da licitação: 30/06/25.
20/05/25 - Ofício encaminhado à CAIXA, informando o número da conta.
06/05/25 - Documentação assinada pelo Governador e encaminhada à ALBA, através do ofício 0014/2025/GG, para apresentação do novo equipamento, visando informar que o Estado assumiu formalmente o compromisso de garantir a execução do objeto pactuado.
15/05/25 - SEADES encaminha solicitação do ente executor (CONDER) à CAIXA. 
- 15/05/25 - Conforme SEADES, Acordo de Cooperação ainda pendente. Documento relevante no âmbito Estadual.
</t>
    </r>
    <r>
      <rPr>
        <b/>
        <sz val="16"/>
        <rFont val="Calibri"/>
        <family val="2"/>
      </rPr>
      <t xml:space="preserve">- 28/04/25 - CAIXA (comunicado 36/2024) autoriza o processo licitatório. Encaminha termo de aditivo de supressão no valor de R$ 5.056.333,81.
- 24/04/25 - </t>
    </r>
    <r>
      <rPr>
        <sz val="16"/>
        <rFont val="Calibri"/>
        <family val="2"/>
      </rPr>
      <t>SEADES encaminha Ofício nº 282/2025 à CASA CIVIL - "Solicitação de comunicação à Assembleia Legislativa da Bahia." Aguardando encaminhamento da COAPL para o GABGOV.</t>
    </r>
    <r>
      <rPr>
        <b/>
        <sz val="16"/>
        <rFont val="Calibri"/>
        <family val="2"/>
      </rPr>
      <t xml:space="preserve">
- 24/04/25 - </t>
    </r>
    <r>
      <rPr>
        <sz val="16"/>
        <rFont val="Calibri"/>
        <family val="2"/>
      </rPr>
      <t>CAIXA informa a retirada da Cláusula Suspensiva.</t>
    </r>
    <r>
      <rPr>
        <b/>
        <sz val="16"/>
        <rFont val="Calibri"/>
        <family val="2"/>
      </rPr>
      <t xml:space="preserve">
- 17/04/25 - </t>
    </r>
    <r>
      <rPr>
        <sz val="16"/>
        <rFont val="Calibri"/>
        <family val="2"/>
      </rPr>
      <t>Em atendimento à Cláusula Suspensiva, a SEADES encaminha o material solicitado à CAIXA.</t>
    </r>
    <r>
      <rPr>
        <b/>
        <sz val="16"/>
        <rFont val="Calibri"/>
        <family val="2"/>
      </rPr>
      <t xml:space="preserve">
- 22/04/25 </t>
    </r>
    <r>
      <rPr>
        <sz val="16"/>
        <rFont val="Calibri"/>
        <family val="2"/>
      </rPr>
      <t xml:space="preserve">- Conforme SEADES, sinalizado pela CONDER uma complementação máxima no valor de R$ 785.000,00 (5% do valor apoiado). Ainda em análise.
- 09/04/25 - Terreno vistoriado pela CAIXA.
- 08/04/25 - A CAIXA sinaliza pendências na relação de documentos, cláusula suspensiva, vigência 31/05/25.
- </t>
    </r>
    <r>
      <rPr>
        <b/>
        <sz val="16"/>
        <rFont val="Calibri"/>
        <family val="2"/>
      </rPr>
      <t xml:space="preserve">01/04/25 - </t>
    </r>
    <r>
      <rPr>
        <sz val="16"/>
        <rFont val="Calibri"/>
        <family val="2"/>
      </rPr>
      <t xml:space="preserve">Projeto básico analisado pela Conder sem necessidade de adequações  (piscina será construída, conforme proposta apresentada pelo Ministério). Planilha orçamentária inserida no TransfereGov, em 01/04/25,  já em análise pela Caixa. Vistoria técnica da Caixa ao terreno prevista para 09/04/25.
- </t>
    </r>
    <r>
      <rPr>
        <b/>
        <sz val="16"/>
        <rFont val="Calibri"/>
        <family val="2"/>
      </rPr>
      <t>DOU 24/12/24</t>
    </r>
    <r>
      <rPr>
        <sz val="16"/>
        <rFont val="Calibri"/>
        <family val="2"/>
      </rPr>
      <t xml:space="preserve"> - Informa que o TC não terá contrapartida.
</t>
    </r>
    <r>
      <rPr>
        <b/>
        <sz val="16"/>
        <rFont val="Calibri"/>
        <family val="2"/>
      </rPr>
      <t>- 20/01/25</t>
    </r>
    <r>
      <rPr>
        <sz val="16"/>
        <rFont val="Calibri"/>
        <family val="2"/>
      </rPr>
      <t xml:space="preserve"> - Declaração de anuência concedida e encaminhada à SEADES.
</t>
    </r>
    <r>
      <rPr>
        <b/>
        <sz val="16"/>
        <rFont val="Calibri"/>
        <family val="2"/>
      </rPr>
      <t xml:space="preserve">- 10/01/25 </t>
    </r>
    <r>
      <rPr>
        <sz val="16"/>
        <rFont val="Calibri"/>
        <family val="2"/>
      </rPr>
      <t xml:space="preserve">- SEADES encaminha o ofício nº 018/2025, à CONDER, solicitando declaração de anuência para cadastro no TransfereGov.
- </t>
    </r>
    <r>
      <rPr>
        <b/>
        <sz val="16"/>
        <rFont val="Calibri"/>
        <family val="2"/>
      </rPr>
      <t>DOU 24/12/24 -</t>
    </r>
    <r>
      <rPr>
        <sz val="16"/>
        <rFont val="Calibri"/>
        <family val="2"/>
      </rPr>
      <t xml:space="preserve"> Contrato publicado, vigência 28/04/28.
- </t>
    </r>
    <r>
      <rPr>
        <b/>
        <sz val="16"/>
        <rFont val="Calibri"/>
        <family val="2"/>
      </rPr>
      <t xml:space="preserve">20/12/24 </t>
    </r>
    <r>
      <rPr>
        <sz val="16"/>
        <rFont val="Calibri"/>
        <family val="2"/>
      </rPr>
      <t xml:space="preserve">- TC assinado e protocolado na CAIXA;
- </t>
    </r>
    <r>
      <rPr>
        <b/>
        <sz val="16"/>
        <rFont val="Calibri"/>
        <family val="2"/>
      </rPr>
      <t>17/12/24</t>
    </r>
    <r>
      <rPr>
        <sz val="16"/>
        <rFont val="Calibri"/>
        <family val="2"/>
      </rPr>
      <t xml:space="preserve"> - Ofício nº 3646/2024/GIGOV/SA encaminhado pela CAIXA com a Minuta do TC 970115/2024, em anexo para assinatura do Governador/SEADES;
- </t>
    </r>
    <r>
      <rPr>
        <b/>
        <sz val="16"/>
        <rFont val="Calibri"/>
        <family val="2"/>
      </rPr>
      <t>13/12/24</t>
    </r>
    <r>
      <rPr>
        <sz val="16"/>
        <rFont val="Calibri"/>
        <family val="2"/>
      </rPr>
      <t xml:space="preserve"> - Projeto básico encaminhado à SEADES/CONDER (DINEP);
- </t>
    </r>
    <r>
      <rPr>
        <b/>
        <sz val="16"/>
        <rFont val="Calibri"/>
        <family val="2"/>
      </rPr>
      <t>04/12/24</t>
    </r>
    <r>
      <rPr>
        <sz val="16"/>
        <rFont val="Calibri"/>
        <family val="2"/>
      </rPr>
      <t xml:space="preserve"> - Conforme parecer técnico no TGov, o MJ aprovou a proposta elaborada pela SEADES;
- </t>
    </r>
    <r>
      <rPr>
        <b/>
        <sz val="16"/>
        <rFont val="Calibri"/>
        <family val="2"/>
      </rPr>
      <t xml:space="preserve">15/10/24 </t>
    </r>
    <r>
      <rPr>
        <sz val="16"/>
        <rFont val="Calibri"/>
        <family val="2"/>
      </rPr>
      <t xml:space="preserve">- Conforme SEADES/CONDER, em resposta à CAIXA, os projetos serão apresentados em 17/02/25, com possibilidade de antecipar o prazo;
- </t>
    </r>
    <r>
      <rPr>
        <b/>
        <sz val="16"/>
        <rFont val="Calibri"/>
        <family val="2"/>
      </rPr>
      <t xml:space="preserve">01/10/24 </t>
    </r>
    <r>
      <rPr>
        <sz val="16"/>
        <rFont val="Calibri"/>
        <family val="2"/>
      </rPr>
      <t>- SEADES confirma CONDER como ente executor da obra incluindo cadastro do CNPJ no TransfereGOV. Pendentes aprovação da proposta apresentada e entrega do projeto padrão/orçamento de referência pelo MJ;
- Conforme SEADES, formalização da proposta concluída e encaminhada no dia 06/09/24. Nova proposta cadastrada pela SEADES nº 026498/2024 no TransfereGov;
- Conforme Plano de Trabalho início previsto 20/12/24 e término previsto 28/04/28.</t>
    </r>
  </si>
  <si>
    <r>
      <rPr>
        <b/>
        <sz val="16"/>
        <rFont val="Calibri"/>
        <family val="2"/>
      </rP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2248/2026 - Enviado dia 17/04/26 Desbloqueio  de Parcela.  Informamos o desbloqueio da parcela de repasse no valor de R$ 488.138,68.</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1482/2026 - Enviado dia 17/03/26 -  Pendência Para Desbloqueio  de Parcela.</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941/2026 - Informamos a pendência para o desbloqueio da parcela de repasse  de R$  481.936,78.</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 CE GIGOV/SA 796/2026 - Enviado dia 09/02/26 - Informamos a pendência para o desbloqueio da parcela de repasse  de R$ 113.716,89. </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CE GIGOV/SA 5386/2025 - Enviado dia 24/11/2025 -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04/06/2025.Ordem de serviço assinada em 01/09/2025. Empresa vencedora: Cbs Construtora Baiana de Saneamento Ltda. Valor: R$ 637.604,79. VRPL emitido. Valor R$: 633.856,20.</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</si>
  <si>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</si>
  <si>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</si>
  <si>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</si>
  <si>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CT 027/2026 - Monitorar execução da obra com previsão de conclusão 03/06/2027.
</t>
  </si>
  <si>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</si>
  <si>
    <t>0459669-83/2015</t>
  </si>
  <si>
    <t xml:space="preserve">993775 </t>
  </si>
  <si>
    <t xml:space="preserve">993772 </t>
  </si>
  <si>
    <t xml:space="preserve"> CT Financ. 0633937-20</t>
  </si>
  <si>
    <t>CONTRATO Nº 25.2.0439.1</t>
  </si>
  <si>
    <t>CONTRATO Nº 25.2.0438.1</t>
  </si>
  <si>
    <t>CONTRATO Nº 25.2.0438.3</t>
  </si>
  <si>
    <t xml:space="preserve"> CONTRATO Nº 25.2.0439.1</t>
  </si>
  <si>
    <t>CONTRATO Nº 25.2.0438.2</t>
  </si>
  <si>
    <t>CONTRATO Nº 25.2.0438.4</t>
  </si>
  <si>
    <t>05816.6300001/25-006</t>
  </si>
  <si>
    <t>05816.6300001/25-007</t>
  </si>
  <si>
    <t>05816.6300001/25-012</t>
  </si>
  <si>
    <t xml:space="preserve">CT 037/2024 - Obra concluída em 02/06/2026.
</t>
  </si>
  <si>
    <t>RMS</t>
  </si>
  <si>
    <t>Renovação da frota do Sistema Metropolitano de Transportes de Passageiros da Região Metropolitana de Salvador – RMS, com cerca de 100 veículos elétricos de caraterística urbana e infraestrutura de carregamento.</t>
  </si>
  <si>
    <t>Aquisição de 200 ônibus de característica urbana: 80 ônibus elétricos e infraestrutura de carregamento; 120 ônibus movidos a diésel com tecnologia Euro 6.</t>
  </si>
  <si>
    <t>Grupo 2 - MACRODRENAGEM 2º ETAPA DA EXECUÇÃO NO RIO GONGOJI - Intervenção para área urbana de Dário Meira, por onde passa o Riacho do Meio e tem como objetivo sanar os problemas causados pelos alagamentos em períodos de chuva.</t>
  </si>
  <si>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</si>
  <si>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</si>
  <si>
    <t>Contrato de Financiamento (CF) 639.466-65</t>
  </si>
  <si>
    <t>MACRODRENAGEM - CANDEIAS: desenvolvimento de Projeto de canalização de talvegue tributário referente aos dois canais de drenagem da cidade de Candeias:
Canal 01: drena a porção central da cidade;
Canal 02: drena o bairro Santo Antônio</t>
  </si>
  <si>
    <t>Em fase de mobilização. Pendente alvará</t>
  </si>
  <si>
    <t xml:space="preserve">   Laudo de Análise de Engenharia e Síntese do projeto aprovado homologada pela CAIXA. 
Em fase de verificação do processo licitatório.
Expedição de Ordem de Serviço condicionada a Regularização Ambiental, cujas pendências são a Licença de Instalação (LI) e  Autorizações para Supressão de Vegetação (ASV) e de Manejo de Fauna (AMF)
</t>
  </si>
  <si>
    <t>Adjudicação e homologação das propostas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</si>
  <si>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R$ 440.000.000,00 (referente ao empréstimo) e encontra-se em fase de validação pela Caixa / Mcidades.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</si>
  <si>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R$ 253.738.396,57 (referente ao empréstimo) e encontra-se em fase de validação pela Caixa / Mcidades.</t>
  </si>
  <si>
    <t>Previsão de publicação de edital  em setembro/2026,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</si>
  <si>
    <t xml:space="preserve">
Validação da proposta pelo Agente Financeiro
</t>
  </si>
  <si>
    <t xml:space="preserve">
Definição do Estado quanto a publicação de Lei Autorizativa
Ordem de Serviço emitida em  04/05/2026. Obra em fase de mobilização. Aguardando alvará.</t>
  </si>
  <si>
    <t>Abertura das propostas</t>
  </si>
  <si>
    <t>PROJETO BÁSICO EM ANDAMENTO COM PREVISÃO DE CONCLUSÃO EM 30/12/2026</t>
  </si>
  <si>
    <t xml:space="preserve">
Monitorar a execução da obra
</t>
  </si>
  <si>
    <t xml:space="preserve">Consórcio Concreta e Geoconsult (Concreta Tecnologia em Engenharia Ltda/ Geoconsult Engenharia e Consultoria Ltda). </t>
  </si>
  <si>
    <t>RESULTADO DE HABILITAÇÃO E JULGAMENTO FINAL - LICITAÇÃO nº 2026 015 - SEI- 039.0798.2026.0000624-44.
Tipo: Menor Preço. Modo de Disputa: Fechada. Objeto: Contratação de Empresa Especializada para Execução das Obras do Sistema Adutor de Água Bruta da Sede Municipal de Wagner, no Estado da Bahia. A Comissão Permanente de Licitação - CPL, no uso de suas atribuições, em conformidade com a Lei Federal nº 13.303/2016 e com as disposições do Edital, torna público o Resultado de Habilitação e Julgamento Final da licitação acima referenciada, declarando HABILITADA e VENCEDORA, conforme pareceres técnicos (SEI eventos nº 00141538502 e 00141802709), a licitante EMPRENGE CONSTRUTORA LTDA, com proposta negociada no valor global total de R$ 7.025.569,57 (sete milhões, vinte e cinco mil, quinhentos e sessenta e nove reais, cinquenta e sete centavos). Conforme o artigo 59 da Lei nº 13.303/2016 e o item 7.1 da Seção B do Edital, inicia-se o prazo de 05 (cinco) dias úteis para a interposição de RECURSO ÚNICO, devendo observar a forma descrita no edital. Os documentos relativos à licitação acima mencionada estão disponíveis para vista presencialmente, por via eletrônica através do SEI (www.portalseibahia.saeb.ba.gov.br) e site da CERB (licitacoescerb.ba.gov.br). Salvador-BA, 09.06.2026. Izabel Maiza dos Anjos Viana - Presidente da Comissão Permanente de Licitação - CPL.</t>
  </si>
  <si>
    <t xml:space="preserve">LP 009/2026 - Homologação publicado do DOE dia 10/06/2026. Empresa Vencedora: Consórcio Concreta e Geoconsult (Concreta Tecnologia em Engenharia Ltda/ Geoconsult Engenharia e Consultoria Ltda). Valor Global R$: 14.559.546,42. </t>
  </si>
  <si>
    <t xml:space="preserve">LP 009/2026 - Homologação publicado do DOE dia 10/06/2026. Empresa Vencedora: Consórcio Concreta e Geoconsult (Concreta Tecnologia em Engenharia Ltda/ Geoconsult Engenharia e Consultoria Ltda). Valor Global R$: 17.154.422,79. </t>
  </si>
  <si>
    <t xml:space="preserve"> Nove Engenharia LTDA</t>
  </si>
  <si>
    <t>Monitoramento da execução da obra.</t>
  </si>
  <si>
    <t>CF Financiamento 0639469-97/2025</t>
  </si>
  <si>
    <t>CTB proceder com a abertura das propostas e divulgar o licitante vencedor.
COMUNICADO DE REMARCAÇÃO LP 26.002 - DOE 21/05/26 -CTB
Data de Abertura - 11/08/2026</t>
  </si>
  <si>
    <r>
      <t xml:space="preserve">COMUNICADO DE REMARCAÇÃO LP 26.002 - DOE 21/05/26 -CTB
Data de Abertura - 11/08/2026
</t>
    </r>
    <r>
      <rPr>
        <sz val="16"/>
        <rFont val="Calibri"/>
        <family val="2"/>
      </rPr>
      <t>Comunicado de Suspensão LP 26.002 - Publicado no DOE 18/04/2026
LP 26002/2026 publicada no DOE 02/04/2026
Data de Abertura - 12/06/2025</t>
    </r>
  </si>
  <si>
    <t>CTB em tratativas com a Universidade Roma, objetivando proceder com uma contratação por Inexigibilidade.</t>
  </si>
  <si>
    <t>Apresentação da documentação administrativa para contratação de operações - A proposta será apresentada em 2027. Sedur busca compatibilizar no orçamento 2027.</t>
  </si>
  <si>
    <t>974912/2024</t>
  </si>
  <si>
    <t>Regularização Fundiária de Interesse Social no núcleo informal consolidado Mangueira no município de Salvador, território Alagados.</t>
  </si>
  <si>
    <t>064265/2025</t>
  </si>
  <si>
    <t>Documentação técnica da proposta enviada pela CONDER 27/05/26, em proceso de análise qualitativa na CAIXA.</t>
  </si>
  <si>
    <t>Documentação técnica da proposta enviada pela CONDER 29/05/26, em proceso de análise qualitativa na CAIXA.</t>
  </si>
  <si>
    <t xml:space="preserve">Meta possivelmente não será executada. Em tratativas para remanejamento do recurso para construção de uma barragem. </t>
  </si>
  <si>
    <t>Conder enviar documentação para Caixa para obtenção do VRPL</t>
  </si>
  <si>
    <t>Empresa vencedora- INO9VARE Enganharia LTDA
Aviso de Licitação publicado no DOE 13/02/26  - Abertura: 04/05/2026
 À Licitar.  Ofício CE 19/2026 enviado em 02/01/2026 prorrogando abertura da Licitação para 28/02/2026.  19/11/25 - Aguardando dotação orçamentária para licitar. SEI: 043.4110.2025.0020786-46</t>
  </si>
  <si>
    <t>Empresa Vencedora - INO9VARE Enganharia LTDA
Aviso de Licitação publicado no DOE 13/02/26  - Abertura: 04/05/2026
À Licitar.  Ofício CE 19/2026 enviado em 02/01/2026 prorrogando abertura da Licitação para 28/02/2026.  19/11/25  - Aguardando dotação orçamentária para licitar. SEI: 043.4110.2025.0020786-46</t>
  </si>
  <si>
    <t xml:space="preserve">Empresa Vencedora - ART Projetos Construções e Serviços LTDA 
Aviso de Licitação publicado no DOE 13/02/26 - Abertura 06/05/26
À Licitar.  Ofício CE 19/2026 enviado em 02/01/2026 prorrogando abertura da Licitação para 28/02/2026.  19/11/25 - Aguardando dotação orçamentária para licitar. </t>
  </si>
  <si>
    <t>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</si>
  <si>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
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</si>
  <si>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ART Projetos Construções e Serviços LTDA </t>
  </si>
  <si>
    <t>BMV CONSTRUCOES E INCORPORACOES LTDA</t>
  </si>
  <si>
    <t>INO9VARE ENGENHARIA LTDA</t>
  </si>
  <si>
    <t>Novo Número: 033237/2024
Proposta: 56000001324/2024
BB: 1090756</t>
  </si>
  <si>
    <t xml:space="preserve">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 indicado apresenta solo do tipo rochoso – valor estimado da implantação R$4.725.157,39.
Terreno indicado e tecnicamente com pendências / Projetos em desenvolvimento. </t>
  </si>
  <si>
    <t>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A Conder elaborou um estudo preliminar, já ecaminhado e em posse do município, que atualmente se encontra em fase de planejamento, compatinilização e adequação dos elementos arquitetónicos passíveis de tal demandas e realidades locais. O terreno se localiza próximo de uma creche, posto de saúde e da futura rodoviária da cidade. Terreno possui matrícula e escritura. 
Terrenos definidos e tecnicamente aprovados/ Projetos em desenvolvimento visando licitação.</t>
  </si>
  <si>
    <r>
      <t xml:space="preserve">RESUMO DO CT 077/2026 - DOE 17/06/2026 - CONDER
AVISO LP 024/26 publicado no DOE 07/03 
Abertura:   20/05/202
</t>
    </r>
    <r>
      <rPr>
        <sz val="16"/>
        <rFont val="Calibri"/>
        <family val="2"/>
      </rPr>
      <t>Assinatura e publicação do termo de compromisso publicado no DOU - 19/11/2024</t>
    </r>
  </si>
  <si>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09/12/25 - Percentual de execução atualizado 16,24%, conforme retorno DTE (Whatsapp Roberval).
02/09/25 - Obra em andamento ainda sem % de execução. Conforme Diretoria de Terminais a obra foi iniciada em 15/08/25, um dia após emissão de NOTAM pela ANAC (autorização necessária para início) e não após emissão da O.S., tendo a previsão de conclusão ajustada para ABR/26.
</t>
    </r>
    <r>
      <rPr>
        <sz val="16"/>
        <rFont val="Calibri"/>
        <family val="2"/>
      </rPr>
      <t>25/06/25 - Assinatura da Ordem de Serviço. 
30/05/25 - Publicado resumo de contrato, execução 330 dias. Pendente emissão O.S.</t>
    </r>
  </si>
  <si>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07/10 - Edital analisado pela PGE e SAEB, uma vez que o BB ainda não disponibilizou Plataforma para licitação concorrência eletrônica para julgamento técnica e preço. Conforme SEINFRA, não há previsão para o certame de equipamentos/mobiliários;
18/09 - Autorização da SAC para início do processo licitatório, com glosa e ressalvas, conforme Ofício 529/2024/SAC-MPOR.
13/09 - Entregues à SAC (plataforma) relatório assinado pela Seinfra e licença ambiental.
02/09 - Adequações de orçamento entregues na plataforma da SAC, pendente parecer final.
Financiamento: FNAC</t>
  </si>
  <si>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02/09/25 -  Obra em início de mobilização (regime de contratação integrada). Previsão de conclusão conforme Monitora.
</t>
    </r>
    <r>
      <rPr>
        <sz val="16"/>
        <rFont val="Calibri"/>
        <family val="2"/>
      </rPr>
      <t>24/07/25 - Assinatura da Ordem de Serviço.
23/07/25 - Publicado contrato para elaboração de Projetos Básicos, Executivos e Construção de TPS e edificações auxiliares do Aeroporto de Barreiras, execução 480 dias.</t>
    </r>
  </si>
  <si>
    <t>Construção da BR 242/BA - Santo Antônio - Nazaré (Financiamento). Extensão: 22,42 km</t>
  </si>
  <si>
    <t>CE GIGOV/SA 3617/2026  de 17/06/26- Solicitações para Continuidade do Processo.
Sedur não informa prazo para resolução dos apontamentos.
Meta da Bahia esgotada para novas contratações 2026 (inf. Gov. Fed.)</t>
  </si>
  <si>
    <r>
      <t xml:space="preserve">
Definição do Estado quanto a publicação de Lei Autorizativa
</t>
    </r>
    <r>
      <rPr>
        <b/>
        <sz val="16"/>
        <rFont val="Calibri"/>
        <family val="2"/>
      </rPr>
      <t>LICITAÇÃO n.º 073/26, Abertura de Propostas: 27/08/2026 às 09:00.</t>
    </r>
    <r>
      <rPr>
        <sz val="16"/>
        <rFont val="Calibri"/>
        <family val="2"/>
      </rPr>
      <t xml:space="preserve">
</t>
    </r>
  </si>
  <si>
    <t>PROPONENTE : EMBASA
AVISO DA LICITAÇÃO Nº 073/26
A Embasa torna público que realizará a LICITAÇÃO n.º 073/26, processada de acordo com as disposições da Lei nº 13.303/2016, Lei complementar 123/2006 e Regulamento Interno de Licitações e Contratos da EMBASA. Objeto: Execução das obras de implantação do Sistema de Esgotamento Sanitário de Brumado e Vila Presidente Vargas. Abertura de Propostas: 27/08/2026 às 09:00. (Horário de Brasília-DF). Recursos Financeiros: Próprios. O Edital e seus anexos encontram-se disponíveis para download no site https://licitacoes-e2.bb.com.br/aop-inter-estatico/,  (Licitação BB nº: 1094815). O cadastro da proposta deverá ser feito no site https://licitacoes-e2.bb.com.br/aop-inter-estatico/, antes da abertura da sessão pública. Informações através do e-mail: glcle.esclarecimentos@embasa.ba.gov.br ou por telefone: (71) 3372-4022/4756. Salvador, 10 de junho de 2026. - Samuel Cordeiro de Jesus - Agente de Licitação.</t>
  </si>
  <si>
    <r>
      <t xml:space="preserve">Ampliação do Sistema de Esgotamento Sanitário de Santo Antônio de Jesus
</t>
    </r>
    <r>
      <rPr>
        <b/>
        <sz val="16"/>
        <rFont val="Calibri"/>
        <family val="2"/>
      </rPr>
      <t>(1ª etapa publicado o aviso de licitação)</t>
    </r>
  </si>
  <si>
    <r>
      <t>Definição do Estado quanto a publicação de Lei Autorizativa
LICITAÇÃO n.º 083/26,</t>
    </r>
    <r>
      <rPr>
        <b/>
        <sz val="16"/>
        <rFont val="Calibri"/>
        <family val="2"/>
      </rPr>
      <t xml:space="preserve"> 1ª Etapa.</t>
    </r>
    <r>
      <rPr>
        <sz val="16"/>
        <rFont val="Calibri"/>
        <family val="2"/>
      </rPr>
      <t xml:space="preserve"> Abertura de Propostas: 03/09/2026</t>
    </r>
  </si>
  <si>
    <t>Validação da proposta pelo Agente Financeiro
Abertura das propostas</t>
  </si>
  <si>
    <t>AVISO DA LICITAÇÃO Nº 083/26
A Embasa torna público que realizará a LICITAÇÃO n.º 083/26, processada de acordo com as disposições da Lei nº 13.303/2016, Lei complementar 123/2006 e Regulamento Interno de Licitações e Contratos da EMBASA. Objeto: Execução das obras de ampliação do sistema de esgotamento sanitário de Santo Antonio de Jesus - 1ª Etapa. Abertura de Propostas: 03/09/2026 às 09:00. (Horário de Brasília-DF). Recursos Financeiros: Próprios. O Edital e seus anexos encontram-se disponíveis para download no site https://licitacoes-e2.bb.com.br/aop-inter-estatico/,  (Licitação BB nº: 1095484). O cadastro da proposta deverá ser feito no site https://licitacoes-e2.bb.com.br/aop-inter-estatico/, antes da abertura da sessão pública. Informações através do e-mail: glcle.esclarecimentos@embasa.ba.gov.br ou por telefone: (71) 3372-4022/4756. Salvador, 19 de junho de 2026. - Ariane Pires Gomes Gannum - Agente de Licitação.</t>
  </si>
  <si>
    <r>
      <t xml:space="preserve">Concluir projeto básico em andamento com previsão de conclusão em 30/12/2026
</t>
    </r>
    <r>
      <rPr>
        <b/>
        <sz val="16"/>
        <rFont val="Calibri"/>
        <family val="2"/>
      </rPr>
      <t>Previsão de publicação de edital em 01/06/2027</t>
    </r>
  </si>
  <si>
    <r>
      <t xml:space="preserve">Concluir projeto básico que esta em andamento com previsão de conclusão em 30/10/2026
</t>
    </r>
    <r>
      <rPr>
        <b/>
        <sz val="16"/>
        <rFont val="Calibri"/>
        <family val="2"/>
      </rPr>
      <t>Previsão de publicação de edital em 01/03/2027.</t>
    </r>
  </si>
  <si>
    <t>Consórcio Saúde Valença (Metro Engenharia e Consultoria LTDA / QG Construções e Engenharia LTDA)</t>
  </si>
  <si>
    <t>Cons. Sussuarana (Const. Kazza ltda. / STS Engª ltda)</t>
  </si>
  <si>
    <t>Emissão de Autorização de Início de Obra – AIO</t>
  </si>
  <si>
    <t xml:space="preserve"> Aceite do VRPL em 29/06/2026</t>
  </si>
  <si>
    <t>Aceite do VRPL em 30/06/2026</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</si>
  <si>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</si>
  <si>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O município apresentou designação de área, em sua posse, entretando, a poligonal disponibilizada não cabia em dimensões físicas a implantação do projeto dessa forma o terreno foi inviabilizado pela Conder. 
Foi apresentado a inviabilidade ao município, que em resposta apresentou outra poligonal para implantação. Esta nova poligonal foi alocada em cima de outro equipamento cultural pré-existente, uma praça pública mobiliada. 
Visita técnica marcada para 19/05/25  Secult, Casa civil.
Terreno indicado localizado em Área de Preservação Permanente - APP, margem do Rio Paraguaçu.
Terreno indicado e tecnicamente com pendências / Realizada entrega parcial da documentação - pendentes estudos topográficos e geotécnicos.</t>
  </si>
  <si>
    <t>CANAL LIGAÇÃO JAGUARIBE - 
CONTRATAÇÃO INTEGRADA DE EMPRESA DE ENGENHARIA ESPECIALIZADA PARA DESENVOLVIMENTO DE PROJETOS E EXECUÇÃO DE OBRAS PARA AMORTECIMENTO DE CHEIAS NO MÉDIO E ALTO JAGUARIBE (1ª ETAPA), EM SALVADOR/BA.</t>
  </si>
  <si>
    <t>Pejota Construções Ltda.</t>
  </si>
  <si>
    <t>CONSÓRCIO SAÚDE ALAGOINHAS (METRO ENGENHARIA E CONSULTORIA LTDA / QG CONSTRUÇÕES E ENGENHARIA LTDA)</t>
  </si>
  <si>
    <t xml:space="preserve">Aceite do VRPL em 30/06/2026
</t>
  </si>
  <si>
    <t>AIO emitida em 01/07/2026</t>
  </si>
  <si>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</si>
  <si>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</si>
  <si>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</si>
  <si>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</si>
  <si>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</si>
  <si>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</si>
  <si>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</si>
  <si>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</si>
  <si>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</si>
  <si>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</si>
  <si>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</si>
  <si>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</si>
  <si>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</si>
  <si>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t xml:space="preserve">Contrato nº 023/2026. Contratada: Land5 Arquitetura e Urbanismo Ltda
IPAC lançou aviso de licitação no DOE 06/03/2026
Abertura das propostas 16/04/26 </t>
  </si>
  <si>
    <r>
      <rPr>
        <sz val="16"/>
        <rFont val="Calibri"/>
        <family val="2"/>
      </rPr>
      <t>CE GIGOV/SA 4015/2026 - Incorporação de Nota de Empenho - CAIXA informa a incorporação dos dados orçamentários e financeiros de recursos.
Meta possivelmente não será executada. Em tratativas para remanejamento do recurso para a CERB executar a barragem de Medeiros Neto localizada na Bacia de contribuição do rio Alcobaça (ou rio Itanhém) 25 a 30 km a montante da sede de Medeiros Neto, com objetivo de atender múltiplos usos, incluindo abastecimento humano, atividades produtivas e regularização de vazões do rio. 
Posteriormente buscar-se-á captar recurso para execução da macrodrenagem na cidade</t>
    </r>
    <r>
      <rPr>
        <b/>
        <sz val="16"/>
        <rFont val="Calibri"/>
        <family val="2"/>
      </rPr>
      <t xml:space="preserve">.
 </t>
    </r>
    <r>
      <rPr>
        <sz val="16"/>
        <rFont val="Calibri"/>
        <family val="2"/>
      </rPr>
      <t xml:space="preserve">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</si>
  <si>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</si>
  <si>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rPr>
        <sz val="16"/>
        <rFont val="Calibri"/>
        <family val="2"/>
      </rPr>
      <t xml:space="preserve">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</si>
  <si>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CONSÓRCIO BARRAGEM MORRINHOS</t>
  </si>
  <si>
    <t xml:space="preserve">SECRETARIA DE INFRAESTRUTURA HÍDRICA E SANEAMENTO - SIHS
COMPANHIA DE ENGENHARIA HÍDRICA E DE SANEAMENTO DA BAHIA - CERB
Extrato de Contrato nº 052/2026. Processo Sei nº 039.0781.2024.0005392-92. Partes: CERB e CONSÓRCIO BARRAGEM MORRINHOS. Objeto: contratação de empresa especializada para execução da obra de implantação da Barragem de Morrinhos, situada na Bacia do Rio Gavião, nos Municípios de Piripá, Presidente Jânio Quadros, Condeúba e Cordeiros, no Estado da Bahia. Fundamento: Licitação Pública nº 2026007. Valor: R$ 129.426.772,84. Prazo de execução: 630dias, iniciando-se sua contagem a partir do 7º (sétimo) dia após a emissão da Ordem de Serviço expedida pela CERB. Prazo de vigência: 750 dias, contado do primeiro dia útil subsequente à sua assinatura. Data da Assinatura: 03/07/2026. Larissa Gomes Moraes - Diretora Presidente -CERB.
</t>
  </si>
  <si>
    <r>
      <t xml:space="preserve">Em processo de formalização do Termo Aditivo de  readequação do Plano de Trabalho, bem como a ampliação do valor, com valor da contrapartida Estadual para Execução da Obra:
              R$ 32.000.000,00 (trinta e dois milhões de reais), </t>
    </r>
    <r>
      <rPr>
        <sz val="16"/>
        <rFont val="Calibri"/>
        <family val="2"/>
      </rPr>
      <t>para participação, a título de Contrapartida Financeira, no repasse de recursos destinados a Obra e Implantação da Barragem de Morrinhos
Ordem de Serviço parcial emitida em 03/07/2026. A CERB está cumprindo as condicionantes exigidas para obtenção da Licença de Instalação. A emissão da Ordem de Serviço definitiva está condicionada à obtenção da licença ambiental, com previsão para agosto de 2027.</t>
    </r>
  </si>
  <si>
    <r>
      <t xml:space="preserve">Formalização do Termo Aditivo para acréscimo da contrapartida estadual.
</t>
    </r>
    <r>
      <rPr>
        <b/>
        <sz val="16"/>
        <rFont val="Calibri"/>
        <family val="2"/>
      </rPr>
      <t>Ordem de Serviço parcial emitida em 03/07/2026</t>
    </r>
    <r>
      <rPr>
        <sz val="16"/>
        <rFont val="Calibri"/>
        <family val="2"/>
      </rPr>
      <t xml:space="preserve">. A CERB está cumprindo as condicionantes exigidas para obtenção da Licença de Instalação. </t>
    </r>
  </si>
  <si>
    <t>A emissão da Ordem de Serviço definitiva está condicionada à obtenção da licença ambiental, com previsão para agosto de 2027.</t>
  </si>
  <si>
    <r>
      <t xml:space="preserve">CE GIGOV SA 4101 2026 Verificação de Resultado de Processo Licitatório Trabalho Social Etapa 3 Bate Facho TC OGU 969064 2024 - Caixa solicita complementação de documentação
CE GIGOVSA 2830_2026 - Autorização de Início de Objeto – AIO – Etapa 3 ( Bate Facho) 
Caixa informa da AIO
</t>
    </r>
    <r>
      <rPr>
        <b/>
        <sz val="16"/>
        <rFont val="Calibri"/>
        <family val="2"/>
      </rPr>
      <t xml:space="preserve">
CE GIGOV/SA 1592/2026 - Enviado dia 20/03/26 - Informamos a pendência para o desbloqueio no valor de R$ 621.669,05.
</t>
    </r>
    <r>
      <rPr>
        <sz val="16"/>
        <rFont val="Calibri"/>
        <family val="2"/>
      </rPr>
      <t>CE GIGOV/SA 1413/2026 - Caixa informa o aceite VRPL. Solicita envio do processo no TGOV
CE GIGOV/SA 1413/2026 - Enviado dia 13/03/26 - Verificação do Resultado do Processo Licitatório. Aceito nesta VRPL. Valor R$ 9.660.258,59.</t>
    </r>
    <r>
      <rPr>
        <b/>
        <sz val="16"/>
        <rFont val="Calibri"/>
        <family val="2"/>
      </rPr>
      <t xml:space="preserve">
</t>
    </r>
    <r>
      <rPr>
        <sz val="16"/>
        <rFont val="Calibri"/>
        <family val="2"/>
      </rPr>
      <t>Recepcionado CE GIGOV/SA 420/2026</t>
    </r>
    <r>
      <rPr>
        <b/>
        <sz val="16"/>
        <rFont val="Calibri"/>
        <family val="2"/>
      </rPr>
      <t xml:space="preserve"> </t>
    </r>
    <r>
      <rPr>
        <sz val="16"/>
        <rFont val="Calibri"/>
        <family val="2"/>
      </rPr>
      <t>- Solicitado a inclusão na plataforma TGOV documentação de inicio ou conclusão de cocumentos que comprovem a realização da Licitação da Etapa 3. Dando um prazo limite de prorrogação de mais 60 dias.</t>
    </r>
    <r>
      <rPr>
        <b/>
        <sz val="16"/>
        <rFont val="Calibri"/>
        <family val="2"/>
      </rPr>
      <t xml:space="preserve"> 
CE GIGOV/SA 5262/2025 -Enviado dia 18/11/25 - Análise da 1ª versão da reprogramação do PTS.</t>
    </r>
    <r>
      <rPr>
        <sz val="16"/>
        <rFont val="Calibri"/>
        <family val="2"/>
      </rPr>
      <t xml:space="preserve">
Recepcionado o CE GIGOV/SA 3620/2025 - Aceite de Projeto do Tomador/Proponente </t>
    </r>
    <r>
      <rPr>
        <b/>
        <sz val="16"/>
        <rFont val="Calibri"/>
        <family val="2"/>
      </rPr>
      <t xml:space="preserve"> 
</t>
    </r>
    <r>
      <rPr>
        <sz val="16"/>
        <rFont val="Calibri"/>
        <family val="2"/>
      </rPr>
      <t>CE GIGOV/SA 2879/2025 enviado dia 17/07/2025 - Pendências da Análise.
Recepcionado 23/06/25 CE GIGOV/SA 2429/2025 Operação 1098381-91 - Meta BATE FACHO
CAIXA Encaminha Relatório de Pendencias/esclarecimentos necessários para finalização da análise.(Revisões e complementações na documentação apresentada) 
CE GIGOV/SA 1978/2025 - Laudo de Análise de Instrumento de Planejamento Social;
19/05 A CONDER  informou que o anteprojeto está finalizado e está em análise pela CAIXA. As Complementações e retificações que a CAIXA havia solicitado para que se fizesse no Orçamento foram feitas e encaminhadas desde o dia 30/04/2025. A CONDER tem insistido para que a análise ocorra de maneira célere. 
Porém o Status atual é análise da Documentação pela CAIXA.
Recepcionado dia 03/04/25 CE GIGOV/SA 998/2025 - Análise Preliminar - Caixa solicita correções/ complementações.
Recepcionado dia 15/01/25 o Ofício nº 119 / 2025 / GIGOV/SA - Resposta do MCidades sobre  Licenciamento Ambiental e Titularidade de Área;
Cronograma cadastrado no TRANSFEREGOV - Prazo de execução - 12 meses,  conclusão Prevista 08/04/26.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</si>
  <si>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</si>
  <si>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</si>
  <si>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Land5 Arquitetura e Urbanismo Ltda</t>
  </si>
  <si>
    <t>Cons. Gal Costa (Const. Kazza Ltda.
/ STS Engª Ltda.)</t>
  </si>
  <si>
    <t>https://governodabahia.plataformatarget.com.br/web/bc32e3fd-3bd1-45a3-9305-9c030fe44277/principal</t>
  </si>
  <si>
    <t>https://governodabahia.plataformatarget.com.br/web/7f59c2d7-df3b-405d-9a17-bf62a509c8a4/home</t>
  </si>
  <si>
    <t>https://governodabahia.plataformatarget.com.br/web/5eb28d85-fd74-4846-b5c8-a9d3328d1d64/home</t>
  </si>
  <si>
    <t>TC: 965.994/2024 de 29/07/24
Contrato Caixa: 1096681-49
Contrato Conder: 055/2026</t>
  </si>
  <si>
    <t>- Monitorar execução da obra.</t>
  </si>
  <si>
    <t>TC: 965.994/2024 de 29/07/24
Contrato Caixa: 1096681-49
Contrato Conder: 036/2026</t>
  </si>
  <si>
    <t>TC: 965.994/2024 de 29/07/24
Contrato Caixa: 1096681-49
Contrato Conder: 064/2026</t>
  </si>
  <si>
    <t xml:space="preserve">Licitação Fracassada 
Em discussão IPHAN e SEDUR sobre a possibilidade de inclusão de mais casarões na proposta. Em 06/02/26 Conder informou que vai relançar a licitação sem a definição do IPHAN e SEDUR, se posteriomente decidirem inserir mais casarões a licitação será ajustada. </t>
  </si>
  <si>
    <t>LC 130/22 - Monitorar execução da obra
Enquadrada como licitação pretérita
Investimento: R$ 57.880.459,44
Empresa: C. E .R. Engenharia Ltda
Contrato com a empresa: R$ 45.888.509,72</t>
  </si>
  <si>
    <t xml:space="preserve">
LC 065/23 - Monitorar execução da obra
Enquadrada como licitação pretérita
Investimento:  R$ 15.898.789,93
Empresa: IQ Construtora Ltda
Contrato com a empresa: R$ 12.662.857,49
</t>
  </si>
  <si>
    <t xml:space="preserve">LC 092/24 - 2ª Etapa - Monitorar execução da obra
Enquadrada como licitação pretérita
Investimento:  R$ 44.436.041,53
Empresa: Pejota Construções Ltda
Contrato com a empresa: R$ 21.991.559,06
</t>
  </si>
  <si>
    <r>
      <t xml:space="preserve">
Enquadrada como licitação pretérita
LC 211/24 -  Monitorar execução da obra
</t>
    </r>
    <r>
      <rPr>
        <sz val="16"/>
        <rFont val="Calibri"/>
        <family val="2"/>
      </rPr>
      <t xml:space="preserve">
</t>
    </r>
    <r>
      <rPr>
        <b/>
        <sz val="16"/>
        <rFont val="Calibri"/>
        <family val="2"/>
      </rPr>
      <t xml:space="preserve">Investimento:  R$ 22.118.218,41
Empresa: Ambiente Engenharia Ltda
Contrato com a empresa: R$ 8.489.481,57
</t>
    </r>
  </si>
  <si>
    <r>
      <t xml:space="preserve">
LC 206/24 -  Monitorar execução da obra
Investimento: R$ 78.834.415,56
</t>
    </r>
    <r>
      <rPr>
        <sz val="16"/>
        <rFont val="Calibri"/>
        <family val="2"/>
      </rPr>
      <t xml:space="preserve">
</t>
    </r>
    <r>
      <rPr>
        <b/>
        <sz val="16"/>
        <rFont val="Calibri"/>
        <family val="2"/>
      </rPr>
      <t xml:space="preserve">Empresa: CCP Construções e Locações de Equipamentos Ltda
Contrato com a empresa: R$ 74.911.542.,00
</t>
    </r>
  </si>
  <si>
    <t xml:space="preserve">
Enquadrada como licitação pretérita
LC 039/25 - Monitorar a ordem de serviço
Investimento: R$ 20.191.964,48
Empresa: Emprenge Construtora LTda 
Contrato com a empresa: R$ 16.525.306,51
</t>
  </si>
  <si>
    <t xml:space="preserve">Enquadrada como licitação pretérita
LC 025/25 - Monitorar a ordem de serviço
Investimento: R$ 58.664.595,82
Empresa: Consórcio Camel Terral SES Caldas do Jorro (Camel Empreendimentos e Construções Ltda e Terral Construtora Ltda.)
Contrato com a empresa: R$ 55.200.000,00
</t>
  </si>
  <si>
    <r>
      <rPr>
        <b/>
        <sz val="16"/>
        <rFont val="Calibri"/>
        <family val="2"/>
      </rPr>
      <t xml:space="preserve">
LC 082/25 - Monitorar a ordem de serviço
Investimento: R$ 87.071.831,81
Empresa: CONSÓRCIO SES NAZARÉ (composto pelas empresas EBISA Engenharia e OCC Construções) 
Contrato com a empresa: R$ 84.490.000,00
</t>
    </r>
    <r>
      <rPr>
        <sz val="16"/>
        <rFont val="Calibri"/>
        <family val="2"/>
      </rPr>
      <t xml:space="preserve">
</t>
    </r>
  </si>
  <si>
    <t>LC 082/25 com disputa realizada em 08/09/2025 . O licitante CONSÓRCIO SES NAZARÉ (composto pelas empresas EBISA Engenharia e OCC Construções) foi declarado vencedor do certame no dia 22/10/2025. Contrato 460024466/25 assinado em 16/12/25  com recursos Próprios (contrato de obra será apostilado alterando a fonte de recursos  de Próprios para o Novo PAC FGTS).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</si>
  <si>
    <t>Consórcio Ses Nazaré, Constituído Pelas Empresas Ebisa - Engenharia Brasileira Indústria E Saneamento Ltda (Líder) e OCC Construções E Participações S/A</t>
  </si>
  <si>
    <t xml:space="preserve">Expedição de Ordem de Serviço condicionada a Regularização Ambiental, cujas pendências são a Licença de Instalação (LI) e  Autorizações para Supressão de Vegetação (ASV) e de Manejo de Fauna (AMF).
</t>
  </si>
  <si>
    <t>LC 141/25 publicada em 10/10/25, com disputa realizada em 22/12/2025.Contrato 460024882/26 assinado em 30/03/26 com o Consórcio SES Barrocas.
Expedição de Ordem de Serviço condicionada a Regularização Ambiental, cujas pendências são a Licença de Instalação (LI) e  Autorizações para Supressão de Vegetação (ASV) e de Manejo de Fauna (AMF)
Observação:  Laudo de Análise de Engenharia e Síntese do projeto aprovado homologada pela CAIXA. 
Em fase de verificação do processo licitatório.</t>
  </si>
  <si>
    <t>EXTRATO DO CONTRATO Nº 460025145
Processo SEI 100.21248.2026.0018898-50. Contratada: CCP Construções e Locações de Equipamentos LTDA. (CNPJ 03.366.881/0001-57). Objeto: Execução das obras da implantação do sistema de esgotamento sanitário de livramento de nossa senhora. Valor Contratado: R$ 108.913.813,52. Execução: 1080 dias. Assinado em 22/05/26. Origem: Licitação nº LC 176/25. Unidade Gestora: EXS/DE. Recursos: Próprios. Salvador/BA, 25/05/26. Vítor Augusto do Carmo Sousa - Gerente da Unidade de Licitações e Contratações.
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está condicionada a regularização ambiental e autorização do Iphan. As pendências relacionadas a regularização ambiental são a Licença de Instalação (LI), Outorga e Autorizações para Supressão de Vegetação (ASV) e de Manejo de Fauna (AMF).
Contrato de Financiamento (CF) 639.463-31 do Novo PAC FGTS assinado em 10/03/2026 , no valor de R$ 139.824.480,37.</t>
  </si>
  <si>
    <t>Previsão de publicação de edital em  junho/2027, condicionada a assinatura do contato de financiamento ou disponibilização de recursos próprios.
O empreendimento foi habilitado, através da Portaria 1421 de 09/12/2025 - Novo PAC FGTS 2025, no valor de R$ 209.000.000,00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</si>
  <si>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1421 de 09/12/2025 - Novo PAC FGTS 2025, no valor de R$ 789.901.030,02 (referente ao empréstimo)  e encontra-se em fase de validação pela Caixa / Mcidades.</t>
  </si>
  <si>
    <t>Aguardando emissão de VRPL pela mandatária.</t>
  </si>
  <si>
    <t xml:space="preserve">
Análise de mandatária e emissão de VRPL
Emissão de AIO
Emissão de O.S.
Monitorar execução da obra.</t>
  </si>
  <si>
    <t xml:space="preserve">
Análise de mandatária e emissão de VRPL
Emissão de AIO
Emissão de O.S.
Monitorar execução da obra.</t>
  </si>
  <si>
    <t>Monitoramento da Execução de Obras;</t>
  </si>
  <si>
    <r>
      <t>Segunda OS Execução de obras 02/04/2026</t>
    </r>
    <r>
      <rPr>
        <sz val="16"/>
        <rFont val="Calibri"/>
        <family val="2"/>
      </rPr>
      <t xml:space="preserve">
AIO emitida em 08/01/2025
 OS de Projetos, incluso topografia, sondagens -  12/11/2025
Resumo do Contrato Publicado no DOE 14/10/25</t>
    </r>
    <r>
      <rPr>
        <b/>
        <sz val="16"/>
        <rFont val="Calibri"/>
        <family val="2"/>
      </rPr>
      <t xml:space="preserve">
Ctr Nº 17/2025
</t>
    </r>
    <r>
      <rPr>
        <sz val="16"/>
        <rFont val="Calibri"/>
        <family val="2"/>
      </rPr>
      <t>Homologação, Adjudicação e Convocação para Ass. do Contrato publ. no DOE 08/10/25</t>
    </r>
    <r>
      <rPr>
        <b/>
        <sz val="16"/>
        <rFont val="Calibri"/>
        <family val="2"/>
      </rPr>
      <t xml:space="preserve">
</t>
    </r>
    <r>
      <rPr>
        <sz val="16"/>
        <rFont val="Calibri"/>
        <family val="2"/>
      </rPr>
      <t>Vencedor:</t>
    </r>
    <r>
      <rPr>
        <b/>
        <sz val="16"/>
        <rFont val="Calibri"/>
        <family val="2"/>
      </rPr>
      <t xml:space="preserve"> Consórcio Expresso 2 de Julho  (Áyla Construtora S/A, OECI S/A., Metro Engenharia e MPE Engenharia e serviços) 
Valor: R$ 1.107.231.801,21
</t>
    </r>
    <r>
      <rPr>
        <sz val="16"/>
        <rFont val="Calibri"/>
        <family val="2"/>
      </rPr>
      <t>Aviso de Licitação Presencial - LP 25.002 / CTB  publicado no DOE 10/06/25. Sessão pública para recebimento das propostas dia 19/08/2025</t>
    </r>
    <r>
      <rPr>
        <b/>
        <sz val="16"/>
        <rFont val="Calibri"/>
        <family val="2"/>
      </rPr>
      <t xml:space="preserve">.
</t>
    </r>
    <r>
      <rPr>
        <sz val="16"/>
        <rFont val="Calibri"/>
        <family val="2"/>
      </rPr>
      <t>Termo de Compromisso publicado no DOU 09/01/25.</t>
    </r>
    <r>
      <rPr>
        <b/>
        <sz val="16"/>
        <rFont val="Calibri"/>
        <family val="2"/>
      </rPr>
      <t xml:space="preserve"> </t>
    </r>
  </si>
  <si>
    <t>Dispensa de licitação com previsão de abertura de documentação em 22/07/2026
CONDER lançou nova licitação no DOE 21/03/2026
Abertura das propostas 03/06/26</t>
  </si>
  <si>
    <r>
      <t xml:space="preserve">Definição do Estado quanto a publicação de Lei Autorizativa
</t>
    </r>
    <r>
      <rPr>
        <b/>
        <sz val="16"/>
        <rFont val="Calibri"/>
        <family val="2"/>
      </rPr>
      <t>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t>
    </r>
  </si>
  <si>
    <t xml:space="preserve">PROPONENTE : EMBASA
LC 163/25 publicada, com abertura realizada no dia 24/02/26 (com recursos Próprios). A licitante Construtora PABLO foi declarada vencedora do certame no dia 16/03/2026.  Contrato 460025107/26 assinado em 20/05/26.
Ordem de Serviço condicionada a assinatura do contrato de financiamento.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</si>
  <si>
    <r>
      <t xml:space="preserve">PROPONENTE : EMBASA
</t>
    </r>
    <r>
      <rPr>
        <b/>
        <sz val="16"/>
        <rFont val="Calibri"/>
        <family val="2"/>
      </rPr>
      <t>A licitação das obras da 1ª etapa (com recursos próprios), LC 083/26, foi publicada, com disputa agendada para 03/09/2026.
O empreendimento foi habilitado, através da Portaria 1425 de 10/12/2025 - Novo PAC FGTS 2025, no valor de R$ 170.000.000,00 (referente ao empréstimo)  e encontra-se em fase de validação pela Caixa / Mcidades.</t>
    </r>
  </si>
  <si>
    <t xml:space="preserve">
Definição do Estado quanto a publicação de Lei Autorizativa
Previsão de publicação de edital em setembro/2026.</t>
  </si>
  <si>
    <t>Previsão de publicação de edital em janeiro/2027,  condicionada a assinatura do contato de financiamento ou disponibilização de recursos próprios.
O empreendimento foi habilitado, através da Portaria 1425 de 10/12/2025 - Novo PAC FGTS 2025, no valor de R$ 29.657.922,79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</si>
  <si>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</si>
  <si>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Previsão de publicação de edital em outubro/2026,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</si>
  <si>
    <t xml:space="preserve">Definição do Estado quanto a publicação de Lei Autorizativa
Previsão de publicação de edital em 01/10/2026,  condicionada a assinatura do contato de financiamento ou disponibilização de recursos próprios.
</t>
  </si>
  <si>
    <t>Previsão de publicação de edital em janeiro/2027,  condicionada a assinatura do contato de financiamento ou disponibilização de recursos próprios.
O empreendimento foi habilitado, através da Portaria 1425 de 10/12/2025 - Novo PAC FGTS 2025, no valor de R$ 48.744.376,00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</si>
  <si>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</si>
  <si>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Definição do Estado quanto a publicação de Lei Autorizativa
Previsão de publicação de edital em 01/04/2027,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</si>
  <si>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R$ 42.008.703,19 (referente ao empréstimo) e encontra-se em fase de validação pela Caixa / Mcidades.</t>
  </si>
  <si>
    <t>Definição do Estado quanto a publicação de Lei Autorizativa
Previsão de publicação de edital em 01/11/2026,  condicionada a assinatura do contato de financiamento ou disponibilização de recursos próprios.</t>
  </si>
  <si>
    <t>Previsão de publicação de edital em novembro/2026.
O empreendimento foi habilitado, através da Portaria 1425 de 10/12/2025 - Novo PAC FGTS 2025, no valor de R$ 35.940.485,00 (referente ao empréstimo) e encontra-se em fase de validação pela Caixa / Mcidades.</t>
  </si>
  <si>
    <t xml:space="preserve">Definição do Estado quanto a publicação de Lei Autorizativa
Previsão de publicação de edital em 30/11/2026.
</t>
  </si>
  <si>
    <t>Previsão de publicação de edital em setembro/2027,  condicionada a assinatura do contato de financiamento ou disponibilização de recursos próprios.
O empreendimento foi habilitado, através da Portaria 1425 de 10/12/2025 - Novo PAC FGTS 2025, no valor de R$ 232.131.200,00 (referente ao empréstimo) e encontra-se em fase de validação pela Caixa / Mcidades.</t>
  </si>
  <si>
    <t>Definição do Estado quanto a publicação de Lei Autorizativa
Previsão de publicação de edital em 01/09/2027,  condicionada a assinatura do contato de financiamento ou disponibilização de recursos próprios</t>
  </si>
  <si>
    <t>Previsão de publicação de edital em julho/2027,  condicionada a assinatura do contato de financiamento ou disponibilização de recursos próprios.
O empreendimento foi habilitado, através da Portaria 1425 de 10/12/2025 - Novo PAC FGTS 2025, no valor de R$ 62.679.065,72 (referente ao empréstimo) e encontra-se em fase de validação pela Caixa / Mcidades.</t>
  </si>
  <si>
    <t>Definição do Estado quanto a publicação de Lei Autorizativa
Previsão de publicação de edital em 01/07/2027,  condicionada a assinatura do contato de financiamento ou disponibilização de recursos próprios.</t>
  </si>
  <si>
    <t>Projeto Básico concluído. LC 073/26 publicada, com disputa agendada para 27/08/2026 (Recursos Próprios).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</si>
  <si>
    <t>Previsão de publicação de edital em fevereiro/2027,  condicionada a assinatura do contato de financiamento ou disponibilização de recursos próprios.
O empreendimento foi habilitado, através da Portaria 1425 de 10/12/2025 - Novo PAC FGTS 2025, no valor de R$ 35.752.955,88 (referente ao empréstimo) e encontra-se em fase de validação pela Caixa / Mcidades.</t>
  </si>
  <si>
    <t>Definição do Estado quanto a publicação de Lei Autorizativa
Previsão de publicação de edital em 01/02/2027,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</si>
  <si>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R$ 91.304.589,95 (referente ao empréstimo) e encontra-se em fase de validação pela Caixa / Mcidades.</t>
  </si>
  <si>
    <t xml:space="preserve">Definição do Estado quanto a publicação de Lei Autorizativa
Previsão de publicação de edital em 01/11/2026,  condicionada a assinatura do contato de financiamento ou disponibilização de recursos próprios.
</t>
  </si>
  <si>
    <t>Previsão de publicação de edital em julho/2027,  condicionada a assinatura do contato de financiamento ou disponibilização de recursos próprios.
O empreendimento foi habilitado, através da Portaria 1425 de 10/12/2025 - Novo PAC FGTS 2025, no valor de R$ 74.490.018,67 (referente ao empréstimo) e encontra-se em fase de validação pela Caixa / Mcidades</t>
  </si>
  <si>
    <t>Previsão de publicação de edital em abril/2027,  condicionada a assinatura do contato de financiamento ou disponibilização de recursos próprios.
O empreendimento foi habilitado, através da Portaria 1425 de 10/12/2025 - Novo PAC FGTS 2025, no valor de R$ 153.271.746,88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</si>
  <si>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R$ 133.650.435,70 (referente ao empréstimo) e encontra-se em fase de validação pela Caixa / Mcidades</t>
  </si>
  <si>
    <t xml:space="preserve">Definição do Estado quanto a publicação de Lei Autorizativa
Previsão de publicação de edital em 01/06/2027,  condicionada a assinatura do contato de financiamento ou disponibilização de recursos próprios.
</t>
  </si>
  <si>
    <t>Ordem de Serviço emitida em 10/07/26.
Contratação Semi-integrada:
- Prazo para Projetos Executivos: 04 meses;
- Prazo Execução das obras: 16 meses.</t>
  </si>
  <si>
    <t>Ordem de Serviço emitida em 10/07/26.
Contratação Semi-integrada:
- Prazo para Projetos Executivos: 06 meses;
- Prazo Execução das obras: 18 meses.</t>
  </si>
  <si>
    <t>Previsão de publicação de edital em fevereiro/2027,  condicionada a assinatura do contato de financiamento ou disponibilização de recursos próprios.
O empreendimento foi habilitado, através da Portaria 1425 de 10/12/2025 - Novo PAC FGTS 2025, no valor de R$ 55.115.501,34 (referente ao empréstimo) e encontra-se em fase de validação pela Caixa / Mcidades</t>
  </si>
  <si>
    <t>Previsão de publicação de edital em março/2027,  condicionada a assinatura do contato de financiamento ou disponibilização de recursos próprios.
O empreendimento foi habilitado, através da Portaria 1425 de 10/12/2025 - Novo PAC FGTS 2025, no valor de R$ 88.697.992,05 (referente ao empréstimo) e encontra-se em fase de validação pela Caixa / Mcidades.</t>
  </si>
  <si>
    <t>Definição do Estado quanto a publicação de Lei Autorizativa
Previsão de publicação de edital em 01/03/2027,  condicionada a assinatura do contato de financiamento ou disponibilização de recursos próprios.</t>
  </si>
  <si>
    <t xml:space="preserve">PROPONENTE : EMBASA
Previsão de publicação de edital para execução da obra em março/2027.
Adequado valor ao cadastrado no PCA.
O empreendimento SES Pojuca Norte foi  contratado, por meio do Contrato de Financiamento Novo PAC 2025 FGTS (BNDES) nº 25.2.0438.3, assinado em 30/12/2025, no valor de R$  95.362.242,78 (referente ao empréstimo) . </t>
  </si>
  <si>
    <t xml:space="preserve">
* Execução do objeto  </t>
  </si>
  <si>
    <t xml:space="preserve">
*Execução do projeto</t>
  </si>
  <si>
    <t xml:space="preserve"> Domo Arquitetura
Engenharia e Projetos Culturais Ltda. </t>
  </si>
  <si>
    <t>LCN Arquitetura
Ltda.</t>
  </si>
  <si>
    <t>Ordem de Serviço emitida em 10/07/26.
Contratação Semi-integrada:
- Prazo para Projetos Executivos: 06 meses;
- Prazo Execução das obras: 22 meses.</t>
  </si>
  <si>
    <t xml:space="preserve"> CONSÓRCIO BACIA DO JAGUARIBE (CBS CONSTRUTORA BAHIANA
DE SANEAMENTO LTDA / IBI ENGENHARIA CONSULTIVA S/S)</t>
  </si>
  <si>
    <r>
      <t xml:space="preserve">Resultado final, homologação, Adjudicação e convocação para Assinatura de Contrato da LP Nº 039/26 publicado no DOE 16/07/26
</t>
    </r>
    <r>
      <rPr>
        <sz val="16"/>
        <rFont val="Calibri"/>
        <family val="2"/>
      </rPr>
      <t>AVISO - LICITAÇÃO PRESENCIAL Nº 039/26 - CONDER
Abertura: 19/06/2026
Assinatura e publicação do termo de compromisso publicado no DOU - 19/11/2024</t>
    </r>
  </si>
  <si>
    <t>CONDER proceder com o envio da documentação para obtenção do VRPL</t>
  </si>
  <si>
    <t>TC: 965.994/2024 de 29/07/24
Contrato Caixa: 1096681-49
Contrato Conder: 108/2025
Declaração de Início de Objeto encaminhada à Caixa para garantir a liberação de recurso (inf. Conder 26/06/26).</t>
  </si>
  <si>
    <r>
      <t>CONDER Republicou edital de licitação 17/07/26. Previsão de abertura 25/09/26.</t>
    </r>
    <r>
      <rPr>
        <sz val="16"/>
        <rFont val="Calibri"/>
        <family val="2"/>
      </rPr>
      <t xml:space="preserve">
CONDER publicou resultado de Licitação Deserta - LP 026/26 - DOE 10/06/26</t>
    </r>
    <r>
      <rPr>
        <b/>
        <sz val="16"/>
        <rFont val="Calibri"/>
        <family val="2"/>
      </rPr>
      <t xml:space="preserve">
</t>
    </r>
    <r>
      <rPr>
        <sz val="16"/>
        <rFont val="Calibri"/>
        <family val="2"/>
      </rPr>
      <t>Aviso de Licitação presencial publicado no DOE 13/03/26 - 
LP 026/26 Abertura 26/05/26</t>
    </r>
  </si>
  <si>
    <t>CONDER Republicou edital de licitação 17/07/26. Previsão de abertura 25/09/26.</t>
  </si>
  <si>
    <t xml:space="preserve">Acompanhar os serviços e emissão de Alvará </t>
  </si>
  <si>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</si>
  <si>
    <r>
      <rPr>
        <b/>
        <sz val="16"/>
        <rFont val="Calibri"/>
        <family val="2"/>
      </rPr>
      <t xml:space="preserve">CE GIGOV/SA 4430/2026 Enviado dia 20/07/26 -  - Comunicamos o desbloqueio da parcela R$: 36.652,21.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</si>
  <si>
    <t>Contratação integrada de empresa especializada para elaboração dos projetos básico e executivos e a execução da obra da 2ª etapa do fechamento do canal do malhado(etapa Nelson Schawn) no município de Ilhéus estado da Bahia.</t>
  </si>
  <si>
    <r>
      <t xml:space="preserve">AVISO DE LP - 076/26 - MACRODRENAGEM - DOE 20/07/26 - CONDER abertura 28/09/26 
</t>
    </r>
    <r>
      <rPr>
        <sz val="16"/>
        <rFont val="Calibri"/>
        <family val="2"/>
      </rPr>
      <t>CONDER protocolou Ofício 176/2025 CONDER/DIURB/SUEQUI, encaminhando documentação complementar referente ao anteprojeto´, para análise qualitativa da CAIXA.</t>
    </r>
  </si>
  <si>
    <t>CONDER proceder com a abertura de propostas</t>
  </si>
  <si>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1 - Pau da Lima;</t>
    </r>
    <r>
      <rPr>
        <sz val="16"/>
        <rFont val="Calibri"/>
        <family val="2"/>
      </rPr>
      <t xml:space="preserve">
Famílias beneficiadas: 2.564</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</si>
  <si>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2- Sussuarana;</t>
    </r>
    <r>
      <rPr>
        <sz val="16"/>
        <rFont val="Calibri"/>
        <family val="2"/>
      </rPr>
      <t xml:space="preserve">
Famílias beneficiadas: 1.850</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</si>
  <si>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 xml:space="preserve">Etapa 3 </t>
    </r>
    <r>
      <rPr>
        <sz val="16"/>
        <rFont val="Calibri"/>
        <family val="2"/>
      </rPr>
      <t>-</t>
    </r>
    <r>
      <rPr>
        <b/>
        <sz val="16"/>
        <rFont val="Calibri"/>
        <family val="2"/>
      </rPr>
      <t xml:space="preserve"> Gal Costa. </t>
    </r>
    <r>
      <rPr>
        <sz val="16"/>
        <rFont val="Calibri"/>
        <family val="2"/>
      </rPr>
      <t xml:space="preserve">
Famílias beneficiadas: 1.025</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</si>
  <si>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4 - Jardim Cajazeiras.</t>
    </r>
    <r>
      <rPr>
        <sz val="16"/>
        <rFont val="Calibri"/>
        <family val="2"/>
      </rPr>
      <t xml:space="preserve">
Famílias beneficiadas: 1.255</t>
    </r>
  </si>
  <si>
    <t>Autorização para início do processo licitatório</t>
  </si>
  <si>
    <t>Envio de material técnico para emissão do VRPL</t>
  </si>
  <si>
    <t xml:space="preserve">Emissão de OS </t>
  </si>
  <si>
    <t>Execução da obra</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</si>
  <si>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</si>
  <si>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</si>
  <si>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 043.4110.2025.0013222-84.</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</si>
  <si>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SEI:043.4110.2025.0013225-27.</t>
  </si>
  <si>
    <t xml:space="preserve">
Lançamento da licitação
Monitorar conclusão da licitação 
Envio de material técnico para emissão do VRPL
Análise da mandatária e emissão de VRPL 
Emissão de AIO
Emissão de OS 
Execução da obra</t>
  </si>
  <si>
    <t xml:space="preserve">CE GIGOV/SA 4421/2026 - Solicitações para Continuidade do Processo - Caixa solicita complementações e ajustes para nova Análise.
Estado sem espaço fiscal para contratação de credito, dependente de lei autorizativa
Publicação de lei autorizativa
Edital inclui Obras Civis, energia, telecomunicações e Macrodrenagem
CE GIGOV/SA 1387/26 - Termos Aditivos para Inclusão da Unidade Executora - TCs: 968765, 969597, 970645 e 974912
Casa Civil envoiu para Seplan minuta da Lei autorizativa mas efalta espaço orçamentário.
034.3088.2025.0001985-16    Minuta Projeto de lei- Financiamento- CT 647.464-19-Novo PAC- Recursos FGTS- Expansão VLT - Baixa do Fiscal-Retiro
Publicado no DOE a Dispensa de licitação 054/2025 para Contratratação de empresapara elaboração do EVTEA.
Resumo de Contrato N20/2025, Processo SEI 034.3088.2025.0001453-15. Contratada Oficina Engenheiros Consultores Associados Ltda.
EVTEA Expansão Baixa do Fiscal - Retiro do VLT de Salvador  e Região Metropolitana
Valor R$ 146.858,00. Prazo 90 dias.
PORTARIA MCID Nº 981, DE 29 DE AGOSTO DE 2025 Proposta Habilitada R$ 574.604.779,00 </t>
  </si>
  <si>
    <t>56000000122/2026</t>
  </si>
  <si>
    <t>56000000136/2026</t>
  </si>
  <si>
    <t>56000000137/2026</t>
  </si>
  <si>
    <t>Reabilitação estrutural de interceptores do SES de Salvador/BA nos trechos da Av. Afrânio Peixoto (Lobato) e Av. Barros Reis/Acesso Norte, por método não destrutivo com aplicação de manta de fibra de vidro pré-impregnada com resina poliéster e cura UV (CIPP), incluindo by-pass, inspeção robotizada, limpeza e desobstrução, reparos localizados, recuperação de estruturas associadas, cadastro técnico, sinalização e desmobilização.</t>
  </si>
  <si>
    <t>Proposta em análise pela CAIXA</t>
  </si>
  <si>
    <t xml:space="preserve">Ampliação do Sistema de Esgotamento Sanitário de Jacobina
</t>
  </si>
  <si>
    <t>TC: 965.994/2024 de 29/07/24
Contrato Caixa: 1096681-49</t>
  </si>
  <si>
    <t>- Lançamento da licitação;
- Contratação;
- Emissão do AIO pelo Mcidades.</t>
  </si>
  <si>
    <t xml:space="preserve">Acompanhar Publicação da Licitação no DOE </t>
  </si>
  <si>
    <t>ROBLE SERVIÇOS LTDA e FCK CONSTRUÇÕES E INCORPORAÇÕES LTDA</t>
  </si>
  <si>
    <t>Contrato assinado em 30/06/2026.
Atendimento à cláusula suspensiva.</t>
  </si>
  <si>
    <r>
      <t xml:space="preserve">EMBASA enviar documentação complementar para a emissão do aceite do VRPL pela Caixa. 
</t>
    </r>
    <r>
      <rPr>
        <b/>
        <sz val="16"/>
        <rFont val="Calibri"/>
        <family val="2"/>
      </rPr>
      <t>Monitorar a execução da obra</t>
    </r>
  </si>
  <si>
    <r>
      <rPr>
        <sz val="16"/>
        <rFont val="Calibri"/>
        <family val="2"/>
      </rPr>
      <t>Empresas Participantes -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t>
    </r>
    <r>
      <rPr>
        <b/>
        <sz val="16"/>
        <rFont val="Calibri"/>
        <family val="2"/>
      </rPr>
      <t xml:space="preserve"> 
</t>
    </r>
    <r>
      <rPr>
        <sz val="16"/>
        <rFont val="Calibri"/>
        <family val="2"/>
      </rPr>
      <t xml:space="preserve">19/11/25 - Aguardando dotação orçamentária para licitar. Elaboração de TR e Edital.           </t>
    </r>
    <r>
      <rPr>
        <b/>
        <sz val="16"/>
        <rFont val="Calibri"/>
        <family val="2"/>
      </rPr>
      <t xml:space="preserve">
</t>
    </r>
    <r>
      <rPr>
        <sz val="16"/>
        <rFont val="Calibri"/>
        <family val="2"/>
      </rPr>
      <t xml:space="preserve">  (Aguardando Secult definir recurso complementar)
(Elaboração de projeto técnico pela conder com previsão até 31/10/25)</t>
    </r>
  </si>
  <si>
    <r>
      <rPr>
        <b/>
        <sz val="16"/>
        <rFont val="Calibri"/>
        <family val="2"/>
      </rPr>
      <t xml:space="preserve">OBRA - </t>
    </r>
    <r>
      <rPr>
        <sz val="16"/>
        <rFont val="Calibri"/>
        <family val="2"/>
      </rPr>
      <t>Projeto Padrão</t>
    </r>
  </si>
  <si>
    <t>- VRPL;
- AIO;
- Emissão de OS.</t>
  </si>
  <si>
    <r>
      <rPr>
        <b/>
        <sz val="16"/>
        <rFont val="Calibri"/>
        <family val="2"/>
      </rPr>
      <t xml:space="preserve">CE GIGOV/SA 4512/2026 - Enviado dia 23/07/26-  Inserção do Quadro de Composição do Investimento.
</t>
    </r>
    <r>
      <rPr>
        <sz val="16"/>
        <rFont val="Calibri"/>
        <family val="2"/>
      </rPr>
      <t>CE GIGOV/SA 4448/2026 - Enviado dia 21/07/26 -  Pendências para a conclusão da VRPL.</t>
    </r>
    <r>
      <rPr>
        <b/>
        <sz val="16"/>
        <rFont val="Calibri"/>
        <family val="2"/>
      </rPr>
      <t xml:space="preserve">
</t>
    </r>
    <r>
      <rPr>
        <sz val="16"/>
        <rFont val="Calibri"/>
        <family val="2"/>
      </rPr>
      <t>CE GIGOV/SA 4384/2026 - Enviado dia 16/07/26 -Comunicação de inserção de documentação na plataforma.</t>
    </r>
    <r>
      <rPr>
        <b/>
        <sz val="16"/>
        <rFont val="Calibri"/>
        <family val="2"/>
      </rPr>
      <t xml:space="preserve">
</t>
    </r>
    <r>
      <rPr>
        <sz val="16"/>
        <rFont val="Calibri"/>
        <family val="2"/>
      </rPr>
      <t>CE GIGOV/SA 4375/2026 - Enviado dia 15/07/26 -  A CONDER comunicou, por meio de mensagem eletrônica, a inserção do QCI.</t>
    </r>
    <r>
      <rPr>
        <b/>
        <sz val="16"/>
        <rFont val="Calibri"/>
        <family val="2"/>
      </rPr>
      <t xml:space="preserve">
</t>
    </r>
    <r>
      <rPr>
        <sz val="16"/>
        <rFont val="Calibri"/>
        <family val="2"/>
      </rPr>
      <t>CE GIGOV/SA 4233/2026 -Enviado dia 13/07/26 Pendencias para a conclusão da verificação do processo licitatório.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CE GIGOV/SA 3712/2026 -  Enviado dia 26/06/26 -  Informamos as condicionantes para o desbloqueio da parcela de repasse  de R$  219.121,87.</t>
    </r>
    <r>
      <rPr>
        <b/>
        <sz val="16"/>
        <rFont val="Calibri"/>
        <family val="2"/>
      </rPr>
      <t xml:space="preserve">
</t>
    </r>
    <r>
      <rPr>
        <sz val="16"/>
        <rFont val="Calibri"/>
        <family val="2"/>
      </rPr>
      <t>CE GIGOV/SA 3601/2026 -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3548/2026 - Enviado dia 15/06/26 -  Laudo de Análise de Instrumento de Planejamento Social.</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2500/2026 - Enviado dia 29/04/26 - Parecer Técnico de Apontamentos – PTS.</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 xml:space="preserve"> CE GIGOV/SA 821/2026 - Enviado dia 10/02/26  -Parecer Técnico de Apontamentos – PTS.</t>
    </r>
    <r>
      <rPr>
        <b/>
        <sz val="16"/>
        <rFont val="Calibri"/>
        <family val="2"/>
      </rPr>
      <t xml:space="preserve">
</t>
    </r>
    <r>
      <rPr>
        <sz val="16"/>
        <rFont val="Calibri"/>
        <family val="2"/>
      </rPr>
      <t>CE GIGOV/SA 6332/2025 - Enviado dia 29/12/25 -  Envio de documentação pendente para análise.</t>
    </r>
    <r>
      <rPr>
        <b/>
        <sz val="16"/>
        <rFont val="Calibri"/>
        <family val="2"/>
      </rPr>
      <t xml:space="preserve">
</t>
    </r>
    <r>
      <rPr>
        <sz val="16"/>
        <rFont val="Calibri"/>
        <family val="2"/>
      </rPr>
      <t>CE GIGOV/SA 6241/2025 - Enviado dia 29/12/25 - Comunica Aceite do Projeto e Solicita comprovação de abertura do processo licitatório.</t>
    </r>
    <r>
      <rPr>
        <b/>
        <sz val="16"/>
        <rFont val="Calibri"/>
        <family val="2"/>
      </rPr>
      <t xml:space="preserve">
</t>
    </r>
    <r>
      <rPr>
        <sz val="16"/>
        <rFont val="Calibri"/>
        <family val="2"/>
      </rPr>
      <t>CE GIGOV/SA 6270/2025 -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5914/2025 - Enviado dia 12/12/25-Pendencias para a conclusão da análise.</t>
    </r>
    <r>
      <rPr>
        <b/>
        <sz val="16"/>
        <rFont val="Calibri"/>
        <family val="2"/>
      </rPr>
      <t xml:space="preserve">
</t>
    </r>
    <r>
      <rPr>
        <sz val="16"/>
        <rFont val="Calibri"/>
        <family val="2"/>
      </rPr>
      <t>CE GIGOV/SA 5535/2025 - Enviado dia 10/12/25 - Prazo para Análise e Retirada da Cláusula Suspensiva.</t>
    </r>
    <r>
      <rPr>
        <b/>
        <sz val="16"/>
        <rFont val="Calibri"/>
        <family val="2"/>
      </rPr>
      <t xml:space="preserve">
</t>
    </r>
    <r>
      <rPr>
        <sz val="16"/>
        <rFont val="Calibri"/>
        <family val="2"/>
      </rPr>
      <t>CE GIGOV/SA 5263/2025 - Enviado dia 17/11/25 - Análise Preliminar Anteprojeto.</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2348/2025 enviado dia 13/06/2025 - Análise preliminar do anteprojeto.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</si>
  <si>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01 - CONCLUÍDA</t>
  </si>
  <si>
    <t>02 - ANDAMENTO</t>
  </si>
  <si>
    <t>03 - AGUARDANDO ORDEM DE SERVIÇO</t>
  </si>
  <si>
    <t>04 - LICITAÇÃO /CONTRATAÇÃO</t>
  </si>
  <si>
    <t>05 - À LICITAR</t>
  </si>
  <si>
    <t>06 - SELECIONADA</t>
  </si>
  <si>
    <t>07 - AGUARDANDO AUTORIZO</t>
  </si>
  <si>
    <t>08 - HABILITADA</t>
  </si>
  <si>
    <t>09 - AGUARDANDO PUBLICAÇÃO</t>
  </si>
  <si>
    <t>10 - COMPLEMENTADA E ENVIADA</t>
  </si>
  <si>
    <t>11 - EM COMPLEMENTAÇÃO</t>
  </si>
  <si>
    <t>12 - ENVIADA PARA ANÁLISE</t>
  </si>
  <si>
    <t>13 - ELABORAÇÃO DE PROJETO</t>
  </si>
  <si>
    <t>18 - INAUGURADA</t>
  </si>
  <si>
    <t>14 - CADASTRADA</t>
  </si>
  <si>
    <t>15 - PARALISADA</t>
  </si>
  <si>
    <t>16 - ESTUDO</t>
  </si>
  <si>
    <t>17 - NÃO HABILITADA</t>
  </si>
  <si>
    <r>
      <rPr>
        <sz val="16"/>
        <rFont val="Calibri"/>
        <family val="2"/>
      </rPr>
      <t>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</si>
  <si>
    <t>CE GIGOV/SA 4642/2026 - Aceite de projeto e valores propostos da Etapa 5 (Construção de 48 UH) - 28/7/26</t>
  </si>
  <si>
    <t>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24/03/25, a SIT propôs nova reunião com o DNIT para tratar da questão) 
Necessário captação de financiamento junto ao BNDES para execução da obra, ainda sem data definida. Projeto executivo concluído e encaminhado ao DNIT/BA para que a licitação a ser realizada pelo Estado sejam baseadas/orientadas, conforme as regras do Departamento, visando federalização posteriormente. EVTEA já aprovado e cedido à SEINFRA/SIT.</t>
  </si>
  <si>
    <t>05/05/26 - Projeto permanece em elaboração pela SIT que informou que haverá  uma reunião, na 2ª quinzena de maio, entre a Strata e o DNIT para entendimentos sobre os estudo de traçado da duplicação, considerando a pista existente que se enquadrasse dentro das características técnicas da rodovia classe 1.A em pista dupla. Após essa reunião poderiam ser redefinidos os prazos para conclusão, em princípio serão necessários mais 90 dias.
OBS: Prazo alterado de 31/12/2025 para 30/04/2026, conforme NT de 06/01/26. (Após vistorias técnicas a empresa contratada apresentou uma alternativa de traçado que será analisada pela DPPE-SIT e posteriormente submetido ao DNIT para início do projeto) 
Definir prazo para captação de financiamento junto ao BNDES para execução das obras ou avaliar a transferência da rodovia para o DNIT, conforme planejamento SNV2025.</t>
  </si>
  <si>
    <t>CONSÓRCIO TRILHO/FPE - (TRILHO ENGENHARIA LTDA / FÁBIO PERA ARQUITETO LTDA)</t>
  </si>
  <si>
    <t>PROJETO BÁSICO EM ANDAMENTO
Conclusão prevista para30/12/26</t>
  </si>
  <si>
    <t>PROJETO BÁSICO EM ANDAMENTO
Previsão de conclusão em 30/10/2026</t>
  </si>
  <si>
    <t>Implantação do SES Eunápolis.
(Previsão de publicação de edital, referente a 1ª etapa, em julho/2026</t>
  </si>
  <si>
    <t>Obra concluída</t>
  </si>
  <si>
    <t xml:space="preserve">Monitorar a execução da obra
Obra em funcionamento, início da operação no dia 09/07/2026, em fase de operação assistida.  Previsão de conclusão em 04/09/2026 (após finalização da automação). </t>
  </si>
  <si>
    <t>Licitação publicada em 01/10/2025. LC 139/25 - Disputa realizada em 27/01/2026. Contrato 460024786/26 assinado em 11/03/26 com a empresa Pejota Construções Ltda, com recursos Próprios (contrato de obra será apostilado alterando a fonte de recursos de Próprios para o Novo PAC FGTS).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</si>
  <si>
    <t xml:space="preserve">LC 118/25 publicada, com disputa ocorrida em 01/12/2025. O licitante C.E R. ENGENHARIA LTDA. foi declarado vencedor do certame no dia 07/01/2026. Contrato 460024810/26 assinado em 18/03/26 com recursos próprios (contrato de obra será apostilado alterando a fonte de recursos de Próprios para o Novo PAC FGTS). 
Portaria Iphan nº 37/2026, para Acompanhamento Arqueológico concedida em 14/04/2026.
LU concedida, através da Portaria 34.832 publicada em 04/06/26.
Ordem de Seviço emitida em 08/06/2026, com previsão de conclusão das obras em 28/05/2028. Obra em fase de mobilização. Concedido alvará de Nordestina  e pendente alvará dos municípios de Santaluz, Queimadas e Cansanção.
Contrato de Financiamento (CF) 639.468-83 do Novo PAC FGTS assinado em 10/03/2026 , no valor de R$ 106.919.644,05, </t>
  </si>
  <si>
    <t>Monitorar a execução da obra
 Obra em fase de mobilização. Concedido alvará de Nordestina  e pendente alvará dos municípios de Santaluz, Queimadas e Cansanção.</t>
  </si>
  <si>
    <t>Definição do Estado quanto a publicação de Lei Autorizativa
Previsão de publicação de edital em 01/06/2027,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</si>
  <si>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1421 de 09/12/2025 - Novo PAC FGTS 2025, no valor de R$ 22.770.956,77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</si>
  <si>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t>
  </si>
  <si>
    <t xml:space="preserve">Definição do Estado quanto a publicação de Lei Autorizativa
Previsão de publicação de edital em 01/06/2027, condicionada a assinatura do contato de financiamento ou disponibilização de recursos próprios. 
</t>
  </si>
  <si>
    <t xml:space="preserve">Definição do Estado quanto a publicação de Lei Autorizativa
Previsão de publicação de edital em 01/06/2027, condicionada a assinatura do contato de financiamento ou disponibilização de recursos próprios.
</t>
  </si>
  <si>
    <t xml:space="preserve">
Definição do Estado quanto a publicação de Lei Autorizativa
Previsão de publicação de edital em 01/09/2026, condicionada a assinatura do contato de financiamento ou disponibilização de recursos próprios.
</t>
  </si>
  <si>
    <t>16/06/2026 - Conforme Ofício GASEC nº 271/2025, de 05/06/2025, a SEINFRA solicitou à SAC a supressão do TPS e equipamentos e mobiliários do TC 06/2018, para que os mesmos sejam executados com recursos próprios, mantendo apenas a INFRA com recurso do PAC.
Orçamento Inicial - R$ 25 milhões. SEI: 024.2058.2024.0005354-18
30/11/24 - Remarcada sessão para divulgação do julgamento das propostas técnicas e de preços de 03/12 para 20/12. 
13/11/24 - Remarcada sessão para divulgação do julgamento das propostas técnicas e de preços de 14/11 para 03/12. 
01/08 - Publicado Aviso de Licitação CP 027/2024, referente à Contratação integrada para elaboração de Projetos Básicos, Executivos e Construção de Terminal de Passageiros. Abertura 01/11/2024.
Elaboração do Projeto básico de TPS e EQUIPAMENTOS/MOBILIÁRIO pela EGIS, foi suspenso, devido a não conclusão, conforme contratação.
Definido que o Estado fará licitação com recursos próprios na modalidade Contratação Integrada. TR e Edital para a licitação do TPS finalizados e analisados pela PGE.</t>
  </si>
  <si>
    <t>LC 161/25 (relativa à 1ª etapa) publicada, com abertura realizada em 23/02/26.  A licitante PEJOTA Construções Ltda. foi declarada vencedora do certame no dia 11/03/2026.  A 1ª etapa foi licitada com recursos Próprios (Contrato 460025093/26  assinado em 15/05/2026).
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</si>
  <si>
    <t>PROPONENTE : EMBASA
TENTATIVA DE ENQUADRAR COMO OGU  E-MAIL DA EMBASA
Previsão de publicação de edital em novembro/2026, condicionada a assinatura do contato de financiamento ou disponibilização de recursos próprios.
O empreendimento foi habilitado, através da Portaria 1421 de 09/12/2025 - Novo PAC FGTS 2025, no valor de R$ 186.738.732,45 (referente ao empréstimo) e encontra-se em fase de validação pela Caixa / Mcidades.</t>
  </si>
  <si>
    <t>Definição do Estado quanto a publicação de Lei Autorizativa
Previsão de publicação de edital em 01/08/2026, condicionada a assinatura do contato de financiamento ou disponibilização de recursos próprios.</t>
  </si>
  <si>
    <t>Previsão de publicação de edital  em setembro/2026, condicionada a assinatura do contato de financiamento ou disponibilização de recursos próprios..
O empreendimento foi habilitado, através da Portaria 1425 de 10/12/2025 - Novo PAC FGTS 2025, no valor de R$ 35.130.080,92 (referente ao empréstimo)  e encontra-se em fase de validação pela Caixa / Mcidades.</t>
  </si>
  <si>
    <t>Previsão de publicação de edital  em abril/2027, condicionada a assinatura do contato de financiamento ou disponibilização de recursos próprios.
Licença Prévia (LP) concedida pelo INEMA e publicada em 18/07/2026, através da Portaria 34.978/2026. 
O empreendimento foi habilitado, através da Portaria 1425 de 10/12/2025 - Novo PAC FGTS 2025, no valor de R$ 90.561.528,43 (referente ao empréstimo) e encontra-se em fase de validação pela Caixa / Mcidades.</t>
  </si>
  <si>
    <t>Definição do Estado quanto a publicação de Lei Autorizativa
Previsão de publicação de edital  em 30/04/2027, condicionada a assinatura do contato de financiamento ou disponibilização de recursos próprios.</t>
  </si>
  <si>
    <t>Licitação das obras da 1ª etapa (recursos Próprios), LC 085/26 publicada, com disputa agendada para 10/09/26.
O empreendimento foi habilitado, através da Portaria 1425 de 10/12/2025 - Novo PAC FGTS 2025, no valor de R$ 400.000.000,00 (referente ao empréstimo)  e encontra-se em fase de validação pela Caixa / Mcidades.</t>
  </si>
  <si>
    <t xml:space="preserve">
Definição do Estado quanto a publicação de Lei Autorizativa
Abertura das prpostas em 10/09/2026
</t>
  </si>
  <si>
    <t>Previsão de publicação de edital em setembro/2026.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</si>
  <si>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R$ 365.000.000,00 (referente ao empréstimo) e encontra-se em fase de validação pela Caixa / Mcidades.</t>
  </si>
  <si>
    <t>Previsão de publicação de edital em maio/2027,  condicionada a assinatura do contato de financiamento ou disponibilização de recursos próprios.
O empreendimento foi habilitado, através da Portaria 1425 de 10/12/2025 - Novo PAC FGTS 2025, no valor de R$ 76.963.437,59 (referente ao empréstimo)  e encontra-se em fase de validação pela Caixa / Mcidades.</t>
  </si>
  <si>
    <t>Definição do Estado quanto a publicação de Lei Autorizativa
Previsão de publicação de edital em 30/05/2027,  condicionada a assinatura do contato de financiamento ou disponibilização de recursos próprios.</t>
  </si>
  <si>
    <t>Projeto Básico concluído. Previsão de publicação do edital em novembro/2026,  condicionada a assinatura do contato de financiamento ou disponibilização de recursos próprios.
O empreendimento foi habilitado, através da Portaria 1425 de 10/12/2025 - Novo PAC FGTS 2025, no valor de R$ 139.103.585,30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</si>
  <si>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
</t>
  </si>
  <si>
    <t>Previsão de publicação de edital em dezembro/2026,  condicionada a assinatura do contato de financiamento ou disponibilização de recursos próprios.
O empreendimento foi habilitado, através da Portaria 1425 de 10/12/2025 - Novo PAC FGTS 2025, no valor de R$ 282.470.156,29 (referente ao empréstimo) e encontra-se em fase de validação pela Caixa / Mcidades</t>
  </si>
  <si>
    <t xml:space="preserve">Definição do Estado quanto a publicação de Lei Autorizativa
Previsão de publicação de edital em 01/12/2026,  condicionada a assinatura do contato de financiamento ou disponibilização de recursos próprios.
</t>
  </si>
  <si>
    <t>Previsão de publicação de edital da obra em dezembro/2026,  condicionada a assinatura do contato de financiamento ou disponibilização de recursos próprios.
O empreendimento foi habilitado, através da Portaria 1425 de 10/12/2025 - Novo PAC FGTS 2025, no valor de R$ 43.524.600,00 (referente ao empréstimo) e encontra-se em fase de validação pela Caixa / Mcidades.</t>
  </si>
  <si>
    <t xml:space="preserve">Definição do Estado quanto a publicação de Lei Autorizativa
Previsão de publicação de edital em 30/12/2026,  condicionada a assinatura do contato de financiamento ou disponibilização de recursos próprios.
</t>
  </si>
  <si>
    <r>
      <t xml:space="preserve">PROPONENTE : GOVERNO DO ESTADO
</t>
    </r>
    <r>
      <rPr>
        <b/>
        <sz val="16"/>
        <rFont val="Calibri"/>
        <family val="2"/>
      </rPr>
      <t xml:space="preserve">Em conversa, por telefone, com Cláudio Dantas da EMBASA, esta obra em Brasília foi contemplada como OGU, porém as planilhas que a EMBASA me envia consta como FGTS (CAIXA).
</t>
    </r>
    <r>
      <rPr>
        <sz val="16"/>
        <rFont val="Calibri"/>
        <family val="2"/>
      </rPr>
      <t xml:space="preserve">
Previsão de publicação de edital em julho/2027,  condicionada a assinatura do contato de financiamento ou disponibilização de recursos próprios.
O empreendimento foi habilitado, através da Portaria 1421 de 09/12/2025 - Novo PAC FGTS 2025, no valor de R$ 691.939.724,94 (referente ao empréstimo) e encontra-se em fase de validação pela Caixa / Mcidades.</t>
    </r>
  </si>
  <si>
    <t xml:space="preserve">Definição do Estado quanto a publicação de Lei Autorizativa
Previsão de publicação de edital em 01/07/2027,  condicionada a assinatura do contato de financiamento ou disponibilização de recursos próprios.
</t>
  </si>
  <si>
    <r>
      <t xml:space="preserve">Previsão de publicação de edital em junho/2027.
Contrato de Financiamento Novo PAC 2025 FGTS (BNDES) nº 25.2.0439.1, assinado em 30/12/2025, para o empreendimento SIAA de Jordão no valor de R$ 143.358.602,81 (referente ao empréstimo) . 
Licitada a 1ª etapa do SIAA Jordão em 2024. Obra em andamento com rec. Próprios enquanto segue em andamento o processo de captação de recursos no valor de R$ 150.903.792,45. 
Investimento 1ª etapa: R$ 17.370.503,17/ Realizado: R$ 6.226.570,91 (contempla, além da obra, os custos realizados com materiais, desapropriação e outros).  Esta  1ª etapa em andamento equivale a 36% de execução. 
                                                          </t>
    </r>
    <r>
      <rPr>
        <b/>
        <sz val="16"/>
        <rFont val="Calibri"/>
        <family val="2"/>
      </rPr>
      <t>PROPONENTE : EMBASA</t>
    </r>
  </si>
  <si>
    <t>Monitorar a execução da obra 
Extrato do Termo Aditivo nº 093/2026 ao Contrato nº 022/2024 - Processo SEI n° 039.0795.2026.0004750-71. Partes: CERB e o Consórcio Barragem Rio da Caixa. Objeto: Objeto: Acréscimo no valor do contrato originário em R$ 11.402.625,93, e com a alteração o valor do contrato passa a ser de R$ 130.184.702,06. Data da Assinatura: 29/07/2026.Larissa Gomes Moraes - Diretora Presidente/CERB.</t>
  </si>
  <si>
    <t xml:space="preserve">PROPONENTE : EMBASA
Previsão de publicação de edital para execução da obra em novembro/2026.
O empreendimento foi contratado, por meio do Contrato de Financiamento Novo PAC 2025 FGTS (BNDES) nº 25.2.0438.2, assinado em 30/12/2025, no valor de R$  133.713.948,71 (referente ao empréstimo) . </t>
  </si>
  <si>
    <t>Previsão de publicação de edital em 30/11/2026.</t>
  </si>
  <si>
    <t xml:space="preserve">Área técnica em elaboração de TR e Edital. </t>
  </si>
  <si>
    <t>Área técnica em elaboração de TR e Edital. .</t>
  </si>
  <si>
    <t>EMBASA complementar a documentação e enviar para CAIXA</t>
  </si>
  <si>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</si>
  <si>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</si>
  <si>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</si>
  <si>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</si>
  <si>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</si>
  <si>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</si>
  <si>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</si>
  <si>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</si>
  <si>
    <t>Previsão para emissão da Ordem de Serviço em setembro/26, condicionada a ASV / AMF.</t>
  </si>
  <si>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</si>
  <si>
    <t>Ordem de Serviço (OS)  do SES Livramento de Nossa Senhora  emitida em 27/07/2026,  com previsão de conclusão das obras em 11/07/2029. Obra em fase de mobilização, pendente alvará.</t>
  </si>
  <si>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</si>
  <si>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</si>
  <si>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</si>
  <si>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</si>
  <si>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</si>
  <si>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</si>
  <si>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t>Conclusão da FIOL - FIOL- Ferrovia de integração Oeste Leste- FIOL 2 (Lote 05FB 1, 05FB2 e Lote 6FC)</t>
  </si>
  <si>
    <t>CONSÓRCIO TT- FIOL LOTE 6F-A(TCE ENGENHARIA LTDA; TIISA - INFRAESTRUTURA E INVESTIMENTOS S.A. - EM RECUPERAÇÃO JUDICIA)</t>
  </si>
  <si>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</si>
  <si>
    <t>Aviso de Licitação Publicado do DOE de 05/08/26</t>
  </si>
  <si>
    <t>- Contratação;
- Emissão do AIO pelo Mcidades.</t>
  </si>
  <si>
    <r>
      <t xml:space="preserve">Construção do galpão de triagem, localizado na R. Tenente Valmir Alcântara, Cabula, Salvaor - </t>
    </r>
    <r>
      <rPr>
        <b/>
        <sz val="16"/>
        <rFont val="Calibri"/>
        <family val="2"/>
      </rPr>
      <t xml:space="preserve">
Etapa 01 - Galpão de Triagem da Urbanização Integrada da Baixinha de Santo Antônio</t>
    </r>
  </si>
  <si>
    <t>https://governodabahia.plataformatarget.com.br/web/4b897ad4-ba45-4f7e-94d1-2f8c523193c1/home</t>
  </si>
  <si>
    <t xml:space="preserve">Acompanhamento da obra </t>
  </si>
  <si>
    <t xml:space="preserve">
*Execução do projeto</t>
  </si>
  <si>
    <t>Emprenge Construtora Ltda</t>
  </si>
  <si>
    <t>AIO
Ordem de Serviço</t>
  </si>
  <si>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</si>
  <si>
    <r>
      <t xml:space="preserve">
</t>
    </r>
    <r>
      <rPr>
        <b/>
        <sz val="16"/>
        <rFont val="Calibri"/>
        <family val="2"/>
      </rPr>
      <t>Previsão de publicação de edital em 01/04/2027</t>
    </r>
    <r>
      <rPr>
        <sz val="16"/>
        <rFont val="Calibri"/>
        <family val="2"/>
      </rPr>
      <t xml:space="preserve">
</t>
    </r>
  </si>
  <si>
    <t>PROJETO CONTRATADO:
Ordem de Serviço do Projeto assinada em 04/08/2026</t>
  </si>
  <si>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</si>
  <si>
    <t>Em elaboração de projetos, com previsão de conclusão para setembro/2026. (informação Conder).
Previsão de publicação do aviso de licitação somente no ultimo trimestre de 2026. Contratação semi-integrada (informação Conder).</t>
  </si>
  <si>
    <t>Caixa enviou e-mail em 26/03/26 reiterando o  CE GIGOV/SA 4837/2025 de 28/10/25 que informa os "apontamentos da verificação prévia".
Sedur não informa prazo para resolução dos apontamentos.
Meta da Bahia esgotada para novas contratações 2026 (inf. Gov. Fed.)</t>
  </si>
  <si>
    <t>Caixa enviou e-mail em 26/03/26 reiterando o CE GIGOV/SA nº 4839/2025 de 28/10/25 que informa os "apontamentos da verificação prévia".
Sedur não informa prazo para resolução dos apontamentos.
Meta da Bahia esgotada para novas contratações 2026 (inf. Gov. Fed.)</t>
  </si>
  <si>
    <t>Caixa enviou e-mail em 26/03/26 reiterando o CE GIGOV/SA nº 4841/2025 que informa os  "apontamentos da verificação prévia".
Sedur não informa prazo para resolução dos apontamentos.
Meta da Bahia esgotada para novas contratações 2026 (inf. Gov. Fed.)</t>
  </si>
  <si>
    <t xml:space="preserve">
Critério de julgamento: menor preço (LP 048/25);
Regime de execução: empreitada por preço unitário.
12/8/25 - Monitora - EAP desatualizada e não informa a situação atual da entrega.
Lançada como sendo entrega única</t>
  </si>
  <si>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</si>
  <si>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</si>
  <si>
    <t>Aviso de licitação publicado no DOE de 01/04/26;
Concorrência Eletrônica nº 012/2026;
Data de abertura: 25/05/26.
12/8/25 - Monitora - EAP desatualizada e não informa a situação atual da entrega.
Lançada como sendo entrega única</t>
  </si>
  <si>
    <t>TC: 966254/2024
Caixa Contrato: 1096869-33
Conder: 102/2025</t>
  </si>
  <si>
    <t>TC: 966254/2024
CaixaContrato: 1096869-33
Conder: 101/2025</t>
  </si>
  <si>
    <t>TC: 965814/2024</t>
  </si>
  <si>
    <t>TC: 7AABKY
Caixa Contrato: 1108072-64</t>
  </si>
  <si>
    <t>Preparar material da Licitação</t>
  </si>
  <si>
    <t>Modo de Disputa: Fechado;
Critério de julgamento: Menor Preço;
Regime de execução: Preço unitário.</t>
  </si>
  <si>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</si>
  <si>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</si>
  <si>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 xml:space="preserve">Monitorar execução da obra. 
</t>
  </si>
  <si>
    <t>https://maps.app.goo.gl/MSUyEFhzcrBwbz3c6</t>
  </si>
  <si>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</si>
  <si>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</si>
  <si>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</si>
  <si>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</si>
  <si>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</si>
  <si>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</si>
  <si>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</si>
  <si>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VRPL Concluida, após o período de defeso eleitoral o Ministério poderá emitir AIO </t>
  </si>
  <si>
    <t>-Autorização para Início de Objeto - AIO
-Assinatura da Ordem de Serviço;
-Monitoramento da Execução de Obras;</t>
  </si>
  <si>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</si>
  <si>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</si>
  <si>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</si>
  <si>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</si>
  <si>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</si>
  <si>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</si>
  <si>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Homologação</t>
  </si>
  <si>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</si>
  <si>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</si>
  <si>
    <t>DFG Empreendimentos e Incorporações LTDA.</t>
  </si>
  <si>
    <t>Lima Diniz Construções Ltda.</t>
  </si>
  <si>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</si>
  <si>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</si>
  <si>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</si>
  <si>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</si>
  <si>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</si>
  <si>
    <t>Termo de Compromisso MCidades
968369/2024
CAIXA
Contrato: 
1098207-24</t>
  </si>
  <si>
    <t>Termo de Compromisso MCidades
968582/2024
CAIXA
Contrato: 
1098260-32</t>
  </si>
  <si>
    <t>Termo de Compromisso MCidades
968583/2024
CAIXA
Contrato: 
1098261-58</t>
  </si>
  <si>
    <t>Termo de Compromisso MCidades
968584/2024
CAIXA
Contrato: 
1098262-73</t>
  </si>
  <si>
    <t>Termo de Compromisso MCidades
968371/2024
CAIXA
Contrato: 
1098208-49</t>
  </si>
  <si>
    <t xml:space="preserve">Termo de Compromisso MCidades
966497/2024
CAIXA
Contrato: 1096936-61 </t>
  </si>
  <si>
    <t xml:space="preserve">Termo de Compromisso MCidades
966499/2024
CAIXA
Contrato: 1096938-0 </t>
  </si>
  <si>
    <t xml:space="preserve">Termo de Compromisso MCidades
966501/2024
CAIXA
Contrato: 1096939-25 </t>
  </si>
  <si>
    <t xml:space="preserve">Termo de Compromisso MCidades
966713/2024
CAIXA
Contrato: 1096942-83 </t>
  </si>
  <si>
    <t xml:space="preserve">Termo de Compromisso MCidades
966502/2024
CAIXA
Contrato: 1096943-7 </t>
  </si>
  <si>
    <t xml:space="preserve">Termo de Compromisso MCidades
966496/2024
CAIXA
Contrato: 1096935-45 </t>
  </si>
  <si>
    <t>Termo de Compromisso MCidades
966498/2024
CAIXA
Contrato: 1096937-86</t>
  </si>
  <si>
    <t xml:space="preserve">Termo de Compromisso MCidades
966716/2024
CAIXA
Contrato: 1096940-42 </t>
  </si>
  <si>
    <t xml:space="preserve">Termo de Compromisso MCidades
966715/2024
CAIXA
Contrato: 1096941-68 </t>
  </si>
  <si>
    <t xml:space="preserve">Termo de Compromisso MCidades
968352/2024
CAIXA
Contrato: 1098178-94
</t>
  </si>
  <si>
    <t xml:space="preserve">Termo de Compromisso MCidades
968349/2024
CAIXA
Contrato: 1098194-29
</t>
  </si>
  <si>
    <t>Termo de Compromisso MCidades
968341/2024
CAIXA
Contrato: 1098146-20</t>
  </si>
  <si>
    <t>Termo de Compromisso MCidades
968236/2024
CAIXA
Contrato: 1098113-21</t>
  </si>
  <si>
    <t>Termo de Compromisso MCidades
968243/2024
CAIXA
Contrato: 1098112-6</t>
  </si>
  <si>
    <t>Termo de Compromisso MCidades
968230/2024
CAIXA
Contrato: 1098064-73</t>
  </si>
  <si>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</si>
  <si>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</si>
  <si>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</si>
  <si>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</si>
  <si>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</si>
  <si>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</si>
  <si>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</si>
  <si>
    <t>Licitação Revogada - CTB aguardar prazo de contestação e republicar o edital.</t>
  </si>
  <si>
    <t>Em execução 03 obras de contenção de encosta (03, 04 e 07).</t>
  </si>
  <si>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</si>
  <si>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</si>
  <si>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</si>
  <si>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</si>
  <si>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</si>
  <si>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</si>
  <si>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</si>
  <si>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</si>
  <si>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</si>
  <si>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</si>
  <si>
    <t>Análise das propostas</t>
  </si>
  <si>
    <t>Licitação, LC 155/25,  abertura das propostas 10/08/26 às 14h.
Observação: No que se refere à execução do Termo de Compromisso, aguardando a conclusão do processo licitatório para início da análise.
Portaria  Iphan nº 61, publicada em 03/07/26 com vencimento em 03/07/2028.</t>
  </si>
  <si>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</si>
  <si>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</si>
  <si>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</si>
  <si>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</si>
  <si>
    <t>Consórcio Ajdv/Mobicon, composto pelas empresas Ajdv Engenharia S/A (líder) e Mobicon Construtora Ltda.</t>
  </si>
  <si>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</si>
  <si>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</si>
  <si>
    <t>Acompanhar abertura das propostas.</t>
  </si>
  <si>
    <t>LP 083/26 - Aviso de licitação publicado no DOE dia 13/08/2026. Abertura prevista para dia 09/09/2026.</t>
  </si>
  <si>
    <t>Abertura de Propostas: 26/10/2026 às 14:00</t>
  </si>
  <si>
    <t>Homologação da licitação</t>
  </si>
  <si>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</si>
  <si>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</si>
  <si>
    <t>Complementação de documentação e fechamento da engenharia</t>
  </si>
  <si>
    <r>
      <rPr>
        <b/>
        <sz val="16"/>
        <rFont val="Calibri"/>
        <family val="2"/>
      </rPr>
      <t>Complementação de documentação e fechamento da engenharia</t>
    </r>
    <r>
      <rPr>
        <sz val="16"/>
        <rFont val="Calibri"/>
        <family val="2"/>
      </rPr>
      <t xml:space="preserve">
Ajuste final para retirada da suspensiva</t>
    </r>
  </si>
  <si>
    <r>
      <t xml:space="preserve">
</t>
    </r>
    <r>
      <rPr>
        <b/>
        <sz val="16"/>
        <rFont val="Calibri"/>
        <family val="2"/>
      </rPr>
      <t>Complementação de documentação e fechamento da engenharia</t>
    </r>
    <r>
      <rPr>
        <sz val="16"/>
        <rFont val="Calibri"/>
        <family val="2"/>
      </rPr>
      <t xml:space="preserve">
Faltando ainda a vistoria pela CAIXA
</t>
    </r>
  </si>
  <si>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</si>
  <si>
    <r>
      <t xml:space="preserve">CERB enviar documentação
</t>
    </r>
    <r>
      <rPr>
        <b/>
        <sz val="16"/>
        <rFont val="Calibri"/>
        <family val="2"/>
      </rPr>
      <t>Contratação Integrada, necessário aditivo de prazo para 09/11/2026</t>
    </r>
  </si>
  <si>
    <r>
      <rPr>
        <b/>
        <sz val="16"/>
        <rFont val="Calibri"/>
        <family val="2"/>
      </rPr>
      <t>Contratação Integrada, necessário aditivo de prazo para 09/11/2026</t>
    </r>
    <r>
      <rPr>
        <sz val="16"/>
        <rFont val="Calibri"/>
        <family val="2"/>
      </rPr>
      <t xml:space="preserve">
Termo de Referência
</t>
    </r>
  </si>
  <si>
    <t>Solicitado pela Caixa em 27/07/26, entre outro itens, Declaração de Posse retificada - probelma com o terreno? Sedur não informa.</t>
  </si>
  <si>
    <t>Solicitado pela Caixa em 29/07/26, entre outro itens, o DUP e a Declaração de Posse retificada - probelma com o terreno? Sedur não informa.</t>
  </si>
  <si>
    <t>Mandatária concluir a análise: O termo aditivo da contrapartida que estava pendente, foi assinado em 14/08/2026</t>
  </si>
  <si>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</si>
  <si>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</si>
  <si>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</si>
  <si>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</si>
  <si>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</si>
  <si>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Acompanhar abertuta das propostas</t>
  </si>
  <si>
    <t>G5/G6 LOTE 02 C - PDE 418 - Rua Padre Luís Figueiredo - Engenho Velho de Brotas</t>
  </si>
  <si>
    <t>56000000743/2023</t>
  </si>
  <si>
    <t>LP 082/26 - Aviso de licitação publicado no DOE dia 14/08/2026. Abertura prevista para dia 09/09/2026.</t>
  </si>
  <si>
    <t xml:space="preserve">
Monitorar conclusão da licitação 
Envio de material técnico para emissão do VRPL
Análise da mandatária e emissão de VRPL 
Emissão de AIO
Emissão de OS 
Execução da obra</t>
  </si>
  <si>
    <t xml:space="preserve">
Monitorar conclusão da licitação 
Envio de material técnico para emissão do VRPL
Análise da mandatária e emissão de VRPL 
Emissão de AIO
Emissão de OS 
Execução da obra</t>
  </si>
  <si>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</si>
  <si>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</si>
  <si>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</si>
  <si>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</si>
  <si>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</si>
  <si>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</si>
  <si>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</si>
  <si>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</si>
  <si>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</si>
  <si>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</si>
  <si>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Aviso de licitação previsto para publicar em 31/08/2026.</t>
  </si>
  <si>
    <t xml:space="preserve">Aguardando o Ministério emitir a AIO para posterior emissão da OS. </t>
  </si>
  <si>
    <t xml:space="preserve">
Emissão de AIO
Emissão de OS 
Monitorar execução da obra</t>
  </si>
  <si>
    <t>CE GIGOV/AS 5147/2026 - Solicitações para continuidades do Processo - Análise do VRPL (17/8/26) - documentação será enviada até 31/08 (inf. Sedur)
Documentação para VRPL enviada em 16/07/26 (Transferegov).
Resultado da Licitação / Adjud. e Homologação DOE - 02/07/26.</t>
  </si>
  <si>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</si>
  <si>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</si>
  <si>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</si>
  <si>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</si>
  <si>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</si>
  <si>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</si>
  <si>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</si>
  <si>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</si>
  <si>
    <t>CE GIGOV/AS 5153/2026 - Solicitações para continuidades do Processo - Análise do VRPL (17/8/26) - documentação será enviada até 31/08 (inf. Sedur)
Resultado da Licitação / Adjud. e Homologação DOE - 02/07/26
Documentação para VRPL enviada em 16/07/26 (Transferegov)</t>
  </si>
  <si>
    <t>CE GIGOV/AS 5145/2026 - Solicitações para continuidades do Processo - Análise do VRPL (17/8/26) - documentação será enviada até 31/08 (inf. Sedur)
Adjudicação e Homologação Publicada no DOE de 04/06/26
Documentação para VRPL enviada em 16/07/26 (Transferegov)</t>
  </si>
  <si>
    <t xml:space="preserve">                 
*AIO
*OS
*Execução da Obra 
                                                             </t>
  </si>
  <si>
    <t xml:space="preserve">
*AIO
*OS
*Execução da Obra 
                                                             </t>
  </si>
  <si>
    <t xml:space="preserve">
*AIO
*OS
*Execução da Obra 
                                                             </t>
  </si>
  <si>
    <t xml:space="preserve">
*AIO
*OS
*Execução da Obra          </t>
  </si>
  <si>
    <t>ART PROJETOS CONSTRUÇÕES E SERVIÇOS LTDA.</t>
  </si>
  <si>
    <t>CT 090/2026 - Resumo do contrato publicado no DOE dia 19/08/2026. Empresa Vencedora: Geox Geotecnia e Engenharia de Obras Ltda. Valor Total R$: 15.481.681,80.</t>
  </si>
  <si>
    <t>Emissão de AIO
Emissão de OS 
Monitorar execução da obra</t>
  </si>
  <si>
    <t>https://maps.app.goo.gl/RKehfZFMWzKqUiiq9</t>
  </si>
  <si>
    <t xml:space="preserve">https://maps.app.goo.gl/KURtToAEqZ99jEFF6
</t>
  </si>
  <si>
    <t>https://maps.app.goo.gl/YycXB4MzLASDnNFS8</t>
  </si>
  <si>
    <t xml:space="preserve">
https://maps.app.goo.gl/Rrn4cPWUu2apobkQ6</t>
  </si>
  <si>
    <t>https://maps.app.goo.gl/K2qcBkesDemh3P626</t>
  </si>
  <si>
    <t>https://maps.app.goo.gl/kBMMoG4jJaEiZ3B59</t>
  </si>
  <si>
    <t>https://maps.app.goo.gl/YTyCwGwxu7UfZgJK7</t>
  </si>
  <si>
    <t>https://maps.app.goo.gl/is6cTCYAYY9CbnJa7</t>
  </si>
  <si>
    <t>https://maps.app.goo.gl/xJtkr4nZ9cMFaS288</t>
  </si>
  <si>
    <t>https://maps.app.goo.gl/8jEgQFPwCvkqnedUA</t>
  </si>
  <si>
    <t>https://maps.app.goo.gl/b2ntTaR9Q2o61pWN8</t>
  </si>
  <si>
    <t>https://maps.app.goo.gl/QWeULVaLQfYN6dEE9</t>
  </si>
  <si>
    <t>https://maps.app.goo.gl/HsCrMu5sZBLZKUZw8</t>
  </si>
  <si>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</si>
  <si>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t>CONDER enviou dia 17/08 documentação técnica com ajustes e complementações para prosseguimento na análise da CAIXA</t>
  </si>
  <si>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</si>
  <si>
    <t>CONDER enviou dia 18/08 documentação técnica com ajustes e complementações para prosseguimento na análise da CAIXA</t>
  </si>
  <si>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</si>
  <si>
    <t xml:space="preserve">Documentação aprovada anexada no TGOV. Aguardando emissão do LAE pela CAIXA
</t>
  </si>
  <si>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</si>
  <si>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</si>
  <si>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</si>
  <si>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</si>
  <si>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</si>
  <si>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</si>
  <si>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</si>
  <si>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</si>
  <si>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</si>
  <si>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</si>
  <si>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</si>
  <si>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</si>
  <si>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</si>
  <si>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</si>
  <si>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</si>
  <si>
    <t>Aguardando manifestação da CAIXA - documentação em análise na CAIXA enviada pela CONDER dia 24/07.</t>
  </si>
  <si>
    <t xml:space="preserve">CONDER enviou dia 24/07 documentação técnica com ajustes e complementações para prosseguimento na análise da CAIXA. </t>
  </si>
  <si>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</si>
  <si>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</si>
  <si>
    <t>Aguardando comprovação de lançamento do Edital de Licitação</t>
  </si>
  <si>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</si>
  <si>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</si>
  <si>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Monitorar execução</t>
  </si>
  <si>
    <t>https://maps.app.goo.gl/H2bUp8csHK3eCiUP7</t>
  </si>
  <si>
    <t>https://maps.app.goo.gl/HSokUzJjA81KJSPQ6</t>
  </si>
  <si>
    <t>CONDER</t>
  </si>
  <si>
    <t xml:space="preserve">
* Elaboração do TR e Edital.
* Lançamento da licitação.
* VRPL.
* AIO.
* Execução do objeto.</t>
  </si>
  <si>
    <t xml:space="preserve">
* Elaboração do TR e Edital.
* Lançamento da licitação.
* VRPL.
* AIO.
* Execução do objeto</t>
  </si>
  <si>
    <r>
      <rPr>
        <b/>
        <sz val="16"/>
        <rFont val="Calibri"/>
        <family val="2"/>
      </rPr>
      <t xml:space="preserve">
Contratação Integrada</t>
    </r>
    <r>
      <rPr>
        <sz val="16"/>
        <rFont val="Calibri"/>
        <family val="2"/>
      </rPr>
      <t xml:space="preserve">
Termo de Referência
</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</si>
  <si>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</si>
  <si>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</si>
  <si>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rPr>
        <b/>
        <sz val="16"/>
        <rFont val="Calibri"/>
        <family val="2"/>
      </rPr>
      <t xml:space="preserve">
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</si>
  <si>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t xml:space="preserve">CE GIGOV/SA 5265/2026 - Enviado dia 21/08/26 - Disponibiliza Termo de Rerratificação assinado para retirada.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</si>
  <si>
    <t>Aeroporto de Barreiras (EQUIPAMENTOS DE BALIZAMENTO - PISTA/INFRA)
Sinalização: iluminação de pátio, luminoso PPD e TWY, Biruta, Farol, Papi, etc.</t>
  </si>
  <si>
    <t>https://governodabahia.plataformatarget.com.br/web/fbb30a88-ec24-4177-87a2-2b54f6b0731e</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</si>
  <si>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</si>
  <si>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</si>
  <si>
    <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</si>
  <si>
    <r>
      <rPr>
        <b/>
        <sz val="16"/>
        <rFont val="Calibri"/>
        <family val="2"/>
      </rP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</si>
  <si>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5310/2026 - Enviado dia 24/08/26 - Ateste dos BMs 02 a 07 e condicionantes para desbloqueio.
</t>
    </r>
    <r>
      <rPr>
        <sz val="16"/>
        <rFont val="Calibri"/>
        <family val="2"/>
      </rPr>
      <t>CE GIGOV/SA 5101/2026 - Enviado dia 14/08/26 - informamos o desbloqueio de R$ 406.390,04.</t>
    </r>
    <r>
      <rPr>
        <b/>
        <sz val="16"/>
        <rFont val="Calibri"/>
        <family val="2"/>
      </rPr>
      <t xml:space="preserve">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</si>
  <si>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</si>
  <si>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</si>
  <si>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</si>
  <si>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</si>
  <si>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</si>
  <si>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</si>
  <si>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</si>
  <si>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</si>
  <si>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PDE 371.4 - Etapa 2 - Rua Antônio Martins Damasceno - Castelo Branco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</si>
  <si>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26/06/26 -Reanálise preliminar dos Projetos Básicos, valor R$ 7.122.297,30.
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2320/2026 - Enviado dia 23/04/26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</si>
  <si>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Aguardar contratação e Ordem de Serviço.</t>
  </si>
  <si>
    <t>3,3 Mi</t>
  </si>
  <si>
    <t>METROL ENGENHARIA LTDA.</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</si>
  <si>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Licitação homologada e adjudicada, com pulicação no DOE em 20/08/2026. Empresa vencedora: Metrol Engenharia Ltda. Aguardando apresentação de Garantia para assinatura do contrato.</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</si>
  <si>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Assinatura do contrato com a empresa para iniciar serviços de instalação da sinalização.</t>
    </r>
  </si>
  <si>
    <t>PDE  079 - Etapa 2 - Complementar - Rua do Mabaço de Cima - Bairro Itacaranha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</si>
  <si>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R$ 494.862,19.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3047/2026 - Enviado dia 21/05/26 - Análise do Projeto Básico. Valor R$: 494.862,19.</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2008/2026 - Enviado dia 10/04/2026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</si>
  <si>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100 - Etapa 2 - Complementar-Avenida General San Martin - Bairro  Retiro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</si>
  <si>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R$662.404,99.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2880/2026 - Enviado dia 14/05/26 Projeto Básico revisado.</t>
    </r>
    <r>
      <rPr>
        <b/>
        <sz val="16"/>
        <rFont val="Calibri"/>
        <family val="2"/>
      </rPr>
      <t xml:space="preserve">
</t>
    </r>
    <r>
      <rPr>
        <sz val="16"/>
        <rFont val="Calibri"/>
        <family val="2"/>
      </rPr>
      <t>CE GIGOV/SA 2244/2026 -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</si>
  <si>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362 - Etapa 2 - R. Dr. Antonio Oliveira - Sete de Abril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</si>
  <si>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1601/2026 - Enviado dia 20/03/26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</si>
  <si>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60 - Etapa 2 -  Complementar - Loteamento Jaguaribe II Caminho 36 - Cajazeiras 8</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</si>
  <si>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2796/2026 Enviado dia 14/05/26 -Análise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</si>
  <si>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210 - Etapa 2 - Rua São Romão - Bairro Eng. V. Federação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</si>
  <si>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 xml:space="preserve">CE GIGOV/SA 1775/2026 - Enviado dia 30/03/2026 - Análise preliminar Projeto Básico, valor R$: 808.266,70.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</si>
  <si>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276.2 - Etapa 3 - Travessa Baixa do Cajueiro - Praia Grande</t>
  </si>
  <si>
    <t>PDE 276.3 - Etapa 3 - Rua do Coqueiral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</si>
  <si>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3831/2026 - Enviado dia 26/06/26 - Análise do Projeto Básico, valor R$ 4.048.257,51.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</si>
  <si>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3832/2026 - Enviado dia 26/06/26 - Análise do Projeto Básico, valor R$ 2.045.218,25.</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</si>
  <si>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154 - Etapa 3 - Santo Antonio de Padua - Saramandaia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</si>
  <si>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3733/2026 -Enviado dia 26/06/26 - Análise do Projeto Básico, valor R$ 3.739.964,42.</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</si>
  <si>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279 - Etapa 3 - Complementar - Rua Mamede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</si>
  <si>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3833/2026 - Enviado dia 26/06/26 -  Análise do Projeto Básico, valor R$ 4.120.643,29.</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</si>
  <si>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39 - Etapa 3 - Rua dos Humildes - Pau da Lima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</si>
  <si>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2256/2026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</si>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si>
  <si>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</sst>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
    <numFmt numFmtId="165" formatCode="0.00,,\ &quot;Mi&quot;"/>
    <numFmt numFmtId="166" formatCode="0.000,,\ &quot;Mi&quot;"/>
    <numFmt numFmtId="167" formatCode="dd/mm/yy;@"/>
    <numFmt numFmtId="168" formatCode="d/m/yy;@"/>
    <numFmt numFmtId="169" formatCode="#,#00.00,,\ &quot;Mi&quot;"/>
    <numFmt numFmtId="170" formatCode="#,##0.00,,\ &quot;Mi&quot;"/>
    <numFmt numFmtId="171" formatCode="0.000"/>
  </numFmts>
  <fonts count="26">
    <font>
      <sz val="11"/>
      <color theme="1"/>
      <name val="Aptos Narrow"/>
      <family val="2"/>
      <scheme val="minor"/>
    </font>
    <font>
      <sz val="8"/>
      <name val="Aptos Narrow"/>
      <family val="2"/>
      <scheme val="minor"/>
    </font>
    <font>
      <sz val="16"/>
      <color theme="1"/>
      <name val="Calibri"/>
      <family val="2"/>
    </font>
    <font>
      <b/>
      <sz val="16"/>
      <color theme="1"/>
      <name val="Calibri"/>
      <family val="2"/>
    </font>
    <font>
      <sz val="16"/>
      <name val="Calibri"/>
      <family val="2"/>
    </font>
    <font>
      <b/>
      <sz val="9"/>
      <color indexed="81"/>
      <name val="Segoe UI"/>
      <family val="2"/>
    </font>
    <font>
      <b/>
      <sz val="16"/>
      <name val="Calibri"/>
      <family val="2"/>
    </font>
    <font>
      <u/>
      <sz val="11"/>
      <color theme="10"/>
      <name val="Aptos Narrow"/>
      <family val="2"/>
      <scheme val="minor"/>
    </font>
    <font>
      <strike/>
      <sz val="16"/>
      <name val="Calibri"/>
      <family val="2"/>
    </font>
    <font>
      <sz val="16"/>
      <color rgb="FFFF0000"/>
      <name val="Calibri"/>
      <family val="2"/>
    </font>
    <font>
      <sz val="16"/>
      <name val="Calibri"/>
      <family val="2"/>
    </font>
    <font>
      <sz val="16"/>
      <color theme="1"/>
      <name val="Aptos Narrow"/>
      <family val="2"/>
      <scheme val="minor"/>
    </font>
    <font>
      <sz val="15"/>
      <color theme="1"/>
      <name val="Calibri"/>
      <family val="2"/>
    </font>
    <font>
      <sz val="20"/>
      <color theme="1"/>
      <name val="Calibri"/>
      <family val="2"/>
    </font>
    <font>
      <sz val="20"/>
      <name val="Calibri"/>
      <family val="2"/>
    </font>
    <font>
      <sz val="20"/>
      <color theme="1"/>
      <name val="Aptos Narrow"/>
      <family val="2"/>
      <scheme val="minor"/>
    </font>
    <font>
      <sz val="10"/>
      <name val="Calibri"/>
      <family val="2"/>
    </font>
    <font>
      <sz val="16"/>
      <name val="Aptos Narrow"/>
      <family val="2"/>
      <scheme val="minor"/>
    </font>
    <font>
      <sz val="16"/>
      <name val="Calibri"/>
      <family val="2"/>
    </font>
    <font>
      <sz val="16"/>
      <name val="Aptos Narrow"/>
      <scheme val="minor"/>
    </font>
    <font>
      <b/>
      <u/>
      <sz val="16"/>
      <name val="Calibri"/>
      <family val="2"/>
    </font>
    <font>
      <b/>
      <sz val="20"/>
      <name val="Calibri"/>
      <family val="2"/>
    </font>
    <font>
      <u/>
      <sz val="16"/>
      <name val="Aptos Narrow"/>
      <family val="2"/>
      <scheme val="minor"/>
    </font>
    <font>
      <sz val="14"/>
      <name val="Calibri"/>
      <family val="2"/>
    </font>
    <font>
      <sz val="10"/>
      <name val="Arial"/>
      <family val="2"/>
    </font>
    <font>
      <sz val="20"/>
      <name val="Aptos Narrow"/>
      <family val="2"/>
      <scheme val="minor"/>
    </font>
  </fonts>
  <fills count="6">
    <fill>
      <patternFill patternType="none"/>
    </fill>
    <fill>
      <patternFill patternType="gray125"/>
    </fill>
    <fill>
      <patternFill patternType="solid">
        <fgColor theme="0" tint="-0.249977111117893"/>
        <bgColor indexed="64"/>
      </patternFill>
    </fill>
    <fill>
      <patternFill patternType="solid">
        <fgColor theme="2" tint="-9.9948118533890809E-2"/>
        <bgColor indexed="64"/>
      </patternFill>
    </fill>
    <fill>
      <patternFill patternType="solid">
        <fgColor rgb="FFEEF5FC"/>
        <bgColor indexed="64"/>
      </patternFill>
    </fill>
    <fill>
      <patternFill patternType="solid">
        <fgColor rgb="FFDBF0F9"/>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style="medium">
        <color theme="0"/>
      </left>
      <right/>
      <top style="medium">
        <color theme="0"/>
      </top>
      <bottom/>
      <diagonal/>
    </border>
    <border>
      <left style="medium">
        <color theme="0"/>
      </left>
      <right style="medium">
        <color theme="0"/>
      </right>
      <top style="medium">
        <color theme="0"/>
      </top>
      <bottom/>
      <diagonal/>
    </border>
    <border>
      <left style="medium">
        <color theme="0"/>
      </left>
      <right/>
      <top/>
      <bottom style="medium">
        <color theme="0"/>
      </bottom>
      <diagonal/>
    </border>
    <border>
      <left/>
      <right/>
      <top/>
      <bottom style="medium">
        <color theme="0"/>
      </bottom>
      <diagonal/>
    </border>
    <border>
      <left style="medium">
        <color theme="0"/>
      </left>
      <right style="medium">
        <color theme="0"/>
      </right>
      <top/>
      <bottom style="medium">
        <color theme="0"/>
      </bottom>
      <diagonal/>
    </border>
    <border>
      <left/>
      <right style="medium">
        <color theme="0"/>
      </right>
      <top/>
      <bottom style="medium">
        <color theme="0"/>
      </bottom>
      <diagonal/>
    </border>
  </borders>
  <cellStyleXfs count="2">
    <xf numFmtId="0" fontId="0" fillId="0" borderId="0"/>
    <xf numFmtId="0" fontId="7" fillId="0" borderId="0" applyNumberFormat="0" applyFill="0" applyBorder="0" applyAlignment="0" applyProtection="0"/>
  </cellStyleXfs>
  <cellXfs count="205">
    <xf numFmtId="0" fontId="0" fillId="0" borderId="0" xfId="0"/>
    <xf numFmtId="0" fontId="2" fillId="0" borderId="0" xfId="0" applyFont="1"/>
    <xf numFmtId="0" fontId="4" fillId="0" borderId="0" xfId="0" applyFont="1"/>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1" xfId="0" applyFont="1" applyBorder="1"/>
    <xf numFmtId="0" fontId="4" fillId="0" borderId="1" xfId="0" applyFont="1" applyBorder="1"/>
    <xf numFmtId="0" fontId="4" fillId="0" borderId="1" xfId="0" applyFont="1" applyBorder="1" applyAlignment="1" applyProtection="1">
      <alignment horizontal="left" vertical="center" wrapText="1"/>
      <protection locked="0"/>
    </xf>
    <xf numFmtId="0" fontId="2" fillId="0" borderId="1" xfId="0" applyFont="1" applyBorder="1" applyProtection="1">
      <protection locked="0"/>
    </xf>
    <xf numFmtId="0" fontId="4" fillId="0" borderId="2" xfId="0" applyFont="1" applyBorder="1" applyProtection="1">
      <protection locked="0"/>
    </xf>
    <xf numFmtId="0" fontId="10" fillId="0" borderId="1" xfId="0" applyFont="1" applyBorder="1"/>
    <xf numFmtId="0" fontId="2" fillId="3" borderId="5" xfId="0" applyFont="1" applyFill="1" applyBorder="1" applyAlignment="1">
      <alignment horizontal="center" vertical="center" wrapText="1"/>
    </xf>
    <xf numFmtId="49" fontId="2" fillId="3" borderId="5" xfId="0" applyNumberFormat="1" applyFont="1" applyFill="1" applyBorder="1" applyAlignment="1">
      <alignment horizontal="center" vertical="center" wrapText="1"/>
    </xf>
    <xf numFmtId="0" fontId="2" fillId="3" borderId="5" xfId="0" applyFont="1" applyFill="1" applyBorder="1" applyAlignment="1">
      <alignment horizontal="center" vertical="center"/>
    </xf>
    <xf numFmtId="0" fontId="2" fillId="4" borderId="5" xfId="0" applyFont="1" applyFill="1" applyBorder="1" applyAlignment="1">
      <alignment horizontal="center" vertical="center" wrapText="1"/>
    </xf>
    <xf numFmtId="1" fontId="2" fillId="4" borderId="5" xfId="0" applyNumberFormat="1" applyFont="1" applyFill="1" applyBorder="1" applyAlignment="1">
      <alignment horizontal="center" vertical="center" wrapText="1"/>
    </xf>
    <xf numFmtId="49" fontId="2" fillId="4" borderId="5" xfId="0" applyNumberFormat="1" applyFont="1" applyFill="1" applyBorder="1" applyAlignment="1">
      <alignment horizontal="left" vertical="center" wrapText="1" indent="1"/>
    </xf>
    <xf numFmtId="49" fontId="2" fillId="4" borderId="5" xfId="0" applyNumberFormat="1" applyFont="1" applyFill="1" applyBorder="1" applyAlignment="1">
      <alignment horizontal="center" vertical="center" wrapText="1"/>
    </xf>
    <xf numFmtId="165" fontId="4" fillId="4" borderId="5" xfId="0" applyNumberFormat="1" applyFont="1" applyFill="1" applyBorder="1" applyAlignment="1">
      <alignment horizontal="center" vertical="center" wrapText="1"/>
    </xf>
    <xf numFmtId="165" fontId="2" fillId="4" borderId="5" xfId="0" applyNumberFormat="1" applyFont="1" applyFill="1" applyBorder="1" applyAlignment="1">
      <alignment horizontal="center" vertical="center" wrapText="1"/>
    </xf>
    <xf numFmtId="166" fontId="4" fillId="4" borderId="5" xfId="0" applyNumberFormat="1" applyFont="1" applyFill="1" applyBorder="1" applyAlignment="1">
      <alignment horizontal="center" vertical="center" wrapText="1"/>
    </xf>
    <xf numFmtId="4" fontId="2" fillId="4" borderId="5" xfId="0" applyNumberFormat="1" applyFont="1" applyFill="1" applyBorder="1" applyAlignment="1">
      <alignment horizontal="center" vertical="center" wrapText="1"/>
    </xf>
    <xf numFmtId="164" fontId="2" fillId="4" borderId="5" xfId="0" applyNumberFormat="1" applyFont="1" applyFill="1" applyBorder="1" applyAlignment="1">
      <alignment horizontal="center" vertical="center" wrapText="1"/>
    </xf>
    <xf numFmtId="167" fontId="2" fillId="4" borderId="5"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wrapText="1"/>
    </xf>
    <xf numFmtId="168" fontId="2" fillId="4" borderId="5" xfId="0" applyNumberFormat="1" applyFont="1" applyFill="1" applyBorder="1" applyAlignment="1">
      <alignment horizontal="center" vertical="center" wrapText="1"/>
    </xf>
    <xf numFmtId="49" fontId="3" fillId="4" borderId="5" xfId="0" applyNumberFormat="1" applyFont="1" applyFill="1" applyBorder="1" applyAlignment="1">
      <alignment horizontal="center" vertical="center" wrapText="1"/>
    </xf>
    <xf numFmtId="0" fontId="2" fillId="5" borderId="5" xfId="0" applyFont="1" applyFill="1" applyBorder="1" applyAlignment="1">
      <alignment horizontal="center" vertical="center" wrapText="1"/>
    </xf>
    <xf numFmtId="1" fontId="2" fillId="5" borderId="5" xfId="0" applyNumberFormat="1" applyFont="1" applyFill="1" applyBorder="1" applyAlignment="1">
      <alignment horizontal="center" vertical="center" wrapText="1"/>
    </xf>
    <xf numFmtId="49" fontId="2" fillId="5" borderId="5" xfId="0" applyNumberFormat="1" applyFont="1" applyFill="1" applyBorder="1" applyAlignment="1">
      <alignment horizontal="left" vertical="center" wrapText="1" indent="1"/>
    </xf>
    <xf numFmtId="49" fontId="2" fillId="5" borderId="5" xfId="0" applyNumberFormat="1" applyFont="1" applyFill="1" applyBorder="1" applyAlignment="1">
      <alignment horizontal="center" vertical="center" wrapText="1"/>
    </xf>
    <xf numFmtId="165" fontId="4" fillId="5" borderId="5" xfId="0" applyNumberFormat="1" applyFont="1" applyFill="1" applyBorder="1" applyAlignment="1">
      <alignment horizontal="center" vertical="center" wrapText="1"/>
    </xf>
    <xf numFmtId="165" fontId="2" fillId="5" borderId="5" xfId="0" applyNumberFormat="1" applyFont="1" applyFill="1" applyBorder="1" applyAlignment="1">
      <alignment horizontal="center" vertical="center" wrapText="1"/>
    </xf>
    <xf numFmtId="166" fontId="4" fillId="5" borderId="5" xfId="0" applyNumberFormat="1" applyFont="1" applyFill="1" applyBorder="1" applyAlignment="1">
      <alignment horizontal="center" vertical="center" wrapText="1"/>
    </xf>
    <xf numFmtId="4"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167" fontId="2" fillId="5" borderId="5"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wrapText="1"/>
    </xf>
    <xf numFmtId="168" fontId="2" fillId="5" borderId="5" xfId="0" applyNumberFormat="1" applyFont="1" applyFill="1" applyBorder="1" applyAlignment="1">
      <alignment horizontal="center" vertical="center" wrapText="1"/>
    </xf>
    <xf numFmtId="49" fontId="3" fillId="5" borderId="5" xfId="0" applyNumberFormat="1" applyFont="1" applyFill="1" applyBorder="1" applyAlignment="1">
      <alignment horizontal="center" vertical="center" wrapText="1"/>
    </xf>
    <xf numFmtId="49" fontId="4" fillId="4" borderId="5" xfId="0" applyNumberFormat="1" applyFont="1" applyFill="1" applyBorder="1" applyAlignment="1">
      <alignment horizontal="center" vertical="center" wrapText="1"/>
    </xf>
    <xf numFmtId="165" fontId="2" fillId="4" borderId="3"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xf>
    <xf numFmtId="2" fontId="11" fillId="4" borderId="5" xfId="0" applyNumberFormat="1" applyFont="1" applyFill="1" applyBorder="1" applyAlignment="1">
      <alignment horizontal="center" vertical="center"/>
    </xf>
    <xf numFmtId="165" fontId="2" fillId="4" borderId="6" xfId="0" applyNumberFormat="1" applyFont="1" applyFill="1" applyBorder="1" applyAlignment="1">
      <alignment horizontal="center" vertical="center" wrapText="1"/>
    </xf>
    <xf numFmtId="165" fontId="2" fillId="5" borderId="6" xfId="0" applyNumberFormat="1" applyFont="1" applyFill="1" applyBorder="1" applyAlignment="1">
      <alignment horizontal="center" vertical="center" wrapText="1"/>
    </xf>
    <xf numFmtId="0" fontId="2" fillId="4" borderId="4" xfId="0" applyFont="1" applyFill="1" applyBorder="1" applyAlignment="1">
      <alignment horizontal="center" vertical="center" wrapText="1"/>
    </xf>
    <xf numFmtId="49" fontId="2" fillId="4" borderId="4" xfId="0" applyNumberFormat="1" applyFont="1" applyFill="1" applyBorder="1" applyAlignment="1">
      <alignment horizontal="center" vertical="center" wrapText="1"/>
    </xf>
    <xf numFmtId="165" fontId="4" fillId="4" borderId="4" xfId="0" applyNumberFormat="1" applyFont="1" applyFill="1" applyBorder="1" applyAlignment="1">
      <alignment horizontal="center" vertical="center" wrapText="1"/>
    </xf>
    <xf numFmtId="165" fontId="2" fillId="4" borderId="4" xfId="0" applyNumberFormat="1" applyFont="1" applyFill="1" applyBorder="1" applyAlignment="1">
      <alignment horizontal="center" vertical="center" wrapText="1"/>
    </xf>
    <xf numFmtId="166" fontId="4" fillId="4" borderId="4" xfId="0" applyNumberFormat="1" applyFont="1" applyFill="1" applyBorder="1" applyAlignment="1">
      <alignment horizontal="center" vertical="center" wrapText="1"/>
    </xf>
    <xf numFmtId="4" fontId="2" fillId="4" borderId="4" xfId="0" applyNumberFormat="1" applyFont="1" applyFill="1" applyBorder="1" applyAlignment="1">
      <alignment horizontal="center" vertical="center" wrapText="1"/>
    </xf>
    <xf numFmtId="164" fontId="2" fillId="4" borderId="4" xfId="0" applyNumberFormat="1" applyFont="1" applyFill="1" applyBorder="1" applyAlignment="1">
      <alignment horizontal="center" vertical="center" wrapText="1"/>
    </xf>
    <xf numFmtId="1" fontId="2" fillId="4" borderId="4" xfId="0" applyNumberFormat="1" applyFont="1" applyFill="1" applyBorder="1" applyAlignment="1">
      <alignment horizontal="center" vertical="center" wrapText="1"/>
    </xf>
    <xf numFmtId="167" fontId="2" fillId="4" borderId="4" xfId="0" applyNumberFormat="1" applyFont="1" applyFill="1" applyBorder="1" applyAlignment="1">
      <alignment horizontal="center" vertical="center" wrapText="1"/>
    </xf>
    <xf numFmtId="2" fontId="2" fillId="4" borderId="4" xfId="0" applyNumberFormat="1" applyFont="1" applyFill="1" applyBorder="1" applyAlignment="1">
      <alignment horizontal="center" vertical="center" wrapText="1"/>
    </xf>
    <xf numFmtId="49" fontId="2" fillId="4" borderId="4" xfId="0" applyNumberFormat="1" applyFont="1" applyFill="1" applyBorder="1" applyAlignment="1">
      <alignment horizontal="left" vertical="center" wrapText="1" indent="1"/>
    </xf>
    <xf numFmtId="168" fontId="2" fillId="4" borderId="4" xfId="0" applyNumberFormat="1" applyFont="1" applyFill="1" applyBorder="1" applyAlignment="1">
      <alignment horizontal="center" vertical="center" wrapText="1"/>
    </xf>
    <xf numFmtId="49" fontId="3" fillId="4" borderId="4" xfId="0" applyNumberFormat="1" applyFont="1" applyFill="1" applyBorder="1" applyAlignment="1">
      <alignment horizontal="center" vertical="center" wrapText="1"/>
    </xf>
    <xf numFmtId="0" fontId="12" fillId="3" borderId="6" xfId="0" applyFont="1" applyFill="1" applyBorder="1" applyAlignment="1">
      <alignment horizontal="center" vertical="center" wrapText="1"/>
    </xf>
    <xf numFmtId="0" fontId="13" fillId="4" borderId="5" xfId="0" applyFont="1" applyFill="1" applyBorder="1" applyAlignment="1">
      <alignment horizontal="center" vertical="center" wrapText="1"/>
    </xf>
    <xf numFmtId="0" fontId="13" fillId="0" borderId="0" xfId="0" applyFont="1"/>
    <xf numFmtId="0" fontId="15" fillId="0" borderId="0" xfId="0" applyFont="1"/>
    <xf numFmtId="49" fontId="13" fillId="0" borderId="0" xfId="0" applyNumberFormat="1" applyFont="1"/>
    <xf numFmtId="0" fontId="15" fillId="0" borderId="0" xfId="0" applyFont="1" applyAlignment="1">
      <alignment horizontal="left" vertical="center"/>
    </xf>
    <xf numFmtId="0" fontId="13" fillId="0" borderId="0" xfId="0" applyFont="1" applyAlignment="1">
      <alignment horizontal="center" vertical="center"/>
    </xf>
    <xf numFmtId="49" fontId="13" fillId="0" borderId="0" xfId="0" applyNumberFormat="1" applyFont="1" applyAlignment="1">
      <alignment horizontal="left"/>
    </xf>
    <xf numFmtId="0" fontId="13" fillId="3" borderId="3" xfId="0" applyFont="1" applyFill="1" applyBorder="1" applyAlignment="1">
      <alignment horizontal="center" vertical="center" wrapText="1"/>
    </xf>
    <xf numFmtId="0" fontId="13" fillId="3" borderId="4" xfId="0" applyFont="1" applyFill="1" applyBorder="1" applyAlignment="1">
      <alignment horizontal="center" vertical="center" wrapText="1"/>
    </xf>
    <xf numFmtId="49" fontId="13" fillId="0" borderId="0" xfId="0" applyNumberFormat="1" applyFont="1" applyAlignment="1">
      <alignment horizontal="left" vertical="center"/>
    </xf>
    <xf numFmtId="49" fontId="13" fillId="0" borderId="0" xfId="0" applyNumberFormat="1" applyFont="1" applyAlignment="1">
      <alignment horizontal="center" vertical="center"/>
    </xf>
    <xf numFmtId="0" fontId="14" fillId="4" borderId="5" xfId="0" applyFont="1" applyFill="1" applyBorder="1" applyAlignment="1">
      <alignment horizontal="center" vertical="center" wrapText="1"/>
    </xf>
    <xf numFmtId="169" fontId="14" fillId="4" borderId="5" xfId="0" applyNumberFormat="1" applyFont="1" applyFill="1" applyBorder="1" applyAlignment="1">
      <alignment horizontal="center" vertical="center" wrapText="1"/>
    </xf>
    <xf numFmtId="170" fontId="14" fillId="4" borderId="5" xfId="0" applyNumberFormat="1" applyFont="1" applyFill="1" applyBorder="1" applyAlignment="1">
      <alignment horizontal="center" vertical="center" wrapText="1"/>
    </xf>
    <xf numFmtId="49" fontId="13" fillId="0" borderId="0" xfId="0" applyNumberFormat="1" applyFont="1" applyAlignment="1">
      <alignment horizontal="right"/>
    </xf>
    <xf numFmtId="165" fontId="14" fillId="0" borderId="0" xfId="0" applyNumberFormat="1" applyFont="1" applyAlignment="1">
      <alignment horizontal="center" vertical="center" wrapText="1"/>
    </xf>
    <xf numFmtId="0" fontId="13" fillId="0" borderId="0" xfId="0" applyFont="1" applyAlignment="1">
      <alignment wrapText="1"/>
    </xf>
    <xf numFmtId="0" fontId="15" fillId="0" borderId="0" xfId="0" applyFont="1" applyAlignment="1">
      <alignment horizontal="left"/>
    </xf>
    <xf numFmtId="2" fontId="2" fillId="5" borderId="5" xfId="0" applyNumberFormat="1" applyFont="1" applyFill="1" applyBorder="1" applyAlignment="1">
      <alignment horizontal="center" vertical="center"/>
    </xf>
    <xf numFmtId="2" fontId="11" fillId="5" borderId="5" xfId="0" applyNumberFormat="1" applyFont="1" applyFill="1" applyBorder="1" applyAlignment="1">
      <alignment horizontal="center" vertical="center"/>
    </xf>
    <xf numFmtId="2" fontId="2" fillId="4" borderId="4" xfId="0" applyNumberFormat="1" applyFont="1" applyFill="1" applyBorder="1" applyAlignment="1">
      <alignment horizontal="center" vertical="center"/>
    </xf>
    <xf numFmtId="2" fontId="11" fillId="4" borderId="4" xfId="0" applyNumberFormat="1" applyFont="1" applyFill="1" applyBorder="1" applyAlignment="1">
      <alignment horizontal="center" vertical="center"/>
    </xf>
    <xf numFmtId="168" fontId="9" fillId="4" borderId="5" xfId="0" applyNumberFormat="1" applyFont="1" applyFill="1" applyBorder="1" applyAlignment="1">
      <alignment horizontal="center" vertical="center" wrapText="1"/>
    </xf>
    <xf numFmtId="166" fontId="4" fillId="4" borderId="6" xfId="0" applyNumberFormat="1" applyFont="1" applyFill="1" applyBorder="1" applyAlignment="1">
      <alignment horizontal="center" vertical="center" wrapText="1"/>
    </xf>
    <xf numFmtId="166" fontId="4" fillId="5" borderId="6" xfId="0" applyNumberFormat="1" applyFont="1" applyFill="1" applyBorder="1" applyAlignment="1">
      <alignment horizontal="center" vertical="center" wrapText="1"/>
    </xf>
    <xf numFmtId="0" fontId="15" fillId="0" borderId="0" xfId="0" applyFont="1" applyAlignment="1">
      <alignment horizontal="left" wrapText="1"/>
    </xf>
    <xf numFmtId="14" fontId="2" fillId="4" borderId="5" xfId="0" applyNumberFormat="1" applyFont="1" applyFill="1" applyBorder="1" applyAlignment="1">
      <alignment horizontal="center" vertical="center" wrapText="1"/>
    </xf>
    <xf numFmtId="167" fontId="4" fillId="4" borderId="5" xfId="0" applyNumberFormat="1" applyFont="1" applyFill="1" applyBorder="1" applyAlignment="1">
      <alignment horizontal="center" vertical="center" wrapText="1"/>
    </xf>
    <xf numFmtId="0" fontId="4" fillId="4" borderId="5" xfId="0" applyFont="1" applyFill="1" applyBorder="1" applyAlignment="1">
      <alignment horizontal="center" vertical="center" wrapText="1"/>
    </xf>
    <xf numFmtId="165" fontId="4" fillId="4" borderId="5" xfId="0" applyNumberFormat="1" applyFont="1" applyFill="1" applyBorder="1" applyAlignment="1">
      <alignment horizontal="left" vertical="center" wrapText="1"/>
    </xf>
    <xf numFmtId="0" fontId="2" fillId="4" borderId="5" xfId="0" applyFont="1" applyFill="1" applyBorder="1" applyAlignment="1">
      <alignment horizontal="center" vertical="center"/>
    </xf>
    <xf numFmtId="0" fontId="18" fillId="0" borderId="1" xfId="0" applyFont="1" applyBorder="1" applyAlignment="1" applyProtection="1">
      <alignment horizontal="left" vertical="center" wrapText="1"/>
      <protection locked="0"/>
    </xf>
    <xf numFmtId="0" fontId="18" fillId="0" borderId="1" xfId="0" applyFont="1" applyBorder="1"/>
    <xf numFmtId="0" fontId="18" fillId="0" borderId="0" xfId="0" applyFont="1"/>
    <xf numFmtId="171" fontId="13" fillId="0" borderId="0" xfId="0" applyNumberFormat="1" applyFont="1"/>
    <xf numFmtId="2" fontId="13" fillId="0" borderId="0" xfId="0" applyNumberFormat="1" applyFont="1"/>
    <xf numFmtId="2" fontId="19" fillId="4" borderId="5" xfId="0" applyNumberFormat="1" applyFont="1" applyFill="1" applyBorder="1" applyAlignment="1">
      <alignment horizontal="center" vertical="center"/>
    </xf>
    <xf numFmtId="0" fontId="25" fillId="4" borderId="3" xfId="0" applyFont="1" applyFill="1" applyBorder="1"/>
    <xf numFmtId="0" fontId="14" fillId="3" borderId="5" xfId="0" applyFont="1" applyFill="1" applyBorder="1" applyAlignment="1">
      <alignment horizontal="center" vertical="center" wrapText="1"/>
    </xf>
    <xf numFmtId="49" fontId="14" fillId="3" borderId="5" xfId="0" applyNumberFormat="1" applyFont="1" applyFill="1" applyBorder="1" applyAlignment="1">
      <alignment horizontal="center" vertical="center" wrapText="1"/>
    </xf>
    <xf numFmtId="0" fontId="14" fillId="3" borderId="6" xfId="0" applyFont="1" applyFill="1" applyBorder="1" applyAlignment="1">
      <alignment horizontal="center" vertical="center" wrapText="1"/>
    </xf>
    <xf numFmtId="1" fontId="4" fillId="4" borderId="5" xfId="0" applyNumberFormat="1" applyFont="1" applyFill="1" applyBorder="1" applyAlignment="1">
      <alignment horizontal="center" vertical="center" wrapText="1"/>
    </xf>
    <xf numFmtId="49" fontId="4" fillId="4" borderId="5" xfId="0" applyNumberFormat="1" applyFont="1" applyFill="1" applyBorder="1" applyAlignment="1">
      <alignment horizontal="left" vertical="center" wrapText="1" indent="1"/>
    </xf>
    <xf numFmtId="4" fontId="4" fillId="4" borderId="5" xfId="0" applyNumberFormat="1" applyFont="1" applyFill="1" applyBorder="1" applyAlignment="1">
      <alignment horizontal="center" vertical="center" wrapText="1"/>
    </xf>
    <xf numFmtId="164" fontId="4"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wrapText="1"/>
    </xf>
    <xf numFmtId="14" fontId="4" fillId="4" borderId="5" xfId="0" applyNumberFormat="1" applyFont="1" applyFill="1" applyBorder="1" applyAlignment="1">
      <alignment horizontal="center" vertical="center" wrapText="1"/>
    </xf>
    <xf numFmtId="168" fontId="4" fillId="4" borderId="5" xfId="0" applyNumberFormat="1" applyFont="1" applyFill="1" applyBorder="1" applyAlignment="1">
      <alignment horizontal="center" vertical="center" wrapText="1"/>
    </xf>
    <xf numFmtId="49" fontId="6"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xf>
    <xf numFmtId="2" fontId="17" fillId="4" borderId="5" xfId="0" applyNumberFormat="1" applyFont="1" applyFill="1" applyBorder="1" applyAlignment="1">
      <alignment horizontal="center" vertical="center"/>
    </xf>
    <xf numFmtId="165" fontId="4" fillId="4" borderId="6"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 fontId="4" fillId="5"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1"/>
    </xf>
    <xf numFmtId="49" fontId="4" fillId="5" borderId="5" xfId="0" applyNumberFormat="1" applyFont="1" applyFill="1" applyBorder="1" applyAlignment="1">
      <alignment horizontal="center" vertical="center" wrapText="1"/>
    </xf>
    <xf numFmtId="4" fontId="4" fillId="5" borderId="5" xfId="0" applyNumberFormat="1" applyFont="1" applyFill="1" applyBorder="1" applyAlignment="1">
      <alignment horizontal="center" vertical="center" wrapText="1"/>
    </xf>
    <xf numFmtId="164" fontId="4" fillId="5" borderId="5" xfId="0" applyNumberFormat="1" applyFont="1" applyFill="1" applyBorder="1" applyAlignment="1">
      <alignment horizontal="center" vertical="center" wrapText="1"/>
    </xf>
    <xf numFmtId="167" fontId="4"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14" fontId="4" fillId="5" borderId="5" xfId="0" applyNumberFormat="1" applyFont="1" applyFill="1" applyBorder="1" applyAlignment="1">
      <alignment horizontal="center" vertical="center" wrapText="1"/>
    </xf>
    <xf numFmtId="168" fontId="4" fillId="5" borderId="5" xfId="0" applyNumberFormat="1" applyFont="1" applyFill="1" applyBorder="1" applyAlignment="1">
      <alignment horizontal="center" vertical="center" wrapText="1"/>
    </xf>
    <xf numFmtId="49" fontId="6" fillId="5" borderId="5" xfId="0" applyNumberFormat="1" applyFont="1" applyFill="1" applyBorder="1" applyAlignment="1">
      <alignment horizontal="center" vertical="center" wrapText="1"/>
    </xf>
    <xf numFmtId="2" fontId="17" fillId="5" borderId="5" xfId="0" applyNumberFormat="1" applyFont="1" applyFill="1" applyBorder="1" applyAlignment="1">
      <alignment horizontal="center" vertical="center"/>
    </xf>
    <xf numFmtId="49" fontId="4" fillId="4" borderId="5" xfId="0" applyNumberFormat="1" applyFont="1" applyFill="1" applyBorder="1" applyAlignment="1">
      <alignment horizontal="left" vertical="center" wrapText="1"/>
    </xf>
    <xf numFmtId="49" fontId="4" fillId="5" borderId="5" xfId="0" applyNumberFormat="1" applyFont="1" applyFill="1" applyBorder="1" applyAlignment="1">
      <alignment horizontal="left" vertical="center" wrapText="1"/>
    </xf>
    <xf numFmtId="49" fontId="6" fillId="4" borderId="5" xfId="0" applyNumberFormat="1" applyFont="1" applyFill="1" applyBorder="1" applyAlignment="1">
      <alignment horizontal="left" vertical="center" wrapText="1"/>
    </xf>
    <xf numFmtId="49" fontId="6" fillId="5" borderId="5" xfId="0" applyNumberFormat="1" applyFont="1" applyFill="1" applyBorder="1" applyAlignment="1">
      <alignment horizontal="left" vertical="center" wrapText="1" indent="1"/>
    </xf>
    <xf numFmtId="49" fontId="6" fillId="4" borderId="5" xfId="0" applyNumberFormat="1" applyFont="1" applyFill="1" applyBorder="1" applyAlignment="1">
      <alignment horizontal="left" vertical="center" wrapText="1" indent="1"/>
    </xf>
    <xf numFmtId="0" fontId="4" fillId="4" borderId="5" xfId="0" applyFont="1" applyFill="1" applyBorder="1" applyAlignment="1">
      <alignment horizontal="center" vertical="center"/>
    </xf>
    <xf numFmtId="165" fontId="4" fillId="5" borderId="5" xfId="0" applyNumberFormat="1" applyFont="1" applyFill="1" applyBorder="1" applyAlignment="1">
      <alignment horizontal="left" vertical="center" wrapText="1"/>
    </xf>
    <xf numFmtId="0" fontId="4" fillId="5" borderId="5" xfId="0" applyFont="1" applyFill="1" applyBorder="1" applyAlignment="1">
      <alignment horizontal="center" vertical="center"/>
    </xf>
    <xf numFmtId="2" fontId="6" fillId="4" borderId="5" xfId="0" applyNumberFormat="1" applyFont="1" applyFill="1" applyBorder="1" applyAlignment="1">
      <alignment horizontal="center" vertical="center" wrapText="1"/>
    </xf>
    <xf numFmtId="2" fontId="6" fillId="5" borderId="5" xfId="0" applyNumberFormat="1" applyFont="1" applyFill="1" applyBorder="1" applyAlignment="1">
      <alignment horizontal="center" vertical="center" wrapText="1"/>
    </xf>
    <xf numFmtId="0" fontId="14" fillId="5" borderId="5" xfId="0" applyFont="1" applyFill="1" applyBorder="1" applyAlignment="1">
      <alignment horizontal="center" vertical="center" wrapText="1"/>
    </xf>
    <xf numFmtId="1"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indent="1"/>
    </xf>
    <xf numFmtId="49" fontId="14" fillId="5" borderId="5" xfId="0" applyNumberFormat="1" applyFont="1" applyFill="1" applyBorder="1" applyAlignment="1">
      <alignment horizontal="center" vertical="center" wrapText="1"/>
    </xf>
    <xf numFmtId="165" fontId="14" fillId="5" borderId="5" xfId="0" applyNumberFormat="1" applyFont="1" applyFill="1" applyBorder="1" applyAlignment="1">
      <alignment horizontal="center" vertical="center" wrapText="1"/>
    </xf>
    <xf numFmtId="166" fontId="14" fillId="5" borderId="5" xfId="0" applyNumberFormat="1" applyFont="1" applyFill="1" applyBorder="1" applyAlignment="1">
      <alignment horizontal="center" vertical="center" wrapText="1"/>
    </xf>
    <xf numFmtId="4" fontId="14" fillId="5" borderId="5" xfId="0" applyNumberFormat="1" applyFont="1" applyFill="1" applyBorder="1" applyAlignment="1">
      <alignment horizontal="center" vertical="center" wrapText="1"/>
    </xf>
    <xf numFmtId="164" fontId="14" fillId="5" borderId="5" xfId="0" applyNumberFormat="1" applyFont="1" applyFill="1" applyBorder="1" applyAlignment="1">
      <alignment horizontal="center" vertical="center" wrapText="1"/>
    </xf>
    <xf numFmtId="167" fontId="14" fillId="5" borderId="5" xfId="0" applyNumberFormat="1" applyFont="1" applyFill="1" applyBorder="1" applyAlignment="1">
      <alignment horizontal="center" vertical="center" wrapText="1"/>
    </xf>
    <xf numFmtId="2" fontId="14" fillId="5" borderId="5" xfId="0" applyNumberFormat="1" applyFont="1" applyFill="1" applyBorder="1" applyAlignment="1">
      <alignment horizontal="center" vertical="center" wrapText="1"/>
    </xf>
    <xf numFmtId="14"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xf>
    <xf numFmtId="168" fontId="14" fillId="5" borderId="5" xfId="0" applyNumberFormat="1" applyFont="1" applyFill="1" applyBorder="1" applyAlignment="1">
      <alignment horizontal="center" vertical="center" wrapText="1"/>
    </xf>
    <xf numFmtId="49" fontId="21" fillId="5" borderId="5" xfId="0" applyNumberFormat="1" applyFont="1" applyFill="1" applyBorder="1" applyAlignment="1">
      <alignment horizontal="center" vertical="center" wrapText="1"/>
    </xf>
    <xf numFmtId="1" fontId="14" fillId="4" borderId="5" xfId="0" applyNumberFormat="1" applyFont="1" applyFill="1" applyBorder="1" applyAlignment="1">
      <alignment horizontal="center" vertical="center" wrapText="1"/>
    </xf>
    <xf numFmtId="49" fontId="14" fillId="4" borderId="5" xfId="0" applyNumberFormat="1" applyFont="1" applyFill="1" applyBorder="1" applyAlignment="1">
      <alignment horizontal="left" vertical="center" wrapText="1" indent="1"/>
    </xf>
    <xf numFmtId="49" fontId="14" fillId="4" borderId="5" xfId="0" applyNumberFormat="1" applyFont="1" applyFill="1" applyBorder="1" applyAlignment="1">
      <alignment horizontal="center" vertical="center" wrapText="1"/>
    </xf>
    <xf numFmtId="165" fontId="14" fillId="4" borderId="5" xfId="0" applyNumberFormat="1" applyFont="1" applyFill="1" applyBorder="1" applyAlignment="1">
      <alignment horizontal="center" vertical="center" wrapText="1"/>
    </xf>
    <xf numFmtId="166" fontId="14" fillId="4" borderId="5" xfId="0" applyNumberFormat="1" applyFont="1" applyFill="1" applyBorder="1" applyAlignment="1">
      <alignment horizontal="center" vertical="center" wrapText="1"/>
    </xf>
    <xf numFmtId="4" fontId="14" fillId="4" borderId="5" xfId="0" applyNumberFormat="1" applyFont="1" applyFill="1" applyBorder="1" applyAlignment="1">
      <alignment horizontal="center" vertical="center" wrapText="1"/>
    </xf>
    <xf numFmtId="164" fontId="14" fillId="4" borderId="5" xfId="0" applyNumberFormat="1" applyFont="1" applyFill="1" applyBorder="1" applyAlignment="1">
      <alignment horizontal="center" vertical="center" wrapText="1"/>
    </xf>
    <xf numFmtId="167" fontId="14" fillId="4" borderId="5" xfId="0" applyNumberFormat="1" applyFont="1" applyFill="1" applyBorder="1" applyAlignment="1">
      <alignment horizontal="center" vertical="center" wrapText="1"/>
    </xf>
    <xf numFmtId="2" fontId="14" fillId="4" borderId="5" xfId="0" applyNumberFormat="1" applyFont="1" applyFill="1" applyBorder="1" applyAlignment="1">
      <alignment horizontal="center" vertical="center" wrapText="1"/>
    </xf>
    <xf numFmtId="168" fontId="14" fillId="4" borderId="5" xfId="0" applyNumberFormat="1" applyFont="1" applyFill="1" applyBorder="1" applyAlignment="1">
      <alignment horizontal="center" vertical="center" wrapText="1"/>
    </xf>
    <xf numFmtId="14" fontId="14" fillId="4" borderId="5" xfId="0" applyNumberFormat="1" applyFont="1" applyFill="1" applyBorder="1" applyAlignment="1">
      <alignment horizontal="center" vertical="center" wrapText="1"/>
    </xf>
    <xf numFmtId="49" fontId="21" fillId="4"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2"/>
    </xf>
    <xf numFmtId="49" fontId="6" fillId="5" borderId="5" xfId="0" applyNumberFormat="1" applyFont="1" applyFill="1" applyBorder="1" applyAlignment="1">
      <alignment horizontal="left" vertical="center" wrapText="1" indent="2"/>
    </xf>
    <xf numFmtId="49" fontId="4" fillId="4" borderId="5" xfId="0" applyNumberFormat="1" applyFont="1" applyFill="1" applyBorder="1" applyAlignment="1">
      <alignment horizontal="left" vertical="center" wrapText="1" indent="2"/>
    </xf>
    <xf numFmtId="49" fontId="6" fillId="4" borderId="5" xfId="0" applyNumberFormat="1" applyFont="1" applyFill="1" applyBorder="1" applyAlignment="1">
      <alignment horizontal="left" vertical="center" wrapText="1" indent="2"/>
    </xf>
    <xf numFmtId="49" fontId="8" fillId="4" borderId="5" xfId="0" applyNumberFormat="1" applyFont="1" applyFill="1" applyBorder="1" applyAlignment="1">
      <alignment horizontal="left" vertical="center" wrapText="1" indent="1"/>
    </xf>
    <xf numFmtId="49" fontId="8" fillId="5" borderId="5" xfId="0" applyNumberFormat="1" applyFont="1" applyFill="1" applyBorder="1" applyAlignment="1">
      <alignment horizontal="left" vertical="center" wrapText="1" indent="1"/>
    </xf>
    <xf numFmtId="0" fontId="4" fillId="5" borderId="5" xfId="0" applyFont="1" applyFill="1" applyBorder="1" applyAlignment="1">
      <alignment horizontal="left" vertical="center" wrapText="1"/>
    </xf>
    <xf numFmtId="166" fontId="4" fillId="5" borderId="5" xfId="0" applyNumberFormat="1" applyFont="1" applyFill="1" applyBorder="1" applyAlignment="1">
      <alignment horizontal="left" vertical="center" wrapText="1"/>
    </xf>
    <xf numFmtId="0" fontId="4" fillId="4" borderId="5" xfId="0" applyFont="1" applyFill="1" applyBorder="1" applyAlignment="1">
      <alignment horizontal="left" vertical="center" wrapText="1"/>
    </xf>
    <xf numFmtId="14" fontId="4" fillId="4" borderId="5" xfId="0" applyNumberFormat="1" applyFont="1" applyFill="1" applyBorder="1" applyAlignment="1">
      <alignment horizontal="left" vertical="center" wrapText="1"/>
    </xf>
    <xf numFmtId="0" fontId="4" fillId="5" borderId="5" xfId="0" applyFont="1" applyFill="1" applyBorder="1"/>
    <xf numFmtId="165" fontId="4" fillId="4" borderId="5" xfId="0" applyNumberFormat="1" applyFont="1" applyFill="1" applyBorder="1" applyAlignment="1">
      <alignment vertical="center" wrapText="1"/>
    </xf>
    <xf numFmtId="2" fontId="4" fillId="5" borderId="5" xfId="0" applyNumberFormat="1" applyFont="1" applyFill="1" applyBorder="1" applyAlignment="1">
      <alignment horizontal="left" vertical="center" wrapText="1"/>
    </xf>
    <xf numFmtId="164" fontId="4" fillId="5" borderId="5" xfId="0" applyNumberFormat="1" applyFont="1" applyFill="1" applyBorder="1" applyAlignment="1">
      <alignment horizontal="left" vertical="center" wrapText="1"/>
    </xf>
    <xf numFmtId="2" fontId="6" fillId="5" borderId="5" xfId="0" applyNumberFormat="1" applyFont="1" applyFill="1" applyBorder="1" applyAlignment="1">
      <alignment horizontal="left" vertical="center" wrapText="1"/>
    </xf>
    <xf numFmtId="2" fontId="6" fillId="4" borderId="5" xfId="0" applyNumberFormat="1" applyFont="1" applyFill="1" applyBorder="1" applyAlignment="1">
      <alignment horizontal="left" vertical="center" wrapText="1"/>
    </xf>
    <xf numFmtId="4" fontId="4" fillId="4" borderId="5" xfId="0" applyNumberFormat="1" applyFont="1" applyFill="1" applyBorder="1" applyAlignment="1">
      <alignment horizontal="left" vertical="center" wrapText="1"/>
    </xf>
    <xf numFmtId="4" fontId="4" fillId="5" borderId="5" xfId="0" applyNumberFormat="1" applyFont="1" applyFill="1" applyBorder="1" applyAlignment="1">
      <alignment horizontal="left" vertical="center" wrapText="1"/>
    </xf>
    <xf numFmtId="0" fontId="4" fillId="4" borderId="5" xfId="0" applyFont="1" applyFill="1" applyBorder="1" applyAlignment="1">
      <alignment vertical="center" wrapText="1"/>
    </xf>
    <xf numFmtId="0" fontId="4" fillId="5" borderId="5" xfId="0" applyFont="1" applyFill="1" applyBorder="1" applyAlignment="1">
      <alignment vertical="center" wrapText="1"/>
    </xf>
    <xf numFmtId="49" fontId="4" fillId="5" borderId="5" xfId="0" applyNumberFormat="1" applyFont="1" applyFill="1" applyBorder="1" applyAlignment="1">
      <alignment horizontal="left" vertical="top" wrapText="1" indent="1"/>
    </xf>
    <xf numFmtId="0" fontId="24" fillId="5" borderId="5" xfId="0" applyFont="1" applyFill="1" applyBorder="1"/>
    <xf numFmtId="49" fontId="6" fillId="5" borderId="5" xfId="0" applyNumberFormat="1" applyFont="1" applyFill="1" applyBorder="1" applyAlignment="1">
      <alignment horizontal="left" vertical="center" wrapText="1"/>
    </xf>
    <xf numFmtId="0" fontId="14" fillId="4" borderId="4" xfId="0" applyFont="1" applyFill="1" applyBorder="1"/>
    <xf numFmtId="0" fontId="25" fillId="4" borderId="4" xfId="0" applyFont="1" applyFill="1" applyBorder="1"/>
    <xf numFmtId="49" fontId="14" fillId="4" borderId="4" xfId="0" applyNumberFormat="1" applyFont="1" applyFill="1" applyBorder="1"/>
    <xf numFmtId="49" fontId="14" fillId="4" borderId="4" xfId="0" applyNumberFormat="1" applyFont="1" applyFill="1" applyBorder="1" applyAlignment="1">
      <alignment horizontal="left"/>
    </xf>
    <xf numFmtId="14" fontId="25" fillId="4" borderId="4" xfId="0" applyNumberFormat="1" applyFont="1" applyFill="1" applyBorder="1"/>
    <xf numFmtId="167" fontId="4" fillId="4" borderId="4" xfId="0" applyNumberFormat="1" applyFont="1" applyFill="1" applyBorder="1" applyAlignment="1">
      <alignment horizontal="center" vertical="center" wrapText="1"/>
    </xf>
    <xf numFmtId="0" fontId="14" fillId="4" borderId="4" xfId="0" applyFont="1" applyFill="1" applyBorder="1" applyAlignment="1">
      <alignment horizontal="center" vertical="center"/>
    </xf>
    <xf numFmtId="0" fontId="25" fillId="4" borderId="4" xfId="0" applyFont="1" applyFill="1" applyBorder="1" applyAlignment="1">
      <alignment horizontal="left"/>
    </xf>
    <xf numFmtId="165" fontId="4" fillId="5" borderId="6" xfId="0" applyNumberFormat="1" applyFont="1" applyFill="1" applyBorder="1" applyAlignment="1">
      <alignment horizontal="center" vertical="center" wrapText="1"/>
    </xf>
    <xf numFmtId="4" fontId="13" fillId="0" borderId="0" xfId="0" applyNumberFormat="1" applyFont="1"/>
    <xf numFmtId="0" fontId="4" fillId="0" borderId="0" xfId="0" applyFont="1" applyBorder="1"/>
    <xf numFmtId="2" fontId="4" fillId="5" borderId="5" xfId="0" applyNumberFormat="1" applyFont="1" applyFill="1" applyBorder="1" applyAlignment="1">
      <alignment horizontal="center" vertical="center"/>
    </xf>
    <xf numFmtId="167" fontId="9" fillId="4" borderId="5" xfId="0" applyNumberFormat="1" applyFont="1" applyFill="1" applyBorder="1" applyAlignment="1">
      <alignment horizontal="center" vertical="center" wrapText="1"/>
    </xf>
    <xf numFmtId="49" fontId="22" fillId="5" borderId="5" xfId="1" applyNumberFormat="1" applyFont="1" applyFill="1" applyBorder="1" applyAlignment="1">
      <alignment horizontal="center" vertical="center" wrapText="1"/>
    </xf>
    <xf numFmtId="165" fontId="8" fillId="5" borderId="5" xfId="0" applyNumberFormat="1" applyFont="1" applyFill="1" applyBorder="1" applyAlignment="1">
      <alignment horizontal="center" vertical="center" wrapText="1"/>
    </xf>
    <xf numFmtId="2" fontId="4" fillId="4" borderId="4" xfId="0" applyNumberFormat="1" applyFont="1" applyFill="1" applyBorder="1" applyAlignment="1">
      <alignment horizontal="center" vertical="center"/>
    </xf>
    <xf numFmtId="2" fontId="17" fillId="4" borderId="4" xfId="0" applyNumberFormat="1" applyFont="1" applyFill="1" applyBorder="1" applyAlignment="1">
      <alignment horizontal="center" vertical="center"/>
    </xf>
    <xf numFmtId="0" fontId="13" fillId="3" borderId="6" xfId="0" applyFont="1" applyFill="1" applyBorder="1" applyAlignment="1">
      <alignment horizontal="center" vertical="center" wrapText="1"/>
    </xf>
    <xf numFmtId="0" fontId="13" fillId="3" borderId="9" xfId="0" applyFont="1" applyFill="1" applyBorder="1" applyAlignment="1">
      <alignment horizontal="center" vertical="center" wrapText="1"/>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13" fillId="3" borderId="10" xfId="0" applyFont="1" applyFill="1" applyBorder="1" applyAlignment="1">
      <alignment horizontal="center" vertical="center" wrapText="1"/>
    </xf>
  </cellXfs>
  <cellStyles count="2">
    <cellStyle name="Hiperlink" xfId="1" builtinId="8"/>
    <cellStyle name="Normal" xfId="0" builtinId="0"/>
  </cellStyles>
  <dxfs count="20">
    <dxf>
      <fill>
        <patternFill patternType="none">
          <bgColor auto="1"/>
        </patternFill>
      </fill>
    </dxf>
    <dxf>
      <fill>
        <patternFill>
          <bgColor rgb="FFCBEDBD"/>
        </patternFill>
      </fill>
    </dxf>
    <dxf>
      <fill>
        <patternFill patternType="solid">
          <bgColor rgb="FFE0F4D8"/>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AD9C6"/>
        </patternFill>
      </fill>
    </dxf>
    <dxf>
      <fill>
        <patternFill patternType="solid">
          <bgColor rgb="FFFCE9E0"/>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DBF0F9"/>
        </patternFill>
      </fill>
    </dxf>
    <dxf>
      <fill>
        <patternFill patternType="solid">
          <bgColor rgb="FFEEF5FC"/>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FB7B7"/>
        </patternFill>
      </fill>
    </dxf>
    <dxf>
      <fill>
        <patternFill patternType="solid">
          <bgColor rgb="FFFFD5D5"/>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s>
  <tableStyles count="4" defaultTableStyle="TableStyleMedium2" defaultPivotStyle="PivotStyleLight16">
    <tableStyle name="2025" pivot="0" count="5">
      <tableStyleElement type="wholeTable" dxfId="19"/>
      <tableStyleElement type="headerRow" dxfId="18"/>
      <tableStyleElement type="firstRowStripe" dxfId="17"/>
      <tableStyleElement type="secondRowStripe" dxfId="16"/>
      <tableStyleElement type="firstColumnStripe" dxfId="15"/>
    </tableStyle>
    <tableStyle name="Estilo de Tabela 1" pivot="0" count="5">
      <tableStyleElement type="wholeTable" dxfId="14"/>
      <tableStyleElement type="headerRow" dxfId="13"/>
      <tableStyleElement type="firstRowStripe" dxfId="12"/>
      <tableStyleElement type="secondRowStripe" dxfId="11"/>
      <tableStyleElement type="firstColumnStripe" dxfId="10"/>
    </tableStyle>
    <tableStyle name="OUTRAS" pivot="0" count="5">
      <tableStyleElement type="wholeTable" dxfId="9"/>
      <tableStyleElement type="headerRow" dxfId="8"/>
      <tableStyleElement type="firstRowStripe" dxfId="7"/>
      <tableStyleElement type="secondRowStripe" dxfId="6"/>
      <tableStyleElement type="firstColumnStripe" dxfId="5"/>
    </tableStyle>
    <tableStyle name="SELEÇÕES" pivot="0" count="5">
      <tableStyleElement type="wholeTable" dxfId="4"/>
      <tableStyleElement type="headerRow" dxfId="3"/>
      <tableStyleElement type="firstRowStripe" dxfId="2"/>
      <tableStyleElement type="secondRowStripe" dxfId="1"/>
      <tableStyleElement type="firstColumnStripe" dxfId="0"/>
    </tableStyle>
  </tableStyles>
  <colors>
    <mruColors>
      <color rgb="FFDBF0F9"/>
      <color rgb="FFEEF5FC"/>
      <color rgb="FFCBEDBD"/>
      <color rgb="FFFFB7B7"/>
      <color rgb="FFFFA3A3"/>
      <color rgb="FFFF9B9B"/>
      <color rgb="FFFFD5D5"/>
      <color rgb="FFFFFF53"/>
      <color rgb="FFFFFFA7"/>
      <color rgb="FFFFFF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revisionHeaders" Target="revisions/revisionHeader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usernames" Target="revisions/userNames.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COAPI%202\2026\08.%20NOVO%20PAC\PANORAMA%20-%20PAC%20ORIGINAL%20-%20PAC%20SELE&#199;&#213;ES%20-%2010.08.2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X:\COAPI%202\2026\08.%20NOVO%20PAC\PANORAMA%20-%20PAC%20ORIGINAL%20-%20PAC%20SELE&#199;&#213;ES%20-%2010.08.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C"/>
      <sheetName val="Planilha10"/>
      <sheetName val="Planilha9"/>
      <sheetName val="Planilha8"/>
      <sheetName val="Planilha7"/>
      <sheetName val="Planilha6"/>
      <sheetName val="Planilha1"/>
      <sheetName val="Planilha5"/>
      <sheetName val="Planilha4"/>
      <sheetName val="Planilha3"/>
      <sheetName val="Planilha2"/>
      <sheetName val="OBSERVAÇÕES"/>
      <sheetName val="OUTRAS AÇÕES"/>
      <sheetName val="Domínios"/>
    </sheetNames>
    <sheetDataSet>
      <sheetData sheetId="0">
        <row r="9">
          <cell r="M9"/>
          <cell r="N9">
            <v>4050508.35</v>
          </cell>
          <cell r="O9"/>
          <cell r="P9"/>
          <cell r="Q9">
            <v>4050508.35</v>
          </cell>
          <cell r="R9"/>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C"/>
      <sheetName val="Planilha10"/>
      <sheetName val="Planilha9"/>
      <sheetName val="Planilha8"/>
      <sheetName val="Planilha7"/>
      <sheetName val="Planilha6"/>
      <sheetName val="Planilha1"/>
      <sheetName val="Planilha5"/>
      <sheetName val="Planilha4"/>
      <sheetName val="Planilha3"/>
      <sheetName val="Planilha2"/>
      <sheetName val="OBSERVAÇÕES"/>
      <sheetName val="OUTRAS AÇÕES"/>
      <sheetName val="Domínio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revisions/_rels/revisionHeaders.xml.rels><?xml version="1.0" encoding="UTF-8" standalone="yes"?>
<Relationships xmlns="http://schemas.openxmlformats.org/package/2006/relationships"><Relationship Id="rId8" Type="http://schemas.openxmlformats.org/officeDocument/2006/relationships/revisionLog" Target="revisionLog8.xml"/><Relationship Id="rId13" Type="http://schemas.openxmlformats.org/officeDocument/2006/relationships/revisionLog" Target="revisionLog13.xml"/><Relationship Id="rId3" Type="http://schemas.openxmlformats.org/officeDocument/2006/relationships/revisionLog" Target="revisionLog3.xml"/><Relationship Id="rId7" Type="http://schemas.openxmlformats.org/officeDocument/2006/relationships/revisionLog" Target="revisionLog7.xml"/><Relationship Id="rId12" Type="http://schemas.openxmlformats.org/officeDocument/2006/relationships/revisionLog" Target="revisionLog12.xml"/><Relationship Id="rId2" Type="http://schemas.openxmlformats.org/officeDocument/2006/relationships/revisionLog" Target="revisionLog2.xml"/><Relationship Id="rId16" Type="http://schemas.openxmlformats.org/officeDocument/2006/relationships/revisionLog" Target="revisionLog16.xml"/><Relationship Id="rId1" Type="http://schemas.openxmlformats.org/officeDocument/2006/relationships/revisionLog" Target="revisionLog1.xml"/><Relationship Id="rId6" Type="http://schemas.openxmlformats.org/officeDocument/2006/relationships/revisionLog" Target="revisionLog6.xml"/><Relationship Id="rId11" Type="http://schemas.openxmlformats.org/officeDocument/2006/relationships/revisionLog" Target="revisionLog11.xml"/><Relationship Id="rId5" Type="http://schemas.openxmlformats.org/officeDocument/2006/relationships/revisionLog" Target="revisionLog5.xml"/><Relationship Id="rId15" Type="http://schemas.openxmlformats.org/officeDocument/2006/relationships/revisionLog" Target="revisionLog15.xml"/><Relationship Id="rId10" Type="http://schemas.openxmlformats.org/officeDocument/2006/relationships/revisionLog" Target="revisionLog10.xml"/><Relationship Id="rId4" Type="http://schemas.openxmlformats.org/officeDocument/2006/relationships/revisionLog" Target="revisionLog4.xml"/><Relationship Id="rId9" Type="http://schemas.openxmlformats.org/officeDocument/2006/relationships/revisionLog" Target="revisionLog9.xml"/><Relationship Id="rId14" Type="http://schemas.openxmlformats.org/officeDocument/2006/relationships/revisionLog" Target="revisionLog14.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5EC81FB7-7A0D-4EAF-B080-57115788D3DE}" diskRevisions="1" revisionId="89" version="16">
  <header guid="{BFDF1A13-6C9F-4BD7-BF42-5B8D5BB57493}" dateTime="2026-08-26T10:34:12" maxSheetId="14" userName="Diego Rocha Figueiredo" r:id="rId1">
    <sheetIdMap count="13">
      <sheetId val="1"/>
      <sheetId val="2"/>
      <sheetId val="3"/>
      <sheetId val="4"/>
      <sheetId val="5"/>
      <sheetId val="6"/>
      <sheetId val="7"/>
      <sheetId val="8"/>
      <sheetId val="9"/>
      <sheetId val="10"/>
      <sheetId val="11"/>
      <sheetId val="12"/>
      <sheetId val="13"/>
    </sheetIdMap>
  </header>
  <header guid="{66A20245-6393-40CA-88B7-36A977CED7F7}" dateTime="2026-08-26T11:00:51" maxSheetId="14" userName="Suzana Nascimento de Oliveira" r:id="rId2">
    <sheetIdMap count="13">
      <sheetId val="1"/>
      <sheetId val="2"/>
      <sheetId val="3"/>
      <sheetId val="4"/>
      <sheetId val="5"/>
      <sheetId val="6"/>
      <sheetId val="7"/>
      <sheetId val="8"/>
      <sheetId val="9"/>
      <sheetId val="10"/>
      <sheetId val="11"/>
      <sheetId val="12"/>
      <sheetId val="13"/>
    </sheetIdMap>
  </header>
  <header guid="{5C1641B0-F86D-42A3-9468-EE4E48F88020}" dateTime="2026-08-26T11:01:45" maxSheetId="14" userName="Taís Silva Dos Santos" r:id="rId3" minRId="5">
    <sheetIdMap count="13">
      <sheetId val="1"/>
      <sheetId val="2"/>
      <sheetId val="3"/>
      <sheetId val="4"/>
      <sheetId val="5"/>
      <sheetId val="6"/>
      <sheetId val="7"/>
      <sheetId val="8"/>
      <sheetId val="9"/>
      <sheetId val="10"/>
      <sheetId val="11"/>
      <sheetId val="12"/>
      <sheetId val="13"/>
    </sheetIdMap>
  </header>
  <header guid="{C73149FA-9DBA-4755-A00C-66B9570EB2A3}" dateTime="2026-08-26T11:09:50" maxSheetId="14" userName="Suzana Nascimento de Oliveira" r:id="rId4" minRId="11">
    <sheetIdMap count="13">
      <sheetId val="1"/>
      <sheetId val="2"/>
      <sheetId val="3"/>
      <sheetId val="4"/>
      <sheetId val="5"/>
      <sheetId val="6"/>
      <sheetId val="7"/>
      <sheetId val="8"/>
      <sheetId val="9"/>
      <sheetId val="10"/>
      <sheetId val="11"/>
      <sheetId val="12"/>
      <sheetId val="13"/>
    </sheetIdMap>
  </header>
  <header guid="{77D909E8-133F-41A2-986C-7615F5AF3BE3}" dateTime="2026-08-26T11:22:17" maxSheetId="14" userName="Suzana Nascimento de Oliveira" r:id="rId5" minRId="16" maxRId="22">
    <sheetIdMap count="13">
      <sheetId val="1"/>
      <sheetId val="2"/>
      <sheetId val="3"/>
      <sheetId val="4"/>
      <sheetId val="5"/>
      <sheetId val="6"/>
      <sheetId val="7"/>
      <sheetId val="8"/>
      <sheetId val="9"/>
      <sheetId val="10"/>
      <sheetId val="11"/>
      <sheetId val="12"/>
      <sheetId val="13"/>
    </sheetIdMap>
  </header>
  <header guid="{BBB89814-1341-43BC-9F59-B4D740030CEE}" dateTime="2026-08-26T14:17:05" maxSheetId="14" userName="Tatiane Cruz Souza" r:id="rId6" minRId="28" maxRId="37">
    <sheetIdMap count="13">
      <sheetId val="1"/>
      <sheetId val="2"/>
      <sheetId val="3"/>
      <sheetId val="4"/>
      <sheetId val="5"/>
      <sheetId val="6"/>
      <sheetId val="7"/>
      <sheetId val="8"/>
      <sheetId val="9"/>
      <sheetId val="10"/>
      <sheetId val="11"/>
      <sheetId val="12"/>
      <sheetId val="13"/>
    </sheetIdMap>
  </header>
  <header guid="{FC4A8334-E259-4F0D-A5E1-4C3539D30AD1}" dateTime="2026-08-26T16:04:54" maxSheetId="14" userName="Marcelo Pereira dos Santos" r:id="rId7">
    <sheetIdMap count="13">
      <sheetId val="1"/>
      <sheetId val="2"/>
      <sheetId val="3"/>
      <sheetId val="4"/>
      <sheetId val="5"/>
      <sheetId val="6"/>
      <sheetId val="7"/>
      <sheetId val="8"/>
      <sheetId val="9"/>
      <sheetId val="10"/>
      <sheetId val="11"/>
      <sheetId val="12"/>
      <sheetId val="13"/>
    </sheetIdMap>
  </header>
  <header guid="{7C218687-7673-434B-9B61-E43C638AC8BF}" dateTime="2026-08-26T16:09:44" maxSheetId="14" userName="Marcelo Pereira dos Santos" r:id="rId8">
    <sheetIdMap count="13">
      <sheetId val="1"/>
      <sheetId val="2"/>
      <sheetId val="3"/>
      <sheetId val="4"/>
      <sheetId val="5"/>
      <sheetId val="6"/>
      <sheetId val="7"/>
      <sheetId val="8"/>
      <sheetId val="9"/>
      <sheetId val="10"/>
      <sheetId val="11"/>
      <sheetId val="12"/>
      <sheetId val="13"/>
    </sheetIdMap>
  </header>
  <header guid="{3D403BA9-D6A7-477C-A987-01F9F3C92EC6}" dateTime="2026-08-26T16:22:36" maxSheetId="14" userName="Diego Rocha Figueiredo" r:id="rId9">
    <sheetIdMap count="13">
      <sheetId val="1"/>
      <sheetId val="2"/>
      <sheetId val="3"/>
      <sheetId val="4"/>
      <sheetId val="5"/>
      <sheetId val="6"/>
      <sheetId val="7"/>
      <sheetId val="8"/>
      <sheetId val="9"/>
      <sheetId val="10"/>
      <sheetId val="11"/>
      <sheetId val="12"/>
      <sheetId val="13"/>
    </sheetIdMap>
  </header>
  <header guid="{5CA2F8EB-8D3E-4516-9E51-02D18150042A}" dateTime="2026-08-26T16:22:58" maxSheetId="14" userName="Marcelo Pereira dos Santos" r:id="rId10">
    <sheetIdMap count="13">
      <sheetId val="1"/>
      <sheetId val="2"/>
      <sheetId val="3"/>
      <sheetId val="4"/>
      <sheetId val="5"/>
      <sheetId val="6"/>
      <sheetId val="7"/>
      <sheetId val="8"/>
      <sheetId val="9"/>
      <sheetId val="10"/>
      <sheetId val="11"/>
      <sheetId val="12"/>
      <sheetId val="13"/>
    </sheetIdMap>
  </header>
  <header guid="{83023E67-8B49-4975-85CE-48D3DA8336FB}" dateTime="2026-08-26T16:45:59" maxSheetId="14" userName="Marcelo Pereira dos Santos" r:id="rId11">
    <sheetIdMap count="13">
      <sheetId val="1"/>
      <sheetId val="2"/>
      <sheetId val="3"/>
      <sheetId val="4"/>
      <sheetId val="5"/>
      <sheetId val="6"/>
      <sheetId val="7"/>
      <sheetId val="8"/>
      <sheetId val="9"/>
      <sheetId val="10"/>
      <sheetId val="11"/>
      <sheetId val="12"/>
      <sheetId val="13"/>
    </sheetIdMap>
  </header>
  <header guid="{3EE271E3-46B3-430A-BE24-AC6D0D017F6B}" dateTime="2026-08-26T16:46:36" maxSheetId="14" userName="Marcelo Pereira dos Santos" r:id="rId12">
    <sheetIdMap count="13">
      <sheetId val="1"/>
      <sheetId val="2"/>
      <sheetId val="3"/>
      <sheetId val="4"/>
      <sheetId val="5"/>
      <sheetId val="6"/>
      <sheetId val="7"/>
      <sheetId val="8"/>
      <sheetId val="9"/>
      <sheetId val="10"/>
      <sheetId val="11"/>
      <sheetId val="12"/>
      <sheetId val="13"/>
    </sheetIdMap>
  </header>
  <header guid="{1620BAC2-60AC-4A95-9FCB-AE3AAF66A6CA}" dateTime="2026-08-26T16:55:39" maxSheetId="14" userName="Diego Rocha Figueiredo" r:id="rId13">
    <sheetIdMap count="13">
      <sheetId val="1"/>
      <sheetId val="2"/>
      <sheetId val="3"/>
      <sheetId val="4"/>
      <sheetId val="5"/>
      <sheetId val="6"/>
      <sheetId val="7"/>
      <sheetId val="8"/>
      <sheetId val="9"/>
      <sheetId val="10"/>
      <sheetId val="11"/>
      <sheetId val="12"/>
      <sheetId val="13"/>
    </sheetIdMap>
  </header>
  <header guid="{A601CE15-3895-4E17-AEE1-BD592DB50B80}" dateTime="2026-08-26T17:03:21" maxSheetId="14" userName="Diego Rocha Figueiredo" r:id="rId14" minRId="75">
    <sheetIdMap count="13">
      <sheetId val="1"/>
      <sheetId val="2"/>
      <sheetId val="3"/>
      <sheetId val="4"/>
      <sheetId val="5"/>
      <sheetId val="6"/>
      <sheetId val="7"/>
      <sheetId val="8"/>
      <sheetId val="9"/>
      <sheetId val="10"/>
      <sheetId val="11"/>
      <sheetId val="12"/>
      <sheetId val="13"/>
    </sheetIdMap>
  </header>
  <header guid="{E27E8841-3715-429A-96F4-74DF44C3DE9B}" dateTime="2026-08-26T17:05:24" maxSheetId="14" userName="Diego Rocha Figueiredo" r:id="rId15" minRId="80">
    <sheetIdMap count="13">
      <sheetId val="1"/>
      <sheetId val="2"/>
      <sheetId val="3"/>
      <sheetId val="4"/>
      <sheetId val="5"/>
      <sheetId val="6"/>
      <sheetId val="7"/>
      <sheetId val="8"/>
      <sheetId val="9"/>
      <sheetId val="10"/>
      <sheetId val="11"/>
      <sheetId val="12"/>
      <sheetId val="13"/>
    </sheetIdMap>
  </header>
  <header guid="{5EC81FB7-7A0D-4EAF-B080-57115788D3DE}" dateTime="2026-08-26T17:06:19" maxSheetId="14" userName="Marcelo Pereira dos Santos" r:id="rId16">
    <sheetIdMap count="13">
      <sheetId val="1"/>
      <sheetId val="2"/>
      <sheetId val="3"/>
      <sheetId val="4"/>
      <sheetId val="5"/>
      <sheetId val="6"/>
      <sheetId val="7"/>
      <sheetId val="8"/>
      <sheetId val="9"/>
      <sheetId val="10"/>
      <sheetId val="11"/>
      <sheetId val="12"/>
      <sheetId val="1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 sId="1">
    <oc r="AT139" t="inlineStr">
      <is>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9" t="inlineStr">
      <is>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 sId="1">
    <o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is>
    </oc>
    <n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is>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 sId="1">
    <oc r="Q8">
      <f>SUM(PAC!$M8:$P8)</f>
    </oc>
    <nc r="Q8">
      <f>SUM(PAC!$M8:$P8)</f>
    </nc>
  </rcc>
  <rcc rId="17" sId="1" numFmtId="19">
    <nc r="AN9">
      <v>46115</v>
    </nc>
  </rcc>
  <rcc rId="18" sId="1" numFmtId="19">
    <nc r="AO9">
      <v>46134</v>
    </nc>
  </rcc>
  <rcc rId="19" sId="1" numFmtId="19">
    <nc r="AP9">
      <v>46218</v>
    </nc>
  </rcc>
  <rcc rId="20" sId="1" numFmtId="19">
    <nc r="AQ9">
      <v>46233</v>
    </nc>
  </rcc>
  <rcc rId="21" sId="1" numFmtId="19">
    <nc r="AR9">
      <v>46323</v>
    </nc>
  </rcc>
  <rcc rId="22" sId="1" numFmtId="19">
    <nc r="AS9">
      <v>46323</v>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 sId="1">
    <oc r="X19" t="inlineStr">
      <is>
        <t>F02 - LICITAÇÃO</t>
      </is>
    </oc>
    <nc r="X19" t="inlineStr">
      <is>
        <t>F03 - EXECUÇÃO DO OBJETO</t>
      </is>
    </nc>
  </rcc>
  <rcc rId="29" sId="1">
    <oc r="Y19" t="inlineStr">
      <is>
        <t>03 - AGUARDANDO ORDEM DE SERVIÇO</t>
      </is>
    </oc>
    <nc r="Y19" t="inlineStr">
      <is>
        <t>02 - ANDAMENTO</t>
      </is>
    </nc>
  </rcc>
  <rcc rId="30" sId="1" numFmtId="19">
    <oc r="Z19">
      <v>46264</v>
    </oc>
    <nc r="Z19">
      <v>46562</v>
    </nc>
  </rcc>
  <rcc rId="31" sId="1">
    <oc r="AB19" t="inlineStr">
      <is>
        <t>Emitir Ordem de Serviço</t>
      </is>
    </oc>
    <nc r="AB19" t="inlineStr">
      <is>
        <t>Execução da Obra</t>
      </is>
    </nc>
  </rcc>
  <rcc rId="32" sId="1">
    <oc r="AC19" t="inlineStr">
      <is>
        <t>SESAB emitir Ordem de Serviço</t>
      </is>
    </oc>
    <nc r="AC19" t="inlineStr">
      <is>
        <t xml:space="preserve">Monitorar execução da obra. </t>
      </is>
    </nc>
  </rcc>
  <rcc rId="33" sId="1" numFmtId="19">
    <oc r="AD19">
      <v>46259</v>
    </oc>
    <nc r="AD19"/>
  </rcc>
  <rcc rId="34" sId="1" numFmtId="19">
    <oc r="AP19">
      <v>46258</v>
    </oc>
    <nc r="AP19">
      <v>46256</v>
    </nc>
  </rcc>
  <rcc rId="35" sId="1" numFmtId="19">
    <oc r="AQ19">
      <v>46259</v>
    </oc>
    <nc r="AQ19">
      <v>46258</v>
    </nc>
  </rcc>
  <rcc rId="36" sId="1" numFmtId="19">
    <oc r="AR19">
      <v>46563</v>
    </oc>
    <nc r="AR19">
      <v>46562</v>
    </nc>
  </rcc>
  <rcc rId="37" sId="1" numFmtId="19">
    <oc r="AS19">
      <v>46563</v>
    </oc>
    <nc r="AS19">
      <v>46562</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5"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1">
  <userInfo guid="{77D909E8-133F-41A2-986C-7615F5AF3BE3}" name="Taís Silva Dos Santos" id="-1689072451" dateTime="2026-08-26T10:59:32"/>
</user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ctr"/>
      <a:lstStyle>
        <a:defPPr algn="ctr">
          <a:defRPr sz="1600" b="1" i="0" u="none" strike="noStrike">
            <a:solidFill>
              <a:schemeClr val="bg1"/>
            </a:solidFill>
            <a:latin typeface="Calibri"/>
            <a:ea typeface="Calibri"/>
            <a:cs typeface="Calibri"/>
          </a:defRPr>
        </a:defPPr>
      </a:lstStyle>
      <a:style>
        <a:lnRef idx="2">
          <a:schemeClr val="accent1">
            <a:shade val="15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13" Type="http://schemas.openxmlformats.org/officeDocument/2006/relationships/printerSettings" Target="../printerSettings/printerSettings13.bin"/><Relationship Id="rId18" Type="http://schemas.openxmlformats.org/officeDocument/2006/relationships/printerSettings" Target="../printerSettings/printerSettings18.bin"/><Relationship Id="rId26" Type="http://schemas.openxmlformats.org/officeDocument/2006/relationships/hyperlink" Target="https://maps.app.goo.gl/ZSwEazpMByWViNhT6" TargetMode="External"/><Relationship Id="rId3" Type="http://schemas.openxmlformats.org/officeDocument/2006/relationships/printerSettings" Target="../printerSettings/printerSettings3.bin"/><Relationship Id="rId21" Type="http://schemas.openxmlformats.org/officeDocument/2006/relationships/printerSettings" Target="../printerSettings/printerSettings21.bin"/><Relationship Id="rId7" Type="http://schemas.openxmlformats.org/officeDocument/2006/relationships/printerSettings" Target="../printerSettings/printerSettings7.bin"/><Relationship Id="rId12" Type="http://schemas.openxmlformats.org/officeDocument/2006/relationships/printerSettings" Target="../printerSettings/printerSettings12.bin"/><Relationship Id="rId17" Type="http://schemas.openxmlformats.org/officeDocument/2006/relationships/printerSettings" Target="../printerSettings/printerSettings17.bin"/><Relationship Id="rId25" Type="http://schemas.openxmlformats.org/officeDocument/2006/relationships/hyperlink" Target="https://governodabahia.plataformatarget.com.br/web/069363b5-ba10-415c-8da0-fe4b53815bff/home" TargetMode="External"/><Relationship Id="rId2" Type="http://schemas.openxmlformats.org/officeDocument/2006/relationships/printerSettings" Target="../printerSettings/printerSettings2.bin"/><Relationship Id="rId16" Type="http://schemas.openxmlformats.org/officeDocument/2006/relationships/printerSettings" Target="../printerSettings/printerSettings16.bin"/><Relationship Id="rId20" Type="http://schemas.openxmlformats.org/officeDocument/2006/relationships/printerSettings" Target="../printerSettings/printerSettings20.bin"/><Relationship Id="rId29"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24" Type="http://schemas.openxmlformats.org/officeDocument/2006/relationships/printerSettings" Target="../printerSettings/printerSettings24.bin"/><Relationship Id="rId5" Type="http://schemas.openxmlformats.org/officeDocument/2006/relationships/printerSettings" Target="../printerSettings/printerSettings5.bin"/><Relationship Id="rId15" Type="http://schemas.openxmlformats.org/officeDocument/2006/relationships/printerSettings" Target="../printerSettings/printerSettings15.bin"/><Relationship Id="rId23" Type="http://schemas.openxmlformats.org/officeDocument/2006/relationships/printerSettings" Target="../printerSettings/printerSettings23.bin"/><Relationship Id="rId28" Type="http://schemas.openxmlformats.org/officeDocument/2006/relationships/vmlDrawing" Target="../drawings/vmlDrawing1.vml"/><Relationship Id="rId10" Type="http://schemas.openxmlformats.org/officeDocument/2006/relationships/printerSettings" Target="../printerSettings/printerSettings10.bin"/><Relationship Id="rId19" Type="http://schemas.openxmlformats.org/officeDocument/2006/relationships/printerSettings" Target="../printerSettings/printerSettings19.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 Id="rId14" Type="http://schemas.openxmlformats.org/officeDocument/2006/relationships/printerSettings" Target="../printerSettings/printerSettings14.bin"/><Relationship Id="rId22" Type="http://schemas.openxmlformats.org/officeDocument/2006/relationships/printerSettings" Target="../printerSettings/printerSettings22.bin"/><Relationship Id="rId27" Type="http://schemas.openxmlformats.org/officeDocument/2006/relationships/printerSettings" Target="../printerSettings/printerSettings25.bin"/><Relationship Id="rId30"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printerSettings" Target="../printerSettings/printerSettings26.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printerSettings" Target="../printerSettings/printerSettings28.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1.bin"/><Relationship Id="rId1" Type="http://schemas.openxmlformats.org/officeDocument/2006/relationships/printerSettings" Target="../printerSettings/printerSettings30.bin"/></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39.bin"/><Relationship Id="rId13" Type="http://schemas.openxmlformats.org/officeDocument/2006/relationships/printerSettings" Target="../printerSettings/printerSettings44.bin"/><Relationship Id="rId3" Type="http://schemas.openxmlformats.org/officeDocument/2006/relationships/printerSettings" Target="../printerSettings/printerSettings34.bin"/><Relationship Id="rId7" Type="http://schemas.openxmlformats.org/officeDocument/2006/relationships/printerSettings" Target="../printerSettings/printerSettings38.bin"/><Relationship Id="rId12" Type="http://schemas.openxmlformats.org/officeDocument/2006/relationships/printerSettings" Target="../printerSettings/printerSettings43.bin"/><Relationship Id="rId17" Type="http://schemas.openxmlformats.org/officeDocument/2006/relationships/printerSettings" Target="../printerSettings/printerSettings48.bin"/><Relationship Id="rId2" Type="http://schemas.openxmlformats.org/officeDocument/2006/relationships/printerSettings" Target="../printerSettings/printerSettings33.bin"/><Relationship Id="rId16" Type="http://schemas.openxmlformats.org/officeDocument/2006/relationships/printerSettings" Target="../printerSettings/printerSettings47.bin"/><Relationship Id="rId1" Type="http://schemas.openxmlformats.org/officeDocument/2006/relationships/printerSettings" Target="../printerSettings/printerSettings32.bin"/><Relationship Id="rId6" Type="http://schemas.openxmlformats.org/officeDocument/2006/relationships/printerSettings" Target="../printerSettings/printerSettings37.bin"/><Relationship Id="rId11" Type="http://schemas.openxmlformats.org/officeDocument/2006/relationships/printerSettings" Target="../printerSettings/printerSettings42.bin"/><Relationship Id="rId5" Type="http://schemas.openxmlformats.org/officeDocument/2006/relationships/printerSettings" Target="../printerSettings/printerSettings36.bin"/><Relationship Id="rId15" Type="http://schemas.openxmlformats.org/officeDocument/2006/relationships/printerSettings" Target="../printerSettings/printerSettings46.bin"/><Relationship Id="rId10" Type="http://schemas.openxmlformats.org/officeDocument/2006/relationships/printerSettings" Target="../printerSettings/printerSettings41.bin"/><Relationship Id="rId4" Type="http://schemas.openxmlformats.org/officeDocument/2006/relationships/printerSettings" Target="../printerSettings/printerSettings35.bin"/><Relationship Id="rId9" Type="http://schemas.openxmlformats.org/officeDocument/2006/relationships/printerSettings" Target="../printerSettings/printerSettings40.bin"/><Relationship Id="rId14" Type="http://schemas.openxmlformats.org/officeDocument/2006/relationships/printerSettings" Target="../printerSettings/printerSettings45.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56.bin"/><Relationship Id="rId13" Type="http://schemas.openxmlformats.org/officeDocument/2006/relationships/printerSettings" Target="../printerSettings/printerSettings61.bin"/><Relationship Id="rId3" Type="http://schemas.openxmlformats.org/officeDocument/2006/relationships/printerSettings" Target="../printerSettings/printerSettings51.bin"/><Relationship Id="rId7" Type="http://schemas.openxmlformats.org/officeDocument/2006/relationships/printerSettings" Target="../printerSettings/printerSettings55.bin"/><Relationship Id="rId12" Type="http://schemas.openxmlformats.org/officeDocument/2006/relationships/printerSettings" Target="../printerSettings/printerSettings60.bin"/><Relationship Id="rId17" Type="http://schemas.openxmlformats.org/officeDocument/2006/relationships/printerSettings" Target="../printerSettings/printerSettings65.bin"/><Relationship Id="rId2" Type="http://schemas.openxmlformats.org/officeDocument/2006/relationships/printerSettings" Target="../printerSettings/printerSettings50.bin"/><Relationship Id="rId16" Type="http://schemas.openxmlformats.org/officeDocument/2006/relationships/printerSettings" Target="../printerSettings/printerSettings64.bin"/><Relationship Id="rId1" Type="http://schemas.openxmlformats.org/officeDocument/2006/relationships/printerSettings" Target="../printerSettings/printerSettings49.bin"/><Relationship Id="rId6" Type="http://schemas.openxmlformats.org/officeDocument/2006/relationships/printerSettings" Target="../printerSettings/printerSettings54.bin"/><Relationship Id="rId11" Type="http://schemas.openxmlformats.org/officeDocument/2006/relationships/printerSettings" Target="../printerSettings/printerSettings59.bin"/><Relationship Id="rId5" Type="http://schemas.openxmlformats.org/officeDocument/2006/relationships/printerSettings" Target="../printerSettings/printerSettings53.bin"/><Relationship Id="rId15" Type="http://schemas.openxmlformats.org/officeDocument/2006/relationships/printerSettings" Target="../printerSettings/printerSettings63.bin"/><Relationship Id="rId10" Type="http://schemas.openxmlformats.org/officeDocument/2006/relationships/printerSettings" Target="../printerSettings/printerSettings58.bin"/><Relationship Id="rId4" Type="http://schemas.openxmlformats.org/officeDocument/2006/relationships/printerSettings" Target="../printerSettings/printerSettings52.bin"/><Relationship Id="rId9" Type="http://schemas.openxmlformats.org/officeDocument/2006/relationships/printerSettings" Target="../printerSettings/printerSettings57.bin"/><Relationship Id="rId14" Type="http://schemas.openxmlformats.org/officeDocument/2006/relationships/printerSettings" Target="../printerSettings/printerSettings62.bin"/></Relationships>
</file>

<file path=xl/worksheets/_rels/sheet7.xml.rels><?xml version="1.0" encoding="UTF-8" standalone="yes"?>
<Relationships xmlns="http://schemas.openxmlformats.org/package/2006/relationships"><Relationship Id="rId8" Type="http://schemas.openxmlformats.org/officeDocument/2006/relationships/printerSettings" Target="../printerSettings/printerSettings73.bin"/><Relationship Id="rId13" Type="http://schemas.openxmlformats.org/officeDocument/2006/relationships/printerSettings" Target="../printerSettings/printerSettings78.bin"/><Relationship Id="rId3" Type="http://schemas.openxmlformats.org/officeDocument/2006/relationships/printerSettings" Target="../printerSettings/printerSettings68.bin"/><Relationship Id="rId7" Type="http://schemas.openxmlformats.org/officeDocument/2006/relationships/printerSettings" Target="../printerSettings/printerSettings72.bin"/><Relationship Id="rId12" Type="http://schemas.openxmlformats.org/officeDocument/2006/relationships/printerSettings" Target="../printerSettings/printerSettings77.bin"/><Relationship Id="rId17" Type="http://schemas.openxmlformats.org/officeDocument/2006/relationships/printerSettings" Target="../printerSettings/printerSettings82.bin"/><Relationship Id="rId2" Type="http://schemas.openxmlformats.org/officeDocument/2006/relationships/printerSettings" Target="../printerSettings/printerSettings67.bin"/><Relationship Id="rId16" Type="http://schemas.openxmlformats.org/officeDocument/2006/relationships/printerSettings" Target="../printerSettings/printerSettings81.bin"/><Relationship Id="rId1" Type="http://schemas.openxmlformats.org/officeDocument/2006/relationships/printerSettings" Target="../printerSettings/printerSettings66.bin"/><Relationship Id="rId6" Type="http://schemas.openxmlformats.org/officeDocument/2006/relationships/printerSettings" Target="../printerSettings/printerSettings71.bin"/><Relationship Id="rId11" Type="http://schemas.openxmlformats.org/officeDocument/2006/relationships/printerSettings" Target="../printerSettings/printerSettings76.bin"/><Relationship Id="rId5" Type="http://schemas.openxmlformats.org/officeDocument/2006/relationships/printerSettings" Target="../printerSettings/printerSettings70.bin"/><Relationship Id="rId15" Type="http://schemas.openxmlformats.org/officeDocument/2006/relationships/printerSettings" Target="../printerSettings/printerSettings80.bin"/><Relationship Id="rId10" Type="http://schemas.openxmlformats.org/officeDocument/2006/relationships/printerSettings" Target="../printerSettings/printerSettings75.bin"/><Relationship Id="rId4" Type="http://schemas.openxmlformats.org/officeDocument/2006/relationships/printerSettings" Target="../printerSettings/printerSettings69.bin"/><Relationship Id="rId9" Type="http://schemas.openxmlformats.org/officeDocument/2006/relationships/printerSettings" Target="../printerSettings/printerSettings74.bin"/><Relationship Id="rId14" Type="http://schemas.openxmlformats.org/officeDocument/2006/relationships/printerSettings" Target="../printerSettings/printerSettings79.bin"/></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90.bin"/><Relationship Id="rId13" Type="http://schemas.openxmlformats.org/officeDocument/2006/relationships/printerSettings" Target="../printerSettings/printerSettings95.bin"/><Relationship Id="rId3" Type="http://schemas.openxmlformats.org/officeDocument/2006/relationships/printerSettings" Target="../printerSettings/printerSettings85.bin"/><Relationship Id="rId7" Type="http://schemas.openxmlformats.org/officeDocument/2006/relationships/printerSettings" Target="../printerSettings/printerSettings89.bin"/><Relationship Id="rId12" Type="http://schemas.openxmlformats.org/officeDocument/2006/relationships/printerSettings" Target="../printerSettings/printerSettings94.bin"/><Relationship Id="rId17" Type="http://schemas.openxmlformats.org/officeDocument/2006/relationships/printerSettings" Target="../printerSettings/printerSettings99.bin"/><Relationship Id="rId2" Type="http://schemas.openxmlformats.org/officeDocument/2006/relationships/printerSettings" Target="../printerSettings/printerSettings84.bin"/><Relationship Id="rId16" Type="http://schemas.openxmlformats.org/officeDocument/2006/relationships/printerSettings" Target="../printerSettings/printerSettings98.bin"/><Relationship Id="rId1" Type="http://schemas.openxmlformats.org/officeDocument/2006/relationships/printerSettings" Target="../printerSettings/printerSettings83.bin"/><Relationship Id="rId6" Type="http://schemas.openxmlformats.org/officeDocument/2006/relationships/printerSettings" Target="../printerSettings/printerSettings88.bin"/><Relationship Id="rId11" Type="http://schemas.openxmlformats.org/officeDocument/2006/relationships/printerSettings" Target="../printerSettings/printerSettings93.bin"/><Relationship Id="rId5" Type="http://schemas.openxmlformats.org/officeDocument/2006/relationships/printerSettings" Target="../printerSettings/printerSettings87.bin"/><Relationship Id="rId15" Type="http://schemas.openxmlformats.org/officeDocument/2006/relationships/printerSettings" Target="../printerSettings/printerSettings97.bin"/><Relationship Id="rId10" Type="http://schemas.openxmlformats.org/officeDocument/2006/relationships/printerSettings" Target="../printerSettings/printerSettings92.bin"/><Relationship Id="rId4" Type="http://schemas.openxmlformats.org/officeDocument/2006/relationships/printerSettings" Target="../printerSettings/printerSettings86.bin"/><Relationship Id="rId9" Type="http://schemas.openxmlformats.org/officeDocument/2006/relationships/printerSettings" Target="../printerSettings/printerSettings91.bin"/><Relationship Id="rId14" Type="http://schemas.openxmlformats.org/officeDocument/2006/relationships/printerSettings" Target="../printerSettings/printerSettings96.bin"/></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107.bin"/><Relationship Id="rId13" Type="http://schemas.openxmlformats.org/officeDocument/2006/relationships/printerSettings" Target="../printerSettings/printerSettings112.bin"/><Relationship Id="rId3" Type="http://schemas.openxmlformats.org/officeDocument/2006/relationships/printerSettings" Target="../printerSettings/printerSettings102.bin"/><Relationship Id="rId7" Type="http://schemas.openxmlformats.org/officeDocument/2006/relationships/printerSettings" Target="../printerSettings/printerSettings106.bin"/><Relationship Id="rId12" Type="http://schemas.openxmlformats.org/officeDocument/2006/relationships/printerSettings" Target="../printerSettings/printerSettings111.bin"/><Relationship Id="rId17" Type="http://schemas.openxmlformats.org/officeDocument/2006/relationships/printerSettings" Target="../printerSettings/printerSettings116.bin"/><Relationship Id="rId2" Type="http://schemas.openxmlformats.org/officeDocument/2006/relationships/printerSettings" Target="../printerSettings/printerSettings101.bin"/><Relationship Id="rId16" Type="http://schemas.openxmlformats.org/officeDocument/2006/relationships/printerSettings" Target="../printerSettings/printerSettings115.bin"/><Relationship Id="rId1" Type="http://schemas.openxmlformats.org/officeDocument/2006/relationships/printerSettings" Target="../printerSettings/printerSettings100.bin"/><Relationship Id="rId6" Type="http://schemas.openxmlformats.org/officeDocument/2006/relationships/printerSettings" Target="../printerSettings/printerSettings105.bin"/><Relationship Id="rId11" Type="http://schemas.openxmlformats.org/officeDocument/2006/relationships/printerSettings" Target="../printerSettings/printerSettings110.bin"/><Relationship Id="rId5" Type="http://schemas.openxmlformats.org/officeDocument/2006/relationships/printerSettings" Target="../printerSettings/printerSettings104.bin"/><Relationship Id="rId15" Type="http://schemas.openxmlformats.org/officeDocument/2006/relationships/printerSettings" Target="../printerSettings/printerSettings114.bin"/><Relationship Id="rId10" Type="http://schemas.openxmlformats.org/officeDocument/2006/relationships/printerSettings" Target="../printerSettings/printerSettings109.bin"/><Relationship Id="rId4" Type="http://schemas.openxmlformats.org/officeDocument/2006/relationships/printerSettings" Target="../printerSettings/printerSettings103.bin"/><Relationship Id="rId9" Type="http://schemas.openxmlformats.org/officeDocument/2006/relationships/printerSettings" Target="../printerSettings/printerSettings108.bin"/><Relationship Id="rId14" Type="http://schemas.openxmlformats.org/officeDocument/2006/relationships/printerSettings" Target="../printerSettings/printerSettings113.bin"/></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24.bin"/><Relationship Id="rId13" Type="http://schemas.openxmlformats.org/officeDocument/2006/relationships/printerSettings" Target="../printerSettings/printerSettings129.bin"/><Relationship Id="rId3" Type="http://schemas.openxmlformats.org/officeDocument/2006/relationships/printerSettings" Target="../printerSettings/printerSettings119.bin"/><Relationship Id="rId7" Type="http://schemas.openxmlformats.org/officeDocument/2006/relationships/printerSettings" Target="../printerSettings/printerSettings123.bin"/><Relationship Id="rId12" Type="http://schemas.openxmlformats.org/officeDocument/2006/relationships/printerSettings" Target="../printerSettings/printerSettings128.bin"/><Relationship Id="rId17" Type="http://schemas.openxmlformats.org/officeDocument/2006/relationships/printerSettings" Target="../printerSettings/printerSettings133.bin"/><Relationship Id="rId2" Type="http://schemas.openxmlformats.org/officeDocument/2006/relationships/printerSettings" Target="../printerSettings/printerSettings118.bin"/><Relationship Id="rId16" Type="http://schemas.openxmlformats.org/officeDocument/2006/relationships/printerSettings" Target="../printerSettings/printerSettings132.bin"/><Relationship Id="rId1" Type="http://schemas.openxmlformats.org/officeDocument/2006/relationships/printerSettings" Target="../printerSettings/printerSettings117.bin"/><Relationship Id="rId6" Type="http://schemas.openxmlformats.org/officeDocument/2006/relationships/printerSettings" Target="../printerSettings/printerSettings122.bin"/><Relationship Id="rId11" Type="http://schemas.openxmlformats.org/officeDocument/2006/relationships/printerSettings" Target="../printerSettings/printerSettings127.bin"/><Relationship Id="rId5" Type="http://schemas.openxmlformats.org/officeDocument/2006/relationships/printerSettings" Target="../printerSettings/printerSettings121.bin"/><Relationship Id="rId15" Type="http://schemas.openxmlformats.org/officeDocument/2006/relationships/printerSettings" Target="../printerSettings/printerSettings131.bin"/><Relationship Id="rId10" Type="http://schemas.openxmlformats.org/officeDocument/2006/relationships/printerSettings" Target="../printerSettings/printerSettings126.bin"/><Relationship Id="rId4" Type="http://schemas.openxmlformats.org/officeDocument/2006/relationships/printerSettings" Target="../printerSettings/printerSettings120.bin"/><Relationship Id="rId9" Type="http://schemas.openxmlformats.org/officeDocument/2006/relationships/printerSettings" Target="../printerSettings/printerSettings125.bin"/><Relationship Id="rId14" Type="http://schemas.openxmlformats.org/officeDocument/2006/relationships/printerSettings" Target="../printerSettings/printerSettings130.bin"/></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141.bin"/><Relationship Id="rId13" Type="http://schemas.openxmlformats.org/officeDocument/2006/relationships/printerSettings" Target="../printerSettings/printerSettings146.bin"/><Relationship Id="rId3" Type="http://schemas.openxmlformats.org/officeDocument/2006/relationships/printerSettings" Target="../printerSettings/printerSettings136.bin"/><Relationship Id="rId7" Type="http://schemas.openxmlformats.org/officeDocument/2006/relationships/printerSettings" Target="../printerSettings/printerSettings140.bin"/><Relationship Id="rId12" Type="http://schemas.openxmlformats.org/officeDocument/2006/relationships/printerSettings" Target="../printerSettings/printerSettings145.bin"/><Relationship Id="rId17" Type="http://schemas.openxmlformats.org/officeDocument/2006/relationships/printerSettings" Target="../printerSettings/printerSettings150.bin"/><Relationship Id="rId2" Type="http://schemas.openxmlformats.org/officeDocument/2006/relationships/printerSettings" Target="../printerSettings/printerSettings135.bin"/><Relationship Id="rId16" Type="http://schemas.openxmlformats.org/officeDocument/2006/relationships/printerSettings" Target="../printerSettings/printerSettings149.bin"/><Relationship Id="rId1" Type="http://schemas.openxmlformats.org/officeDocument/2006/relationships/printerSettings" Target="../printerSettings/printerSettings134.bin"/><Relationship Id="rId6" Type="http://schemas.openxmlformats.org/officeDocument/2006/relationships/printerSettings" Target="../printerSettings/printerSettings139.bin"/><Relationship Id="rId11" Type="http://schemas.openxmlformats.org/officeDocument/2006/relationships/printerSettings" Target="../printerSettings/printerSettings144.bin"/><Relationship Id="rId5" Type="http://schemas.openxmlformats.org/officeDocument/2006/relationships/printerSettings" Target="../printerSettings/printerSettings138.bin"/><Relationship Id="rId15" Type="http://schemas.openxmlformats.org/officeDocument/2006/relationships/printerSettings" Target="../printerSettings/printerSettings148.bin"/><Relationship Id="rId10" Type="http://schemas.openxmlformats.org/officeDocument/2006/relationships/printerSettings" Target="../printerSettings/printerSettings143.bin"/><Relationship Id="rId4" Type="http://schemas.openxmlformats.org/officeDocument/2006/relationships/printerSettings" Target="../printerSettings/printerSettings137.bin"/><Relationship Id="rId9" Type="http://schemas.openxmlformats.org/officeDocument/2006/relationships/printerSettings" Target="../printerSettings/printerSettings142.bin"/><Relationship Id="rId14" Type="http://schemas.openxmlformats.org/officeDocument/2006/relationships/printerSettings" Target="../printerSettings/printerSettings147.bin"/></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58.bin"/><Relationship Id="rId13" Type="http://schemas.openxmlformats.org/officeDocument/2006/relationships/printerSettings" Target="../printerSettings/printerSettings163.bin"/><Relationship Id="rId3" Type="http://schemas.openxmlformats.org/officeDocument/2006/relationships/printerSettings" Target="../printerSettings/printerSettings153.bin"/><Relationship Id="rId7" Type="http://schemas.openxmlformats.org/officeDocument/2006/relationships/printerSettings" Target="../printerSettings/printerSettings157.bin"/><Relationship Id="rId12" Type="http://schemas.openxmlformats.org/officeDocument/2006/relationships/printerSettings" Target="../printerSettings/printerSettings162.bin"/><Relationship Id="rId17" Type="http://schemas.openxmlformats.org/officeDocument/2006/relationships/printerSettings" Target="../printerSettings/printerSettings167.bin"/><Relationship Id="rId2" Type="http://schemas.openxmlformats.org/officeDocument/2006/relationships/printerSettings" Target="../printerSettings/printerSettings152.bin"/><Relationship Id="rId16" Type="http://schemas.openxmlformats.org/officeDocument/2006/relationships/printerSettings" Target="../printerSettings/printerSettings166.bin"/><Relationship Id="rId1" Type="http://schemas.openxmlformats.org/officeDocument/2006/relationships/printerSettings" Target="../printerSettings/printerSettings151.bin"/><Relationship Id="rId6" Type="http://schemas.openxmlformats.org/officeDocument/2006/relationships/printerSettings" Target="../printerSettings/printerSettings156.bin"/><Relationship Id="rId11" Type="http://schemas.openxmlformats.org/officeDocument/2006/relationships/printerSettings" Target="../printerSettings/printerSettings161.bin"/><Relationship Id="rId5" Type="http://schemas.openxmlformats.org/officeDocument/2006/relationships/printerSettings" Target="../printerSettings/printerSettings155.bin"/><Relationship Id="rId15" Type="http://schemas.openxmlformats.org/officeDocument/2006/relationships/printerSettings" Target="../printerSettings/printerSettings165.bin"/><Relationship Id="rId10" Type="http://schemas.openxmlformats.org/officeDocument/2006/relationships/printerSettings" Target="../printerSettings/printerSettings160.bin"/><Relationship Id="rId4" Type="http://schemas.openxmlformats.org/officeDocument/2006/relationships/printerSettings" Target="../printerSettings/printerSettings154.bin"/><Relationship Id="rId9" Type="http://schemas.openxmlformats.org/officeDocument/2006/relationships/printerSettings" Target="../printerSettings/printerSettings159.bin"/><Relationship Id="rId14" Type="http://schemas.openxmlformats.org/officeDocument/2006/relationships/printerSettings" Target="../printerSettings/printerSettings164.bin"/></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75.bin"/><Relationship Id="rId13" Type="http://schemas.openxmlformats.org/officeDocument/2006/relationships/printerSettings" Target="../printerSettings/printerSettings180.bin"/><Relationship Id="rId18" Type="http://schemas.openxmlformats.org/officeDocument/2006/relationships/printerSettings" Target="../printerSettings/printerSettings185.bin"/><Relationship Id="rId3" Type="http://schemas.openxmlformats.org/officeDocument/2006/relationships/printerSettings" Target="../printerSettings/printerSettings170.bin"/><Relationship Id="rId21" Type="http://schemas.openxmlformats.org/officeDocument/2006/relationships/printerSettings" Target="../printerSettings/printerSettings188.bin"/><Relationship Id="rId7" Type="http://schemas.openxmlformats.org/officeDocument/2006/relationships/printerSettings" Target="../printerSettings/printerSettings174.bin"/><Relationship Id="rId12" Type="http://schemas.openxmlformats.org/officeDocument/2006/relationships/printerSettings" Target="../printerSettings/printerSettings179.bin"/><Relationship Id="rId17" Type="http://schemas.openxmlformats.org/officeDocument/2006/relationships/printerSettings" Target="../printerSettings/printerSettings184.bin"/><Relationship Id="rId25" Type="http://schemas.openxmlformats.org/officeDocument/2006/relationships/printerSettings" Target="../printerSettings/printerSettings192.bin"/><Relationship Id="rId2" Type="http://schemas.openxmlformats.org/officeDocument/2006/relationships/printerSettings" Target="../printerSettings/printerSettings169.bin"/><Relationship Id="rId16" Type="http://schemas.openxmlformats.org/officeDocument/2006/relationships/printerSettings" Target="../printerSettings/printerSettings183.bin"/><Relationship Id="rId20" Type="http://schemas.openxmlformats.org/officeDocument/2006/relationships/printerSettings" Target="../printerSettings/printerSettings187.bin"/><Relationship Id="rId1" Type="http://schemas.openxmlformats.org/officeDocument/2006/relationships/printerSettings" Target="../printerSettings/printerSettings168.bin"/><Relationship Id="rId6" Type="http://schemas.openxmlformats.org/officeDocument/2006/relationships/printerSettings" Target="../printerSettings/printerSettings173.bin"/><Relationship Id="rId11" Type="http://schemas.openxmlformats.org/officeDocument/2006/relationships/printerSettings" Target="../printerSettings/printerSettings178.bin"/><Relationship Id="rId24" Type="http://schemas.openxmlformats.org/officeDocument/2006/relationships/printerSettings" Target="../printerSettings/printerSettings191.bin"/><Relationship Id="rId5" Type="http://schemas.openxmlformats.org/officeDocument/2006/relationships/printerSettings" Target="../printerSettings/printerSettings172.bin"/><Relationship Id="rId15" Type="http://schemas.openxmlformats.org/officeDocument/2006/relationships/printerSettings" Target="../printerSettings/printerSettings182.bin"/><Relationship Id="rId23" Type="http://schemas.openxmlformats.org/officeDocument/2006/relationships/printerSettings" Target="../printerSettings/printerSettings190.bin"/><Relationship Id="rId10" Type="http://schemas.openxmlformats.org/officeDocument/2006/relationships/printerSettings" Target="../printerSettings/printerSettings177.bin"/><Relationship Id="rId19" Type="http://schemas.openxmlformats.org/officeDocument/2006/relationships/printerSettings" Target="../printerSettings/printerSettings186.bin"/><Relationship Id="rId4" Type="http://schemas.openxmlformats.org/officeDocument/2006/relationships/printerSettings" Target="../printerSettings/printerSettings171.bin"/><Relationship Id="rId9" Type="http://schemas.openxmlformats.org/officeDocument/2006/relationships/printerSettings" Target="../printerSettings/printerSettings176.bin"/><Relationship Id="rId14" Type="http://schemas.openxmlformats.org/officeDocument/2006/relationships/printerSettings" Target="../printerSettings/printerSettings181.bin"/><Relationship Id="rId22" Type="http://schemas.openxmlformats.org/officeDocument/2006/relationships/printerSettings" Target="../printerSettings/printerSettings18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Planilha1" filterMode="1">
    <pageSetUpPr fitToPage="1"/>
  </sheetPr>
  <dimension ref="A1:BR615"/>
  <sheetViews>
    <sheetView tabSelected="1" zoomScale="40" zoomScaleNormal="40" zoomScaleSheetLayoutView="51" workbookViewId="0">
      <selection activeCell="A5" sqref="A5"/>
    </sheetView>
  </sheetViews>
  <sheetFormatPr defaultColWidth="21.125" defaultRowHeight="26.25"/>
  <cols>
    <col min="1" max="1" width="13.875" style="61" customWidth="1"/>
    <col min="2" max="2" width="30.375" style="62" customWidth="1"/>
    <col min="3" max="3" width="15.125" style="61" customWidth="1"/>
    <col min="4" max="4" width="23.375" style="61" customWidth="1"/>
    <col min="5" max="5" width="31" style="62" customWidth="1"/>
    <col min="6" max="6" width="13.75" style="63" customWidth="1"/>
    <col min="7" max="7" width="19.375" style="66" customWidth="1"/>
    <col min="8" max="8" width="19.25" style="62" customWidth="1"/>
    <col min="9" max="9" width="24.625" style="61" customWidth="1"/>
    <col min="10" max="10" width="19.375" style="61" customWidth="1"/>
    <col min="11" max="11" width="58.125" style="61" customWidth="1"/>
    <col min="12" max="12" width="40" style="61" customWidth="1"/>
    <col min="13" max="13" width="23.375" style="61" customWidth="1"/>
    <col min="14" max="14" width="30.375" style="61" customWidth="1"/>
    <col min="15" max="15" width="30.25" style="61" customWidth="1"/>
    <col min="16" max="16" width="30.375" style="61" customWidth="1"/>
    <col min="17" max="17" width="33.75" style="61" customWidth="1"/>
    <col min="18" max="18" width="37.375" style="61" customWidth="1"/>
    <col min="19" max="19" width="22.875" style="61" customWidth="1"/>
    <col min="20" max="20" width="41.125" style="61" customWidth="1"/>
    <col min="21" max="21" width="21.875" style="61" customWidth="1"/>
    <col min="22" max="22" width="46.875" style="61" customWidth="1"/>
    <col min="23" max="23" width="20.625" style="61" customWidth="1"/>
    <col min="24" max="24" width="20.125" style="61" customWidth="1"/>
    <col min="25" max="26" width="20.625" style="61" customWidth="1"/>
    <col min="27" max="28" width="20.625" style="62" customWidth="1"/>
    <col min="29" max="29" width="82.25" style="62" customWidth="1"/>
    <col min="30" max="30" width="28.375" style="62" customWidth="1"/>
    <col min="31" max="31" width="36" style="62" customWidth="1"/>
    <col min="32" max="32" width="40.375" style="61" customWidth="1"/>
    <col min="33" max="33" width="85.125" style="61" customWidth="1"/>
    <col min="34" max="34" width="39.75" style="61" customWidth="1"/>
    <col min="35" max="35" width="60" style="61" customWidth="1"/>
    <col min="36" max="36" width="21.375" style="64" customWidth="1"/>
    <col min="37" max="37" width="30.375" style="65" customWidth="1"/>
    <col min="38" max="38" width="34" style="61" customWidth="1"/>
    <col min="39" max="39" width="41.875" style="61" customWidth="1"/>
    <col min="40" max="40" width="35.75" style="62" customWidth="1"/>
    <col min="41" max="41" width="42.875" style="61" customWidth="1"/>
    <col min="42" max="42" width="49.375" style="63" customWidth="1"/>
    <col min="43" max="43" width="30.375" style="63" customWidth="1"/>
    <col min="44" max="44" width="54.25" style="61" customWidth="1"/>
    <col min="45" max="45" width="56" style="61" customWidth="1"/>
    <col min="46" max="46" width="105.625" style="62" customWidth="1"/>
    <col min="47" max="47" width="128.375" style="62" customWidth="1"/>
    <col min="48" max="48" width="36.375" style="62" customWidth="1"/>
    <col min="49" max="49" width="43.125" style="62" customWidth="1"/>
    <col min="50" max="51" width="20.625" style="62" customWidth="1"/>
    <col min="52" max="52" width="15.375" style="62" customWidth="1"/>
    <col min="53" max="53" width="23.25" style="62" customWidth="1"/>
    <col min="54" max="54" width="102.625" style="62" customWidth="1"/>
    <col min="55" max="55" width="68.125" style="62" customWidth="1"/>
    <col min="56" max="56" width="84.375" style="61" customWidth="1"/>
    <col min="57" max="57" width="29.625" style="61" customWidth="1"/>
    <col min="58" max="58" width="15.625" style="62" customWidth="1"/>
    <col min="59" max="59" width="14.375" style="61" hidden="1" customWidth="1"/>
    <col min="60" max="60" width="18.375" style="62" customWidth="1"/>
    <col min="61" max="61" width="21.125" style="62" customWidth="1"/>
    <col min="62" max="62" width="23" style="61" customWidth="1"/>
    <col min="63" max="64" width="23" style="61" bestFit="1" customWidth="1"/>
    <col min="65" max="67" width="42" style="61" customWidth="1"/>
    <col min="68" max="70" width="21.125" style="62"/>
    <col min="71" max="71" width="17.375" style="61" customWidth="1"/>
    <col min="72" max="72" width="90.375" style="61" customWidth="1"/>
    <col min="73" max="73" width="91.125" style="61" customWidth="1"/>
    <col min="74" max="16384" width="21.125" style="61"/>
  </cols>
  <sheetData>
    <row r="1" spans="1:70" ht="27.75" customHeight="1" thickBot="1">
      <c r="F1" s="203" t="s">
        <v>1507</v>
      </c>
      <c r="G1" s="203"/>
      <c r="H1" s="203"/>
      <c r="I1" s="204"/>
      <c r="J1" s="200" t="s">
        <v>1494</v>
      </c>
      <c r="K1" s="202" t="s">
        <v>575</v>
      </c>
      <c r="L1" s="203"/>
      <c r="M1" s="203"/>
      <c r="N1" s="203"/>
      <c r="O1" s="203"/>
      <c r="P1" s="203"/>
      <c r="Q1" s="203"/>
      <c r="R1" s="203"/>
      <c r="S1" s="203"/>
      <c r="AA1" s="61"/>
      <c r="AB1" s="61"/>
      <c r="AC1" s="64"/>
      <c r="AD1" s="65"/>
      <c r="AE1" s="61"/>
      <c r="AG1" s="62"/>
      <c r="AI1" s="63"/>
      <c r="AJ1" s="63"/>
      <c r="AK1" s="61"/>
      <c r="AM1" s="62"/>
      <c r="AO1" s="62"/>
      <c r="AP1" s="62"/>
      <c r="AQ1" s="62"/>
      <c r="AR1" s="62"/>
      <c r="AU1" s="61"/>
      <c r="AV1" s="61"/>
      <c r="AW1" s="61"/>
      <c r="AY1" s="61"/>
      <c r="BC1" s="61"/>
      <c r="BF1" s="61"/>
      <c r="BH1" s="61"/>
      <c r="BJ1" s="62"/>
      <c r="BK1" s="62"/>
      <c r="BP1" s="61"/>
      <c r="BQ1" s="61"/>
      <c r="BR1" s="61"/>
    </row>
    <row r="2" spans="1:70" ht="132" thickBot="1">
      <c r="F2" s="67" t="s">
        <v>1481</v>
      </c>
      <c r="G2" s="67" t="s">
        <v>1314</v>
      </c>
      <c r="H2" s="68" t="s">
        <v>1484</v>
      </c>
      <c r="I2" s="67" t="s">
        <v>2235</v>
      </c>
      <c r="J2" s="201"/>
      <c r="K2" s="67" t="s">
        <v>1557</v>
      </c>
      <c r="L2" s="67" t="s">
        <v>1559</v>
      </c>
      <c r="M2" s="67" t="s">
        <v>572</v>
      </c>
      <c r="N2" s="67" t="s">
        <v>573</v>
      </c>
      <c r="O2" s="67" t="s">
        <v>574</v>
      </c>
      <c r="P2" s="67" t="s">
        <v>594</v>
      </c>
      <c r="Q2" s="67" t="s">
        <v>1643</v>
      </c>
      <c r="R2" s="67" t="s">
        <v>1579</v>
      </c>
      <c r="S2" s="67" t="s">
        <v>575</v>
      </c>
      <c r="AA2" s="61"/>
      <c r="AB2" s="61"/>
      <c r="AC2" s="69"/>
      <c r="AD2" s="70"/>
      <c r="AE2" s="63"/>
      <c r="AJ2" s="61"/>
      <c r="AK2" s="61"/>
      <c r="AN2" s="61"/>
      <c r="AP2" s="61"/>
      <c r="AQ2" s="61"/>
      <c r="AT2" s="63"/>
      <c r="AU2" s="63"/>
      <c r="AV2" s="61"/>
      <c r="AW2" s="61"/>
      <c r="AX2" s="61"/>
      <c r="AY2" s="61"/>
      <c r="AZ2" s="61"/>
      <c r="BA2" s="61"/>
      <c r="BB2" s="61"/>
      <c r="BC2" s="61"/>
      <c r="BF2" s="61"/>
      <c r="BH2" s="61"/>
      <c r="BI2" s="61"/>
      <c r="BP2" s="61"/>
      <c r="BQ2" s="61"/>
      <c r="BR2" s="61"/>
    </row>
    <row r="3" spans="1:70">
      <c r="F3" s="60">
        <f>SUBTOTAL(9,PAC!$AX$6:$AX$581)</f>
        <v>77</v>
      </c>
      <c r="G3" s="60">
        <f>SUBTOTAL(9,PAC!$AY$6:$AY$581)</f>
        <v>15</v>
      </c>
      <c r="H3" s="60">
        <f>SUBTOTAL(9,PAC!$AZ$6:$AZ$581)</f>
        <v>23</v>
      </c>
      <c r="I3" s="60">
        <f>SUBTOTAL(9,PAC!$BA$6:$BA$581)</f>
        <v>1</v>
      </c>
      <c r="J3" s="71">
        <f>SUBTOTAL(3,J6:J581)</f>
        <v>116</v>
      </c>
      <c r="K3" s="72">
        <f>SUBTOTAL(9,PAC!K$6:K$581)</f>
        <v>9636765841.7737923</v>
      </c>
      <c r="L3" s="72">
        <f>SUBTOTAL(9,PAC!L$6:L$581)</f>
        <v>1109918536.1899998</v>
      </c>
      <c r="M3" s="72">
        <f>SUBTOTAL(9,PAC!M$6:M$581)</f>
        <v>1200610244.3900003</v>
      </c>
      <c r="N3" s="73">
        <f>SUBTOTAL(9,PAC!N$6:N$581)</f>
        <v>582544986.85829461</v>
      </c>
      <c r="O3" s="73">
        <f>SUBTOTAL(9,PAC!O$6:O$581)</f>
        <v>51096746.930000007</v>
      </c>
      <c r="P3" s="73">
        <f>SUBTOTAL(9,PAC!P$6:P$581)</f>
        <v>7780010924.3855009</v>
      </c>
      <c r="Q3" s="72">
        <f>SUBTOTAL(9,PAC!$BB$6:$BB$581)</f>
        <v>7291511787.5637951</v>
      </c>
      <c r="R3" s="72">
        <f>SUBTOTAL(9,PAC!R$6:R$581)</f>
        <v>1750954850.0899997</v>
      </c>
      <c r="S3" s="72">
        <f>SUBTOTAL(9,PAC!S$6:S$581)</f>
        <v>9042466637.6537952</v>
      </c>
      <c r="AA3" s="61"/>
      <c r="AB3" s="61"/>
      <c r="AC3" s="69"/>
      <c r="AD3" s="70"/>
      <c r="AE3" s="74"/>
      <c r="AJ3" s="61"/>
      <c r="AK3" s="61"/>
      <c r="AN3" s="61"/>
      <c r="AP3" s="61"/>
      <c r="AQ3" s="61"/>
      <c r="AT3" s="63"/>
      <c r="AU3" s="63"/>
      <c r="AV3" s="61"/>
      <c r="AW3" s="61"/>
      <c r="AX3" s="61"/>
      <c r="AY3" s="61"/>
      <c r="AZ3" s="61"/>
      <c r="BA3" s="61"/>
      <c r="BB3" s="61"/>
      <c r="BC3" s="61"/>
      <c r="BF3" s="61"/>
      <c r="BH3" s="61"/>
      <c r="BI3" s="61"/>
      <c r="BP3" s="61"/>
      <c r="BQ3" s="61"/>
      <c r="BR3" s="61"/>
    </row>
    <row r="4" spans="1:70" ht="27" thickBot="1">
      <c r="B4" s="63"/>
      <c r="E4" s="66"/>
      <c r="F4" s="61"/>
      <c r="G4" s="61"/>
      <c r="H4" s="61"/>
      <c r="L4" s="75"/>
      <c r="M4" s="75"/>
      <c r="N4" s="75"/>
      <c r="O4" s="75"/>
      <c r="P4" s="75"/>
      <c r="Q4" s="75"/>
      <c r="R4" s="75"/>
      <c r="S4" s="75"/>
      <c r="T4" s="75"/>
      <c r="AA4" s="61"/>
      <c r="AB4" s="61"/>
      <c r="AC4" s="69"/>
      <c r="AD4" s="70"/>
      <c r="AE4" s="63"/>
      <c r="AJ4" s="61"/>
      <c r="AK4" s="61"/>
      <c r="AN4" s="61"/>
      <c r="AP4" s="61"/>
      <c r="AQ4" s="61"/>
      <c r="AT4" s="63"/>
      <c r="AU4" s="63"/>
      <c r="AV4" s="61"/>
      <c r="AW4" s="61"/>
      <c r="AX4" s="61"/>
      <c r="AY4" s="61"/>
      <c r="AZ4" s="61"/>
      <c r="BA4" s="61"/>
      <c r="BB4" s="61"/>
      <c r="BC4" s="61"/>
      <c r="BF4" s="61"/>
      <c r="BH4" s="61"/>
      <c r="BI4" s="61"/>
      <c r="BP4" s="61"/>
      <c r="BQ4" s="61"/>
      <c r="BR4" s="61"/>
    </row>
    <row r="5" spans="1:70" s="76" customFormat="1" ht="78.75" customHeight="1" thickBot="1">
      <c r="A5" s="98" t="s">
        <v>451</v>
      </c>
      <c r="B5" s="99" t="s">
        <v>713</v>
      </c>
      <c r="C5" s="98" t="s">
        <v>604</v>
      </c>
      <c r="D5" s="98" t="s">
        <v>1009</v>
      </c>
      <c r="E5" s="99" t="s">
        <v>692</v>
      </c>
      <c r="F5" s="98" t="s">
        <v>442</v>
      </c>
      <c r="G5" s="98" t="s">
        <v>567</v>
      </c>
      <c r="H5" s="98" t="s">
        <v>1762</v>
      </c>
      <c r="I5" s="98" t="s">
        <v>1229</v>
      </c>
      <c r="J5" s="98" t="s">
        <v>0</v>
      </c>
      <c r="K5" s="98" t="s">
        <v>1560</v>
      </c>
      <c r="L5" s="98" t="s">
        <v>1558</v>
      </c>
      <c r="M5" s="98" t="s">
        <v>572</v>
      </c>
      <c r="N5" s="98" t="s">
        <v>573</v>
      </c>
      <c r="O5" s="98" t="s">
        <v>574</v>
      </c>
      <c r="P5" s="98" t="s">
        <v>594</v>
      </c>
      <c r="Q5" s="98" t="s">
        <v>1639</v>
      </c>
      <c r="R5" s="98" t="s">
        <v>1579</v>
      </c>
      <c r="S5" s="98" t="s">
        <v>575</v>
      </c>
      <c r="T5" s="98" t="s">
        <v>1580</v>
      </c>
      <c r="U5" s="98" t="s">
        <v>1</v>
      </c>
      <c r="V5" s="98" t="s">
        <v>1763</v>
      </c>
      <c r="W5" s="98" t="s">
        <v>443</v>
      </c>
      <c r="X5" s="98" t="s">
        <v>1308</v>
      </c>
      <c r="Y5" s="98" t="s">
        <v>3</v>
      </c>
      <c r="Z5" s="98" t="s">
        <v>1449</v>
      </c>
      <c r="AA5" s="98" t="s">
        <v>1450</v>
      </c>
      <c r="AB5" s="98" t="s">
        <v>1461</v>
      </c>
      <c r="AC5" s="98" t="s">
        <v>1462</v>
      </c>
      <c r="AD5" s="99" t="s">
        <v>1478</v>
      </c>
      <c r="AE5" s="99" t="s">
        <v>1448</v>
      </c>
      <c r="AF5" s="99" t="s">
        <v>456</v>
      </c>
      <c r="AG5" s="99" t="s">
        <v>1306</v>
      </c>
      <c r="AH5" s="99" t="s">
        <v>961</v>
      </c>
      <c r="AI5" s="99" t="s">
        <v>980</v>
      </c>
      <c r="AJ5" s="99" t="s">
        <v>979</v>
      </c>
      <c r="AK5" s="99" t="s">
        <v>1025</v>
      </c>
      <c r="AL5" s="99" t="s">
        <v>1026</v>
      </c>
      <c r="AM5" s="99" t="s">
        <v>758</v>
      </c>
      <c r="AN5" s="98" t="s">
        <v>1226</v>
      </c>
      <c r="AO5" s="98" t="s">
        <v>1231</v>
      </c>
      <c r="AP5" s="98" t="s">
        <v>1227</v>
      </c>
      <c r="AQ5" s="98" t="s">
        <v>1225</v>
      </c>
      <c r="AR5" s="98" t="s">
        <v>1496</v>
      </c>
      <c r="AS5" s="98" t="s">
        <v>1230</v>
      </c>
      <c r="AT5" s="99" t="s">
        <v>2</v>
      </c>
      <c r="AU5" s="99" t="s">
        <v>1474</v>
      </c>
      <c r="AV5" s="99" t="s">
        <v>1864</v>
      </c>
      <c r="AW5" s="98" t="s">
        <v>461</v>
      </c>
      <c r="AX5" s="99" t="s">
        <v>1481</v>
      </c>
      <c r="AY5" s="99" t="s">
        <v>1314</v>
      </c>
      <c r="AZ5" s="99" t="s">
        <v>605</v>
      </c>
      <c r="BA5" s="99" t="s">
        <v>2235</v>
      </c>
      <c r="BB5" s="100" t="s">
        <v>1640</v>
      </c>
    </row>
    <row r="6" spans="1:70" s="1" customFormat="1" ht="249.95" hidden="1" customHeight="1" thickBot="1">
      <c r="A6" s="88">
        <f t="shared" ref="A6:A68" si="0">ROW()-5</f>
        <v>1</v>
      </c>
      <c r="B6" s="101">
        <v>2023</v>
      </c>
      <c r="C6" s="88" t="s">
        <v>605</v>
      </c>
      <c r="D6" s="88" t="s">
        <v>1011</v>
      </c>
      <c r="E6" s="102" t="s">
        <v>466</v>
      </c>
      <c r="F6" s="88" t="s">
        <v>576</v>
      </c>
      <c r="G6" s="88" t="s">
        <v>1022</v>
      </c>
      <c r="H6" s="40" t="s">
        <v>1247</v>
      </c>
      <c r="I6" s="88" t="s">
        <v>602</v>
      </c>
      <c r="J6" s="88" t="s">
        <v>72</v>
      </c>
      <c r="K6" s="18"/>
      <c r="L6" s="18"/>
      <c r="M6" s="18">
        <v>47303701.490000002</v>
      </c>
      <c r="N6" s="18"/>
      <c r="O6" s="18"/>
      <c r="P6" s="18"/>
      <c r="Q6" s="20">
        <f>SUM(PAC!$M6:$P6)</f>
        <v>47303701.490000002</v>
      </c>
      <c r="R6" s="20"/>
      <c r="S6" s="20">
        <f>IF(PAC!$R6&gt;0,PAC!$R6,PAC!$Q6)</f>
        <v>47303701.490000002</v>
      </c>
      <c r="T6" s="20"/>
      <c r="U6" s="103" t="s">
        <v>1570</v>
      </c>
      <c r="V6" s="103"/>
      <c r="W6" s="104"/>
      <c r="X6" s="104" t="s">
        <v>1490</v>
      </c>
      <c r="Y6" s="101" t="s">
        <v>2482</v>
      </c>
      <c r="Z6" s="87"/>
      <c r="AA6" s="105">
        <v>100</v>
      </c>
      <c r="AB6" s="40" t="s">
        <v>1466</v>
      </c>
      <c r="AC6" s="40"/>
      <c r="AD6" s="106"/>
      <c r="AE6" s="102"/>
      <c r="AF6" s="40"/>
      <c r="AG6" s="40"/>
      <c r="AH6" s="40"/>
      <c r="AI6" s="40"/>
      <c r="AJ6" s="87"/>
      <c r="AK6" s="40"/>
      <c r="AL6" s="40"/>
      <c r="AM6" s="40"/>
      <c r="AN6" s="87"/>
      <c r="AO6" s="87"/>
      <c r="AP6" s="87"/>
      <c r="AQ6" s="87"/>
      <c r="AR6" s="107"/>
      <c r="AS6" s="107"/>
      <c r="AT6" s="102"/>
      <c r="AU6" s="108" t="s">
        <v>687</v>
      </c>
      <c r="AV6" s="106"/>
      <c r="AW6" s="105"/>
      <c r="AX6" s="109" t="str">
        <f>IFERROR(IF(PAC!$X6="F01 - CAPTAÇÃO DE RECURSO",1,""),"")</f>
        <v/>
      </c>
      <c r="AY6" s="109" t="str">
        <f>IFERROR(IF(PAC!$X6="F02 - LICITAÇÃO",1,""),"")</f>
        <v/>
      </c>
      <c r="AZ6" s="110" t="str">
        <f>IFERROR(IF(PAC!$X$6:$X$581="F03 - EXECUÇÃO DO OBJETO",1,""),"")</f>
        <v/>
      </c>
      <c r="BA6" s="110">
        <f>IFERROR(IF(PAC!$X$6:$X$581="F04 - CONCLUÍDA",1,""),"")</f>
        <v>1</v>
      </c>
      <c r="BB6" s="111">
        <f>IF(PAC!$R6&gt;0,0,PAC!$Q6)</f>
        <v>47303701.490000002</v>
      </c>
    </row>
    <row r="7" spans="1:70" s="1" customFormat="1" ht="249.95" hidden="1" customHeight="1" thickBot="1">
      <c r="A7" s="112">
        <f t="shared" si="0"/>
        <v>2</v>
      </c>
      <c r="B7" s="113">
        <v>2023</v>
      </c>
      <c r="C7" s="112" t="s">
        <v>605</v>
      </c>
      <c r="D7" s="112" t="s">
        <v>1011</v>
      </c>
      <c r="E7" s="114" t="s">
        <v>571</v>
      </c>
      <c r="F7" s="112" t="s">
        <v>576</v>
      </c>
      <c r="G7" s="112" t="s">
        <v>1022</v>
      </c>
      <c r="H7" s="115" t="s">
        <v>1247</v>
      </c>
      <c r="I7" s="112" t="s">
        <v>602</v>
      </c>
      <c r="J7" s="112" t="s">
        <v>72</v>
      </c>
      <c r="K7" s="31"/>
      <c r="L7" s="31"/>
      <c r="M7" s="31">
        <v>258839936.83000001</v>
      </c>
      <c r="N7" s="31"/>
      <c r="O7" s="31"/>
      <c r="P7" s="31"/>
      <c r="Q7" s="33">
        <f>SUM(PAC!$M7:$P7)</f>
        <v>258839936.83000001</v>
      </c>
      <c r="R7" s="33"/>
      <c r="S7" s="33">
        <f>IF(PAC!$R7&gt;0,PAC!$R7,PAC!$Q7)</f>
        <v>258839936.83000001</v>
      </c>
      <c r="T7" s="33"/>
      <c r="U7" s="116" t="s">
        <v>1570</v>
      </c>
      <c r="V7" s="116"/>
      <c r="W7" s="117"/>
      <c r="X7" s="117" t="s">
        <v>1694</v>
      </c>
      <c r="Y7" s="113" t="s">
        <v>2471</v>
      </c>
      <c r="Z7" s="118"/>
      <c r="AA7" s="119"/>
      <c r="AB7" s="115"/>
      <c r="AC7" s="115"/>
      <c r="AD7" s="120"/>
      <c r="AE7" s="114" t="s">
        <v>1389</v>
      </c>
      <c r="AF7" s="115"/>
      <c r="AG7" s="115"/>
      <c r="AH7" s="115"/>
      <c r="AI7" s="115"/>
      <c r="AJ7" s="118"/>
      <c r="AK7" s="115"/>
      <c r="AL7" s="115"/>
      <c r="AM7" s="115"/>
      <c r="AN7" s="118"/>
      <c r="AO7" s="118"/>
      <c r="AP7" s="118"/>
      <c r="AQ7" s="118"/>
      <c r="AR7" s="121"/>
      <c r="AS7" s="121"/>
      <c r="AT7" s="114" t="s">
        <v>2159</v>
      </c>
      <c r="AU7" s="122" t="s">
        <v>2160</v>
      </c>
      <c r="AV7" s="120"/>
      <c r="AW7" s="119"/>
      <c r="AX7" s="194" t="str">
        <f>IFERROR(IF(PAC!$X7="F01 - CAPTAÇÃO DE RECURSO",1,""),"")</f>
        <v/>
      </c>
      <c r="AY7" s="194" t="str">
        <f>IFERROR(IF(PAC!$X7="F02 - LICITAÇÃO",1,""),"")</f>
        <v/>
      </c>
      <c r="AZ7" s="123">
        <f>IFERROR(IF(PAC!$X$6:$X$581="F03 - EXECUÇÃO DO OBJETO",1,""),"")</f>
        <v>1</v>
      </c>
      <c r="BA7" s="123" t="str">
        <f>IFERROR(IF(PAC!$X$6:$X$581="F04 - CONCLUÍDA",1,""),"")</f>
        <v/>
      </c>
      <c r="BB7" s="191">
        <f>IF(PAC!$R7&gt;0,0,PAC!$Q7)</f>
        <v>258839936.83000001</v>
      </c>
    </row>
    <row r="8" spans="1:70" s="1" customFormat="1" ht="369" hidden="1" customHeight="1" thickBot="1">
      <c r="A8" s="88">
        <f t="shared" si="0"/>
        <v>3</v>
      </c>
      <c r="B8" s="101">
        <v>2023</v>
      </c>
      <c r="C8" s="88" t="s">
        <v>605</v>
      </c>
      <c r="D8" s="88" t="s">
        <v>1011</v>
      </c>
      <c r="E8" s="102" t="s">
        <v>644</v>
      </c>
      <c r="F8" s="88" t="s">
        <v>49</v>
      </c>
      <c r="G8" s="88" t="s">
        <v>1957</v>
      </c>
      <c r="H8" s="40" t="s">
        <v>1248</v>
      </c>
      <c r="I8" s="88" t="s">
        <v>606</v>
      </c>
      <c r="J8" s="88" t="s">
        <v>63</v>
      </c>
      <c r="K8" s="18"/>
      <c r="L8" s="18">
        <v>100000000</v>
      </c>
      <c r="M8" s="18">
        <v>44086568.100000001</v>
      </c>
      <c r="N8" s="18"/>
      <c r="O8" s="18"/>
      <c r="P8" s="18"/>
      <c r="Q8" s="20">
        <f>SUM(PAC!$M8:$P8)</f>
        <v>44086568.100000001</v>
      </c>
      <c r="R8" s="18">
        <v>44086568.100000001</v>
      </c>
      <c r="S8" s="20">
        <f>IF(PAC!$R8&gt;0,PAC!$R8,PAC!$Q8)</f>
        <v>44086568.100000001</v>
      </c>
      <c r="T8" s="20" t="s">
        <v>1586</v>
      </c>
      <c r="U8" s="103" t="s">
        <v>1570</v>
      </c>
      <c r="V8" s="103"/>
      <c r="W8" s="104">
        <v>11</v>
      </c>
      <c r="X8" s="104" t="s">
        <v>1694</v>
      </c>
      <c r="Y8" s="101" t="s">
        <v>2470</v>
      </c>
      <c r="Z8" s="87">
        <v>46326</v>
      </c>
      <c r="AA8" s="105">
        <v>42</v>
      </c>
      <c r="AB8" s="40" t="s">
        <v>1472</v>
      </c>
      <c r="AC8" s="124" t="s">
        <v>2652</v>
      </c>
      <c r="AD8" s="87">
        <v>46326</v>
      </c>
      <c r="AE8" s="102" t="s">
        <v>1862</v>
      </c>
      <c r="AF8" s="40"/>
      <c r="AG8" s="40" t="s">
        <v>2158</v>
      </c>
      <c r="AH8" s="40"/>
      <c r="AI8" s="40"/>
      <c r="AJ8" s="87"/>
      <c r="AK8" s="40" t="s">
        <v>1151</v>
      </c>
      <c r="AL8" s="40" t="s">
        <v>1076</v>
      </c>
      <c r="AM8" s="40"/>
      <c r="AN8" s="87">
        <v>45584</v>
      </c>
      <c r="AO8" s="87">
        <v>45667</v>
      </c>
      <c r="AP8" s="87">
        <v>45806</v>
      </c>
      <c r="AQ8" s="87">
        <v>45833</v>
      </c>
      <c r="AR8" s="106">
        <v>46163</v>
      </c>
      <c r="AS8" s="107">
        <v>46295</v>
      </c>
      <c r="AT8" s="102" t="s">
        <v>2308</v>
      </c>
      <c r="AU8" s="40" t="s">
        <v>2307</v>
      </c>
      <c r="AV8" s="106"/>
      <c r="AW8" s="105"/>
      <c r="AX8" s="109" t="str">
        <f>IFERROR(IF(PAC!$X8="F01 - CAPTAÇÃO DE RECURSO",1,""),"")</f>
        <v/>
      </c>
      <c r="AY8" s="109" t="str">
        <f>IFERROR(IF(PAC!$X8="F02 - LICITAÇÃO",1,""),"")</f>
        <v/>
      </c>
      <c r="AZ8" s="110">
        <f>IFERROR(IF(PAC!$X$6:$X$581="F03 - EXECUÇÃO DO OBJETO",1,""),"")</f>
        <v>1</v>
      </c>
      <c r="BA8" s="110" t="str">
        <f>IFERROR(IF(PAC!$X$6:$X$581="F04 - CONCLUÍDA",1,""),"")</f>
        <v/>
      </c>
      <c r="BB8" s="111">
        <f>IF(PAC!$R8&gt;0,0,PAC!$Q8)</f>
        <v>0</v>
      </c>
    </row>
    <row r="9" spans="1:70" s="1" customFormat="1" ht="409.5" hidden="1" customHeight="1" thickBot="1">
      <c r="A9" s="112">
        <f t="shared" si="0"/>
        <v>4</v>
      </c>
      <c r="B9" s="113">
        <v>2023</v>
      </c>
      <c r="C9" s="112" t="s">
        <v>1495</v>
      </c>
      <c r="D9" s="112" t="s">
        <v>1011</v>
      </c>
      <c r="E9" s="114" t="s">
        <v>2766</v>
      </c>
      <c r="F9" s="112" t="s">
        <v>49</v>
      </c>
      <c r="G9" s="112" t="s">
        <v>1958</v>
      </c>
      <c r="H9" s="115" t="s">
        <v>1248</v>
      </c>
      <c r="I9" s="112" t="s">
        <v>606</v>
      </c>
      <c r="J9" s="112" t="s">
        <v>63</v>
      </c>
      <c r="K9" s="31"/>
      <c r="L9" s="31"/>
      <c r="M9" s="31"/>
      <c r="N9" s="31">
        <v>4050508.35</v>
      </c>
      <c r="O9" s="31"/>
      <c r="P9" s="31"/>
      <c r="Q9" s="33">
        <f>SUM([1]PAC!$M9:$P9)</f>
        <v>4050508.35</v>
      </c>
      <c r="R9" s="31" t="s">
        <v>2784</v>
      </c>
      <c r="S9" s="33">
        <f>IF([1]PAC!$R9&gt;0,[1]PAC!$R9,[1]PAC!$Q9)</f>
        <v>4050508.35</v>
      </c>
      <c r="T9" s="33" t="s">
        <v>2785</v>
      </c>
      <c r="U9" s="116" t="s">
        <v>573</v>
      </c>
      <c r="V9" s="116"/>
      <c r="W9" s="117">
        <v>3</v>
      </c>
      <c r="X9" s="117" t="s">
        <v>1418</v>
      </c>
      <c r="Y9" s="113" t="s">
        <v>2472</v>
      </c>
      <c r="Z9" s="118">
        <v>46265</v>
      </c>
      <c r="AA9" s="119"/>
      <c r="AB9" s="115" t="s">
        <v>2783</v>
      </c>
      <c r="AC9" s="125" t="s">
        <v>2786</v>
      </c>
      <c r="AD9" s="120">
        <v>46265</v>
      </c>
      <c r="AE9" s="114" t="s">
        <v>2787</v>
      </c>
      <c r="AF9" s="115"/>
      <c r="AG9" s="115"/>
      <c r="AH9" s="115"/>
      <c r="AI9" s="115"/>
      <c r="AJ9" s="118"/>
      <c r="AK9" s="115" t="s">
        <v>2767</v>
      </c>
      <c r="AL9" s="115" t="s">
        <v>1076</v>
      </c>
      <c r="AM9" s="115"/>
      <c r="AN9" s="118">
        <v>46115</v>
      </c>
      <c r="AO9" s="118">
        <v>46134</v>
      </c>
      <c r="AP9" s="118">
        <v>46218</v>
      </c>
      <c r="AQ9" s="118">
        <v>46233</v>
      </c>
      <c r="AR9" s="121">
        <v>46323</v>
      </c>
      <c r="AS9" s="121">
        <v>46323</v>
      </c>
      <c r="AT9" s="114" t="s">
        <v>2768</v>
      </c>
      <c r="AU9" s="115" t="s">
        <v>2769</v>
      </c>
      <c r="AV9" s="120"/>
      <c r="AW9" s="119"/>
      <c r="AX9" s="194" t="str">
        <f>IFERROR(IF(PAC!$X9="F01 - CAPTAÇÃO DE RECURSO",1,""),"")</f>
        <v/>
      </c>
      <c r="AY9" s="194">
        <f>IFERROR(IF(PAC!$X9="F02 - LICITAÇÃO",1,""),"")</f>
        <v>1</v>
      </c>
      <c r="AZ9" s="123" t="str">
        <f>IFERROR(IF(PAC!$X$6:$X$581="F03 - EXECUÇÃO DO OBJETO",1,""),"")</f>
        <v/>
      </c>
      <c r="BA9" s="123" t="str">
        <f>IFERROR(IF(PAC!$X$6:$X$581="F04 - CONCLUÍDA",1,""),"")</f>
        <v/>
      </c>
      <c r="BB9" s="191">
        <f>IF([1]PAC!$R9&gt;0,0,[1]PAC!$Q9)</f>
        <v>4050508.35</v>
      </c>
    </row>
    <row r="10" spans="1:70" s="1" customFormat="1" ht="408.95" hidden="1" customHeight="1" thickBot="1">
      <c r="A10" s="88">
        <f t="shared" si="0"/>
        <v>5</v>
      </c>
      <c r="B10" s="101">
        <v>2023</v>
      </c>
      <c r="C10" s="88" t="s">
        <v>605</v>
      </c>
      <c r="D10" s="88" t="s">
        <v>1011</v>
      </c>
      <c r="E10" s="102" t="s">
        <v>452</v>
      </c>
      <c r="F10" s="88" t="s">
        <v>49</v>
      </c>
      <c r="G10" s="88" t="s">
        <v>1956</v>
      </c>
      <c r="H10" s="40" t="s">
        <v>1248</v>
      </c>
      <c r="I10" s="88" t="s">
        <v>606</v>
      </c>
      <c r="J10" s="88" t="s">
        <v>63</v>
      </c>
      <c r="K10" s="18"/>
      <c r="L10" s="18"/>
      <c r="M10" s="18"/>
      <c r="N10" s="18">
        <v>19342946.050000001</v>
      </c>
      <c r="O10" s="18"/>
      <c r="P10" s="18"/>
      <c r="Q10" s="20">
        <f>SUM(PAC!$M10:$P10)</f>
        <v>19342946.050000001</v>
      </c>
      <c r="R10" s="18">
        <v>19342946.050000001</v>
      </c>
      <c r="S10" s="20">
        <f>IF(PAC!$R10&gt;0,PAC!$R10,PAC!$Q10)</f>
        <v>19342946.050000001</v>
      </c>
      <c r="T10" s="20" t="s">
        <v>1585</v>
      </c>
      <c r="U10" s="103" t="s">
        <v>1571</v>
      </c>
      <c r="V10" s="103"/>
      <c r="W10" s="104">
        <v>16</v>
      </c>
      <c r="X10" s="104" t="s">
        <v>1694</v>
      </c>
      <c r="Y10" s="101" t="s">
        <v>2470</v>
      </c>
      <c r="Z10" s="195">
        <v>46326</v>
      </c>
      <c r="AA10" s="105">
        <v>52</v>
      </c>
      <c r="AB10" s="40" t="s">
        <v>1472</v>
      </c>
      <c r="AC10" s="124" t="s">
        <v>2651</v>
      </c>
      <c r="AD10" s="195">
        <v>46326</v>
      </c>
      <c r="AE10" s="102" t="s">
        <v>1862</v>
      </c>
      <c r="AF10" s="40"/>
      <c r="AG10" s="40"/>
      <c r="AH10" s="40"/>
      <c r="AI10" s="40"/>
      <c r="AJ10" s="87"/>
      <c r="AK10" s="40" t="s">
        <v>1150</v>
      </c>
      <c r="AL10" s="40" t="s">
        <v>1076</v>
      </c>
      <c r="AM10" s="40"/>
      <c r="AN10" s="87">
        <v>45505</v>
      </c>
      <c r="AO10" s="87">
        <v>45597</v>
      </c>
      <c r="AP10" s="87">
        <v>45859</v>
      </c>
      <c r="AQ10" s="87">
        <v>45862</v>
      </c>
      <c r="AR10" s="106">
        <v>46342</v>
      </c>
      <c r="AS10" s="107">
        <v>46264</v>
      </c>
      <c r="AT10" s="102" t="s">
        <v>2506</v>
      </c>
      <c r="AU10" s="40" t="s">
        <v>2309</v>
      </c>
      <c r="AV10" s="106"/>
      <c r="AW10" s="105"/>
      <c r="AX10" s="109" t="str">
        <f>IFERROR(IF(PAC!$X10="F01 - CAPTAÇÃO DE RECURSO",1,""),"")</f>
        <v/>
      </c>
      <c r="AY10" s="109" t="str">
        <f>IFERROR(IF(PAC!$X10="F02 - LICITAÇÃO",1,""),"")</f>
        <v/>
      </c>
      <c r="AZ10" s="110">
        <f>IFERROR(IF(PAC!$X$6:$X$581="F03 - EXECUÇÃO DO OBJETO",1,""),"")</f>
        <v>1</v>
      </c>
      <c r="BA10" s="110" t="str">
        <f>IFERROR(IF(PAC!$X$6:$X$581="F04 - CONCLUÍDA",1,""),"")</f>
        <v/>
      </c>
      <c r="BB10" s="111">
        <f>IF(PAC!$R10&gt;0,0,PAC!$Q10)</f>
        <v>0</v>
      </c>
    </row>
    <row r="11" spans="1:70" s="1" customFormat="1" ht="350.1" customHeight="1" thickBot="1">
      <c r="A11" s="112">
        <f t="shared" si="0"/>
        <v>6</v>
      </c>
      <c r="B11" s="113">
        <v>2023</v>
      </c>
      <c r="C11" s="112" t="s">
        <v>605</v>
      </c>
      <c r="D11" s="112" t="s">
        <v>1011</v>
      </c>
      <c r="E11" s="114" t="s">
        <v>464</v>
      </c>
      <c r="F11" s="112" t="s">
        <v>576</v>
      </c>
      <c r="G11" s="112" t="s">
        <v>641</v>
      </c>
      <c r="H11" s="115" t="s">
        <v>1243</v>
      </c>
      <c r="I11" s="112" t="s">
        <v>600</v>
      </c>
      <c r="J11" s="112" t="s">
        <v>60</v>
      </c>
      <c r="K11" s="31"/>
      <c r="L11" s="31"/>
      <c r="M11" s="31">
        <v>127378576.98999999</v>
      </c>
      <c r="N11" s="31">
        <v>108102763.59</v>
      </c>
      <c r="O11" s="31">
        <v>6962472.3099999996</v>
      </c>
      <c r="P11" s="31"/>
      <c r="Q11" s="33">
        <f>SUM(PAC!$M11:$P11)</f>
        <v>242443812.88999999</v>
      </c>
      <c r="R11" s="33">
        <v>242443812.88999999</v>
      </c>
      <c r="S11" s="33">
        <f>IF(PAC!$R11&gt;0,PAC!$R11,PAC!$Q11)</f>
        <v>242443812.88999999</v>
      </c>
      <c r="T11" s="33" t="s">
        <v>1636</v>
      </c>
      <c r="U11" s="116" t="s">
        <v>1572</v>
      </c>
      <c r="V11" s="116"/>
      <c r="W11" s="117">
        <v>30</v>
      </c>
      <c r="X11" s="117" t="s">
        <v>1694</v>
      </c>
      <c r="Y11" s="113" t="s">
        <v>2470</v>
      </c>
      <c r="Z11" s="118">
        <v>46438</v>
      </c>
      <c r="AA11" s="119">
        <v>66</v>
      </c>
      <c r="AB11" s="115" t="s">
        <v>1472</v>
      </c>
      <c r="AC11" s="115" t="s">
        <v>1861</v>
      </c>
      <c r="AD11" s="120"/>
      <c r="AE11" s="182"/>
      <c r="AF11" s="115"/>
      <c r="AG11" s="115" t="s">
        <v>2157</v>
      </c>
      <c r="AH11" s="115"/>
      <c r="AI11" s="115"/>
      <c r="AJ11" s="118"/>
      <c r="AK11" s="115"/>
      <c r="AL11" s="115"/>
      <c r="AM11" s="115"/>
      <c r="AN11" s="118">
        <v>45449</v>
      </c>
      <c r="AO11" s="118">
        <v>45477</v>
      </c>
      <c r="AP11" s="118">
        <v>45530</v>
      </c>
      <c r="AQ11" s="118">
        <v>45537</v>
      </c>
      <c r="AR11" s="121">
        <v>46438</v>
      </c>
      <c r="AS11" s="121">
        <v>46438</v>
      </c>
      <c r="AT11" s="114" t="s">
        <v>1642</v>
      </c>
      <c r="AU11" s="122" t="s">
        <v>2534</v>
      </c>
      <c r="AV11" s="120"/>
      <c r="AW11" s="119"/>
      <c r="AX11" s="194" t="str">
        <f>IFERROR(IF(PAC!$X11="F01 - CAPTAÇÃO DE RECURSO",1,""),"")</f>
        <v/>
      </c>
      <c r="AY11" s="194" t="str">
        <f>IFERROR(IF(PAC!$X11="F02 - LICITAÇÃO",1,""),"")</f>
        <v/>
      </c>
      <c r="AZ11" s="123">
        <f>IFERROR(IF(PAC!$X$6:$X$581="F03 - EXECUÇÃO DO OBJETO",1,""),"")</f>
        <v>1</v>
      </c>
      <c r="BA11" s="123" t="str">
        <f>IFERROR(IF(PAC!$X$6:$X$581="F04 - CONCLUÍDA",1,""),"")</f>
        <v/>
      </c>
      <c r="BB11" s="191">
        <f>IF(PAC!$R11&gt;0,0,PAC!$Q11)</f>
        <v>0</v>
      </c>
    </row>
    <row r="12" spans="1:70" s="1" customFormat="1" ht="350.1" customHeight="1" thickBot="1">
      <c r="A12" s="88">
        <f t="shared" si="0"/>
        <v>7</v>
      </c>
      <c r="B12" s="101">
        <v>2023</v>
      </c>
      <c r="C12" s="88" t="s">
        <v>605</v>
      </c>
      <c r="D12" s="88" t="s">
        <v>1011</v>
      </c>
      <c r="E12" s="102" t="s">
        <v>462</v>
      </c>
      <c r="F12" s="88" t="s">
        <v>576</v>
      </c>
      <c r="G12" s="88" t="s">
        <v>641</v>
      </c>
      <c r="H12" s="40" t="s">
        <v>1243</v>
      </c>
      <c r="I12" s="88" t="s">
        <v>601</v>
      </c>
      <c r="J12" s="88" t="s">
        <v>392</v>
      </c>
      <c r="K12" s="18"/>
      <c r="L12" s="18"/>
      <c r="M12" s="18">
        <v>48490063.890000001</v>
      </c>
      <c r="N12" s="18">
        <v>7026635.4800000004</v>
      </c>
      <c r="O12" s="18">
        <f>20446802.96+11012079.78</f>
        <v>31458882.740000002</v>
      </c>
      <c r="P12" s="18"/>
      <c r="Q12" s="20">
        <f>SUM(PAC!$M12:$P12)</f>
        <v>86975582.110000014</v>
      </c>
      <c r="R12" s="20">
        <v>86975582.110000014</v>
      </c>
      <c r="S12" s="20">
        <f>IF(PAC!$R12&gt;0,PAC!$R12,PAC!$Q12)</f>
        <v>86975582.110000014</v>
      </c>
      <c r="T12" s="20" t="s">
        <v>1634</v>
      </c>
      <c r="U12" s="103" t="s">
        <v>1572</v>
      </c>
      <c r="V12" s="103"/>
      <c r="W12" s="104"/>
      <c r="X12" s="104" t="s">
        <v>1694</v>
      </c>
      <c r="Y12" s="101" t="s">
        <v>2470</v>
      </c>
      <c r="Z12" s="87">
        <v>46325</v>
      </c>
      <c r="AA12" s="105">
        <v>96.13</v>
      </c>
      <c r="AB12" s="40" t="s">
        <v>1472</v>
      </c>
      <c r="AC12" s="40" t="s">
        <v>1296</v>
      </c>
      <c r="AD12" s="106">
        <v>46325</v>
      </c>
      <c r="AE12" s="128"/>
      <c r="AF12" s="40"/>
      <c r="AG12" s="40" t="s">
        <v>1872</v>
      </c>
      <c r="AH12" s="40"/>
      <c r="AI12" s="40"/>
      <c r="AJ12" s="87"/>
      <c r="AK12" s="40"/>
      <c r="AL12" s="40"/>
      <c r="AM12" s="40"/>
      <c r="AN12" s="87">
        <v>44310</v>
      </c>
      <c r="AO12" s="87">
        <v>44378</v>
      </c>
      <c r="AP12" s="87">
        <v>44497</v>
      </c>
      <c r="AQ12" s="87">
        <v>44495</v>
      </c>
      <c r="AR12" s="107">
        <v>44860</v>
      </c>
      <c r="AS12" s="107">
        <v>46325</v>
      </c>
      <c r="AT12" s="124" t="s">
        <v>2161</v>
      </c>
      <c r="AU12" s="108" t="s">
        <v>2236</v>
      </c>
      <c r="AV12" s="106"/>
      <c r="AW12" s="105"/>
      <c r="AX12" s="109" t="str">
        <f>IFERROR(IF(PAC!$X12="F01 - CAPTAÇÃO DE RECURSO",1,""),"")</f>
        <v/>
      </c>
      <c r="AY12" s="109" t="str">
        <f>IFERROR(IF(PAC!$X12="F02 - LICITAÇÃO",1,""),"")</f>
        <v/>
      </c>
      <c r="AZ12" s="110">
        <f>IFERROR(IF(PAC!$X$6:$X$581="F03 - EXECUÇÃO DO OBJETO",1,""),"")</f>
        <v>1</v>
      </c>
      <c r="BA12" s="110" t="str">
        <f>IFERROR(IF(PAC!$X$6:$X$581="F04 - CONCLUÍDA",1,""),"")</f>
        <v/>
      </c>
      <c r="BB12" s="111">
        <f>IF(PAC!$R12&gt;0,0,PAC!$Q12)</f>
        <v>0</v>
      </c>
    </row>
    <row r="13" spans="1:70" s="1" customFormat="1" ht="350.1" customHeight="1" thickBot="1">
      <c r="A13" s="112">
        <f t="shared" si="0"/>
        <v>8</v>
      </c>
      <c r="B13" s="113">
        <v>2023</v>
      </c>
      <c r="C13" s="112" t="s">
        <v>605</v>
      </c>
      <c r="D13" s="112" t="s">
        <v>1011</v>
      </c>
      <c r="E13" s="114" t="s">
        <v>465</v>
      </c>
      <c r="F13" s="112" t="s">
        <v>576</v>
      </c>
      <c r="G13" s="112" t="s">
        <v>641</v>
      </c>
      <c r="H13" s="115" t="s">
        <v>1243</v>
      </c>
      <c r="I13" s="112" t="s">
        <v>601</v>
      </c>
      <c r="J13" s="112" t="s">
        <v>329</v>
      </c>
      <c r="K13" s="31"/>
      <c r="L13" s="31">
        <v>136187821.31</v>
      </c>
      <c r="M13" s="31">
        <v>136187821.31</v>
      </c>
      <c r="N13" s="31"/>
      <c r="O13" s="31"/>
      <c r="P13" s="31"/>
      <c r="Q13" s="33">
        <f>SUM(PAC!$M13:$P13)</f>
        <v>136187821.31</v>
      </c>
      <c r="R13" s="33">
        <v>129426772.84</v>
      </c>
      <c r="S13" s="33">
        <f>IF(PAC!$R13&gt;0,PAC!$R13,PAC!$Q13)</f>
        <v>129426772.84</v>
      </c>
      <c r="T13" s="33" t="s">
        <v>2349</v>
      </c>
      <c r="U13" s="116" t="s">
        <v>1570</v>
      </c>
      <c r="V13" s="116"/>
      <c r="W13" s="117">
        <v>21</v>
      </c>
      <c r="X13" s="117" t="s">
        <v>1418</v>
      </c>
      <c r="Y13" s="113" t="s">
        <v>2472</v>
      </c>
      <c r="Z13" s="118">
        <v>46356</v>
      </c>
      <c r="AA13" s="119"/>
      <c r="AB13" s="115" t="s">
        <v>1457</v>
      </c>
      <c r="AC13" s="125" t="s">
        <v>2352</v>
      </c>
      <c r="AD13" s="120">
        <v>46356</v>
      </c>
      <c r="AE13" s="127" t="s">
        <v>2353</v>
      </c>
      <c r="AF13" s="115" t="s">
        <v>579</v>
      </c>
      <c r="AG13" s="115" t="s">
        <v>1475</v>
      </c>
      <c r="AH13" s="115" t="s">
        <v>1974</v>
      </c>
      <c r="AI13" s="125" t="s">
        <v>1893</v>
      </c>
      <c r="AJ13" s="118">
        <v>46356</v>
      </c>
      <c r="AK13" s="115"/>
      <c r="AL13" s="115"/>
      <c r="AM13" s="115"/>
      <c r="AN13" s="118">
        <v>46097</v>
      </c>
      <c r="AO13" s="118">
        <v>46120</v>
      </c>
      <c r="AP13" s="118">
        <v>46206</v>
      </c>
      <c r="AQ13" s="118"/>
      <c r="AR13" s="121"/>
      <c r="AS13" s="121"/>
      <c r="AT13" s="127" t="s">
        <v>2351</v>
      </c>
      <c r="AU13" s="182" t="s">
        <v>2350</v>
      </c>
      <c r="AV13" s="120"/>
      <c r="AW13" s="119"/>
      <c r="AX13" s="194" t="str">
        <f>IFERROR(IF(PAC!$X13="F01 - CAPTAÇÃO DE RECURSO",1,""),"")</f>
        <v/>
      </c>
      <c r="AY13" s="194">
        <f>IFERROR(IF(PAC!$X13="F02 - LICITAÇÃO",1,""),"")</f>
        <v>1</v>
      </c>
      <c r="AZ13" s="123" t="str">
        <f>IFERROR(IF(PAC!$X$6:$X$581="F03 - EXECUÇÃO DO OBJETO",1,""),"")</f>
        <v/>
      </c>
      <c r="BA13" s="123" t="str">
        <f>IFERROR(IF(PAC!$X$6:$X$581="F04 - CONCLUÍDA",1,""),"")</f>
        <v/>
      </c>
      <c r="BB13" s="191">
        <f>IF(PAC!$R13&gt;0,0,PAC!$Q13)</f>
        <v>0</v>
      </c>
    </row>
    <row r="14" spans="1:70" s="1" customFormat="1" ht="399.75" customHeight="1" thickBot="1">
      <c r="A14" s="88">
        <f t="shared" si="0"/>
        <v>9</v>
      </c>
      <c r="B14" s="101">
        <v>2023</v>
      </c>
      <c r="C14" s="88" t="s">
        <v>605</v>
      </c>
      <c r="D14" s="88" t="s">
        <v>1011</v>
      </c>
      <c r="E14" s="102" t="s">
        <v>463</v>
      </c>
      <c r="F14" s="88" t="s">
        <v>576</v>
      </c>
      <c r="G14" s="88" t="s">
        <v>641</v>
      </c>
      <c r="H14" s="40" t="s">
        <v>1243</v>
      </c>
      <c r="I14" s="88" t="s">
        <v>601</v>
      </c>
      <c r="J14" s="88" t="s">
        <v>356</v>
      </c>
      <c r="K14" s="18"/>
      <c r="L14" s="18">
        <v>123165596.2</v>
      </c>
      <c r="M14" s="18">
        <v>123165596.2</v>
      </c>
      <c r="N14" s="18"/>
      <c r="O14" s="18">
        <v>12675391.880000001</v>
      </c>
      <c r="P14" s="18"/>
      <c r="Q14" s="20">
        <f>SUM(PAC!$M14:$P14)</f>
        <v>135840988.08000001</v>
      </c>
      <c r="R14" s="20">
        <v>118782076.13</v>
      </c>
      <c r="S14" s="20">
        <f>IF(PAC!$R14&gt;0,PAC!$R14,PAC!$Q14)</f>
        <v>118782076.13</v>
      </c>
      <c r="T14" s="20" t="s">
        <v>1635</v>
      </c>
      <c r="U14" s="103" t="s">
        <v>1564</v>
      </c>
      <c r="V14" s="103"/>
      <c r="W14" s="104">
        <v>21</v>
      </c>
      <c r="X14" s="104" t="s">
        <v>1694</v>
      </c>
      <c r="Y14" s="101" t="s">
        <v>2470</v>
      </c>
      <c r="Z14" s="87">
        <v>46590</v>
      </c>
      <c r="AA14" s="105">
        <v>12.88</v>
      </c>
      <c r="AB14" s="40" t="s">
        <v>1472</v>
      </c>
      <c r="AC14" s="40" t="s">
        <v>2128</v>
      </c>
      <c r="AD14" s="106">
        <v>46590</v>
      </c>
      <c r="AE14" s="128" t="s">
        <v>1296</v>
      </c>
      <c r="AF14" s="40" t="s">
        <v>470</v>
      </c>
      <c r="AG14" s="40" t="s">
        <v>1476</v>
      </c>
      <c r="AH14" s="40" t="s">
        <v>977</v>
      </c>
      <c r="AI14" s="40"/>
      <c r="AJ14" s="87">
        <v>46618</v>
      </c>
      <c r="AK14" s="40"/>
      <c r="AL14" s="40"/>
      <c r="AM14" s="40"/>
      <c r="AN14" s="87">
        <v>44792</v>
      </c>
      <c r="AO14" s="87">
        <v>44817</v>
      </c>
      <c r="AP14" s="87">
        <v>45376</v>
      </c>
      <c r="AQ14" s="87">
        <v>45553</v>
      </c>
      <c r="AR14" s="107">
        <v>46198</v>
      </c>
      <c r="AS14" s="107">
        <v>46590</v>
      </c>
      <c r="AT14" s="102" t="s">
        <v>2162</v>
      </c>
      <c r="AU14" s="108" t="s">
        <v>2528</v>
      </c>
      <c r="AV14" s="106"/>
      <c r="AW14" s="105"/>
      <c r="AX14" s="109" t="str">
        <f>IFERROR(IF(PAC!$X14="F01 - CAPTAÇÃO DE RECURSO",1,""),"")</f>
        <v/>
      </c>
      <c r="AY14" s="109" t="str">
        <f>IFERROR(IF(PAC!$X14="F02 - LICITAÇÃO",1,""),"")</f>
        <v/>
      </c>
      <c r="AZ14" s="110">
        <f>IFERROR(IF(PAC!$X$6:$X$581="F03 - EXECUÇÃO DO OBJETO",1,""),"")</f>
        <v>1</v>
      </c>
      <c r="BA14" s="110" t="str">
        <f>IFERROR(IF(PAC!$X$6:$X$581="F04 - CONCLUÍDA",1,""),"")</f>
        <v/>
      </c>
      <c r="BB14" s="111">
        <f>IF(PAC!$R14&gt;0,0,PAC!$Q14)</f>
        <v>0</v>
      </c>
    </row>
    <row r="15" spans="1:70" s="1" customFormat="1" ht="147.75" hidden="1" customHeight="1" thickBot="1">
      <c r="A15" s="112">
        <f t="shared" si="0"/>
        <v>10</v>
      </c>
      <c r="B15" s="113">
        <v>2023</v>
      </c>
      <c r="C15" s="112" t="s">
        <v>605</v>
      </c>
      <c r="D15" s="112" t="s">
        <v>1011</v>
      </c>
      <c r="E15" s="114" t="s">
        <v>642</v>
      </c>
      <c r="F15" s="112" t="s">
        <v>576</v>
      </c>
      <c r="G15" s="112" t="s">
        <v>1021</v>
      </c>
      <c r="H15" s="115" t="s">
        <v>1247</v>
      </c>
      <c r="I15" s="112" t="s">
        <v>602</v>
      </c>
      <c r="J15" s="112" t="s">
        <v>243</v>
      </c>
      <c r="K15" s="31"/>
      <c r="L15" s="31"/>
      <c r="M15" s="31">
        <v>118800000</v>
      </c>
      <c r="N15" s="31"/>
      <c r="O15" s="31"/>
      <c r="P15" s="31"/>
      <c r="Q15" s="33">
        <f>SUM(PAC!$M15:$P15)</f>
        <v>118800000</v>
      </c>
      <c r="R15" s="33"/>
      <c r="S15" s="33">
        <f>IF(PAC!$R15&gt;0,PAC!$R15,PAC!$Q15)</f>
        <v>118800000</v>
      </c>
      <c r="T15" s="33"/>
      <c r="U15" s="116" t="s">
        <v>1570</v>
      </c>
      <c r="V15" s="116"/>
      <c r="W15" s="117">
        <v>26</v>
      </c>
      <c r="X15" s="117" t="s">
        <v>1694</v>
      </c>
      <c r="Y15" s="113" t="s">
        <v>2471</v>
      </c>
      <c r="Z15" s="118"/>
      <c r="AA15" s="119"/>
      <c r="AB15" s="115"/>
      <c r="AC15" s="115" t="s">
        <v>1641</v>
      </c>
      <c r="AD15" s="120"/>
      <c r="AE15" s="114" t="s">
        <v>693</v>
      </c>
      <c r="AF15" s="115"/>
      <c r="AG15" s="115"/>
      <c r="AH15" s="115"/>
      <c r="AI15" s="115"/>
      <c r="AJ15" s="118"/>
      <c r="AK15" s="115"/>
      <c r="AL15" s="115"/>
      <c r="AM15" s="115"/>
      <c r="AN15" s="118"/>
      <c r="AO15" s="118"/>
      <c r="AP15" s="118"/>
      <c r="AQ15" s="118"/>
      <c r="AR15" s="121"/>
      <c r="AS15" s="121"/>
      <c r="AT15" s="114" t="s">
        <v>690</v>
      </c>
      <c r="AU15" s="115" t="s">
        <v>689</v>
      </c>
      <c r="AV15" s="120"/>
      <c r="AW15" s="119"/>
      <c r="AX15" s="194" t="str">
        <f>IFERROR(IF(PAC!$X15="F01 - CAPTAÇÃO DE RECURSO",1,""),"")</f>
        <v/>
      </c>
      <c r="AY15" s="194" t="str">
        <f>IFERROR(IF(PAC!$X15="F02 - LICITAÇÃO",1,""),"")</f>
        <v/>
      </c>
      <c r="AZ15" s="123">
        <f>IFERROR(IF(PAC!$X$6:$X$581="F03 - EXECUÇÃO DO OBJETO",1,""),"")</f>
        <v>1</v>
      </c>
      <c r="BA15" s="123" t="str">
        <f>IFERROR(IF(PAC!$X$6:$X$581="F04 - CONCLUÍDA",1,""),"")</f>
        <v/>
      </c>
      <c r="BB15" s="191">
        <f>IF(PAC!$R15&gt;0,0,PAC!$Q15)</f>
        <v>118800000</v>
      </c>
    </row>
    <row r="16" spans="1:70" ht="228" hidden="1" customHeight="1" thickBot="1">
      <c r="A16" s="88">
        <f t="shared" si="0"/>
        <v>11</v>
      </c>
      <c r="B16" s="101">
        <v>2023</v>
      </c>
      <c r="C16" s="88" t="s">
        <v>605</v>
      </c>
      <c r="D16" s="88" t="s">
        <v>1010</v>
      </c>
      <c r="E16" s="102" t="s">
        <v>479</v>
      </c>
      <c r="F16" s="88" t="s">
        <v>56</v>
      </c>
      <c r="G16" s="88" t="s">
        <v>507</v>
      </c>
      <c r="H16" s="40" t="s">
        <v>1245</v>
      </c>
      <c r="I16" s="88" t="s">
        <v>468</v>
      </c>
      <c r="J16" s="88" t="s">
        <v>184</v>
      </c>
      <c r="K16" s="18"/>
      <c r="L16" s="18">
        <v>5000000</v>
      </c>
      <c r="M16" s="18">
        <v>2588139.29</v>
      </c>
      <c r="N16" s="18"/>
      <c r="O16" s="18"/>
      <c r="P16" s="18"/>
      <c r="Q16" s="20">
        <f>SUM(PAC!$M16:$P16)</f>
        <v>2588139.29</v>
      </c>
      <c r="R16" s="20">
        <v>3058146.12</v>
      </c>
      <c r="S16" s="20">
        <f>IF(PAC!$R16&gt;0,PAC!$R16,PAC!$Q16)</f>
        <v>3058146.12</v>
      </c>
      <c r="T16" s="20" t="s">
        <v>1600</v>
      </c>
      <c r="U16" s="103" t="s">
        <v>1570</v>
      </c>
      <c r="V16" s="103"/>
      <c r="W16" s="104">
        <v>8</v>
      </c>
      <c r="X16" s="104" t="s">
        <v>1490</v>
      </c>
      <c r="Y16" s="101" t="s">
        <v>2482</v>
      </c>
      <c r="Z16" s="87">
        <v>46094</v>
      </c>
      <c r="AA16" s="105">
        <v>100</v>
      </c>
      <c r="AB16" s="40"/>
      <c r="AC16" s="40"/>
      <c r="AD16" s="106"/>
      <c r="AE16" s="102" t="s">
        <v>685</v>
      </c>
      <c r="AF16" s="40" t="s">
        <v>485</v>
      </c>
      <c r="AG16" s="40"/>
      <c r="AH16" s="40"/>
      <c r="AI16" s="40"/>
      <c r="AJ16" s="87"/>
      <c r="AK16" s="40" t="s">
        <v>1094</v>
      </c>
      <c r="AL16" s="40" t="s">
        <v>1103</v>
      </c>
      <c r="AM16" s="40"/>
      <c r="AN16" s="87">
        <v>45588</v>
      </c>
      <c r="AO16" s="87">
        <v>45639</v>
      </c>
      <c r="AP16" s="87">
        <v>45714</v>
      </c>
      <c r="AQ16" s="87">
        <v>45727</v>
      </c>
      <c r="AR16" s="107">
        <v>45969</v>
      </c>
      <c r="AS16" s="107">
        <v>46094</v>
      </c>
      <c r="AT16" s="102" t="s">
        <v>2138</v>
      </c>
      <c r="AU16" s="108"/>
      <c r="AV16" s="106"/>
      <c r="AW16" s="105" t="s">
        <v>481</v>
      </c>
      <c r="AX16" s="109" t="str">
        <f>IFERROR(IF(PAC!$X16="F01 - CAPTAÇÃO DE RECURSO",1,""),"")</f>
        <v/>
      </c>
      <c r="AY16" s="109" t="str">
        <f>IFERROR(IF(PAC!$X16="F02 - LICITAÇÃO",1,""),"")</f>
        <v/>
      </c>
      <c r="AZ16" s="110" t="str">
        <f>IFERROR(IF(PAC!$X$6:$X$581="F03 - EXECUÇÃO DO OBJETO",1,""),"")</f>
        <v/>
      </c>
      <c r="BA16" s="110">
        <f>IFERROR(IF(PAC!$X$6:$X$581="F04 - CONCLUÍDA",1,""),"")</f>
        <v>1</v>
      </c>
      <c r="BB16" s="111">
        <f>IF(PAC!$R16&gt;0,0,PAC!$Q16)</f>
        <v>0</v>
      </c>
      <c r="BC16" s="61"/>
      <c r="BF16" s="61"/>
      <c r="BH16" s="61"/>
      <c r="BI16" s="61"/>
      <c r="BP16" s="61"/>
      <c r="BQ16" s="61"/>
      <c r="BR16" s="61"/>
    </row>
    <row r="17" spans="1:70" ht="208.5" hidden="1" customHeight="1" thickBot="1">
      <c r="A17" s="112">
        <f t="shared" si="0"/>
        <v>12</v>
      </c>
      <c r="B17" s="112">
        <v>2026</v>
      </c>
      <c r="C17" s="112" t="s">
        <v>605</v>
      </c>
      <c r="D17" s="112" t="s">
        <v>1010</v>
      </c>
      <c r="E17" s="130" t="s">
        <v>2124</v>
      </c>
      <c r="F17" s="115" t="s">
        <v>56</v>
      </c>
      <c r="G17" s="115" t="s">
        <v>2125</v>
      </c>
      <c r="H17" s="112" t="s">
        <v>1245</v>
      </c>
      <c r="I17" s="112" t="s">
        <v>468</v>
      </c>
      <c r="J17" s="112" t="s">
        <v>95</v>
      </c>
      <c r="K17" s="31"/>
      <c r="L17" s="31"/>
      <c r="M17" s="31">
        <v>13847802.4</v>
      </c>
      <c r="N17" s="31"/>
      <c r="O17" s="31"/>
      <c r="P17" s="31"/>
      <c r="Q17" s="33">
        <f>SUM(PAC!$M17:$P17)</f>
        <v>13847802.4</v>
      </c>
      <c r="R17" s="33">
        <v>13847802.4</v>
      </c>
      <c r="S17" s="33">
        <f>IF(PAC!$R17&gt;0,PAC!$R17,PAC!$Q17)</f>
        <v>13847802.4</v>
      </c>
      <c r="T17" s="33" t="s">
        <v>1605</v>
      </c>
      <c r="U17" s="116" t="s">
        <v>1562</v>
      </c>
      <c r="V17" s="116"/>
      <c r="W17" s="117">
        <v>10</v>
      </c>
      <c r="X17" s="117" t="s">
        <v>1694</v>
      </c>
      <c r="Y17" s="113" t="s">
        <v>2470</v>
      </c>
      <c r="Z17" s="118">
        <v>46473</v>
      </c>
      <c r="AA17" s="119">
        <v>3</v>
      </c>
      <c r="AB17" s="115" t="s">
        <v>1472</v>
      </c>
      <c r="AC17" s="115" t="s">
        <v>1492</v>
      </c>
      <c r="AD17" s="120"/>
      <c r="AE17" s="114" t="s">
        <v>2282</v>
      </c>
      <c r="AF17" s="115"/>
      <c r="AG17" s="115" t="s">
        <v>2254</v>
      </c>
      <c r="AH17" s="115"/>
      <c r="AI17" s="115"/>
      <c r="AJ17" s="118"/>
      <c r="AK17" s="115"/>
      <c r="AL17" s="115" t="s">
        <v>2144</v>
      </c>
      <c r="AM17" s="115"/>
      <c r="AN17" s="118">
        <v>46095</v>
      </c>
      <c r="AO17" s="118">
        <v>46153</v>
      </c>
      <c r="AP17" s="118">
        <v>46167</v>
      </c>
      <c r="AQ17" s="118">
        <v>46169</v>
      </c>
      <c r="AR17" s="121">
        <v>46473</v>
      </c>
      <c r="AS17" s="121">
        <v>46473</v>
      </c>
      <c r="AT17" s="114"/>
      <c r="AU17" s="122"/>
      <c r="AV17" s="120"/>
      <c r="AW17" s="131" t="s">
        <v>481</v>
      </c>
      <c r="AX17" s="194" t="str">
        <f>IFERROR(IF(PAC!$X17="F01 - CAPTAÇÃO DE RECURSO",1,""),"")</f>
        <v/>
      </c>
      <c r="AY17" s="194" t="str">
        <f>IFERROR(IF(PAC!$X17="F02 - LICITAÇÃO",1,""),"")</f>
        <v/>
      </c>
      <c r="AZ17" s="123">
        <f>IFERROR(IF(PAC!$X$6:$X$581="F03 - EXECUÇÃO DO OBJETO",1,""),"")</f>
        <v>1</v>
      </c>
      <c r="BA17" s="123" t="str">
        <f>IFERROR(IF(PAC!$X$6:$X$581="F04 - CONCLUÍDA",1,""),"")</f>
        <v/>
      </c>
      <c r="BB17" s="191">
        <f>IF(PAC!$R17&gt;0,0,PAC!$Q17)</f>
        <v>0</v>
      </c>
      <c r="BC17" s="61"/>
      <c r="BF17" s="61"/>
      <c r="BH17" s="61"/>
      <c r="BI17" s="61"/>
      <c r="BP17" s="61"/>
      <c r="BQ17" s="61"/>
      <c r="BR17" s="61"/>
    </row>
    <row r="18" spans="1:70" ht="189.75" hidden="1" customHeight="1" thickBot="1">
      <c r="A18" s="88">
        <f t="shared" si="0"/>
        <v>13</v>
      </c>
      <c r="B18" s="88">
        <v>2026</v>
      </c>
      <c r="C18" s="88" t="s">
        <v>605</v>
      </c>
      <c r="D18" s="88" t="s">
        <v>1010</v>
      </c>
      <c r="E18" s="89" t="s">
        <v>2124</v>
      </c>
      <c r="F18" s="40" t="s">
        <v>56</v>
      </c>
      <c r="G18" s="40" t="s">
        <v>2125</v>
      </c>
      <c r="H18" s="88" t="s">
        <v>1245</v>
      </c>
      <c r="I18" s="88" t="s">
        <v>468</v>
      </c>
      <c r="J18" s="88" t="s">
        <v>243</v>
      </c>
      <c r="K18" s="18"/>
      <c r="L18" s="18"/>
      <c r="M18" s="18">
        <v>12532184.529999999</v>
      </c>
      <c r="N18" s="18"/>
      <c r="O18" s="18"/>
      <c r="P18" s="18"/>
      <c r="Q18" s="20">
        <f>SUM(PAC!$M18:$P18)</f>
        <v>12532184.529999999</v>
      </c>
      <c r="R18" s="20">
        <v>12532184.529999999</v>
      </c>
      <c r="S18" s="20">
        <f>IF(PAC!$R18&gt;0,PAC!$R18,PAC!$Q18)</f>
        <v>12532184.529999999</v>
      </c>
      <c r="T18" s="20" t="s">
        <v>2281</v>
      </c>
      <c r="U18" s="103" t="s">
        <v>1562</v>
      </c>
      <c r="V18" s="103"/>
      <c r="W18" s="104">
        <v>10</v>
      </c>
      <c r="X18" s="104" t="s">
        <v>1694</v>
      </c>
      <c r="Y18" s="101" t="s">
        <v>2470</v>
      </c>
      <c r="Z18" s="87">
        <v>46489</v>
      </c>
      <c r="AA18" s="105">
        <v>0.01</v>
      </c>
      <c r="AB18" s="40" t="s">
        <v>1472</v>
      </c>
      <c r="AC18" s="40" t="s">
        <v>1492</v>
      </c>
      <c r="AD18" s="106"/>
      <c r="AE18" s="102" t="s">
        <v>2282</v>
      </c>
      <c r="AF18" s="40"/>
      <c r="AG18" s="40" t="s">
        <v>2255</v>
      </c>
      <c r="AH18" s="40"/>
      <c r="AI18" s="40"/>
      <c r="AJ18" s="87"/>
      <c r="AK18" s="40"/>
      <c r="AL18" s="40" t="s">
        <v>2145</v>
      </c>
      <c r="AM18" s="40"/>
      <c r="AN18" s="87">
        <v>46095</v>
      </c>
      <c r="AO18" s="87">
        <v>46155</v>
      </c>
      <c r="AP18" s="87">
        <v>46185</v>
      </c>
      <c r="AQ18" s="87">
        <v>46185</v>
      </c>
      <c r="AR18" s="107">
        <v>46489</v>
      </c>
      <c r="AS18" s="107">
        <v>46489</v>
      </c>
      <c r="AT18" s="102"/>
      <c r="AU18" s="108"/>
      <c r="AV18" s="106"/>
      <c r="AW18" s="129" t="s">
        <v>481</v>
      </c>
      <c r="AX18" s="109" t="str">
        <f>IFERROR(IF(PAC!$X18="F01 - CAPTAÇÃO DE RECURSO",1,""),"")</f>
        <v/>
      </c>
      <c r="AY18" s="109" t="str">
        <f>IFERROR(IF(PAC!$X18="F02 - LICITAÇÃO",1,""),"")</f>
        <v/>
      </c>
      <c r="AZ18" s="110">
        <f>IFERROR(IF(PAC!$X$6:$X$581="F03 - EXECUÇÃO DO OBJETO",1,""),"")</f>
        <v>1</v>
      </c>
      <c r="BA18" s="110" t="str">
        <f>IFERROR(IF(PAC!$X$6:$X$581="F04 - CONCLUÍDA",1,""),"")</f>
        <v/>
      </c>
      <c r="BB18" s="111">
        <f>IF(PAC!$R18&gt;0,0,PAC!$Q18)</f>
        <v>0</v>
      </c>
      <c r="BC18" s="61"/>
      <c r="BF18" s="61"/>
      <c r="BH18" s="61"/>
      <c r="BI18" s="61"/>
      <c r="BP18" s="61"/>
      <c r="BQ18" s="61"/>
      <c r="BR18" s="61"/>
    </row>
    <row r="19" spans="1:70" ht="201" hidden="1" customHeight="1" thickBot="1">
      <c r="A19" s="112">
        <f t="shared" si="0"/>
        <v>14</v>
      </c>
      <c r="B19" s="112">
        <v>2026</v>
      </c>
      <c r="C19" s="112" t="s">
        <v>605</v>
      </c>
      <c r="D19" s="112" t="s">
        <v>1010</v>
      </c>
      <c r="E19" s="130" t="s">
        <v>2124</v>
      </c>
      <c r="F19" s="115" t="s">
        <v>56</v>
      </c>
      <c r="G19" s="115" t="s">
        <v>2125</v>
      </c>
      <c r="H19" s="112" t="s">
        <v>1245</v>
      </c>
      <c r="I19" s="112" t="s">
        <v>468</v>
      </c>
      <c r="J19" s="112" t="s">
        <v>127</v>
      </c>
      <c r="K19" s="31"/>
      <c r="L19" s="31"/>
      <c r="M19" s="31">
        <v>12030678.09</v>
      </c>
      <c r="N19" s="31"/>
      <c r="O19" s="31"/>
      <c r="P19" s="31"/>
      <c r="Q19" s="33">
        <f>SUM(PAC!$M19:$P19)</f>
        <v>12030678.09</v>
      </c>
      <c r="R19" s="33">
        <v>12030678.09</v>
      </c>
      <c r="S19" s="33">
        <f>IF(PAC!$R19&gt;0,PAC!$R19,PAC!$Q19)</f>
        <v>12030678.09</v>
      </c>
      <c r="T19" s="33" t="s">
        <v>1605</v>
      </c>
      <c r="U19" s="116" t="s">
        <v>1562</v>
      </c>
      <c r="V19" s="116"/>
      <c r="W19" s="117">
        <v>10</v>
      </c>
      <c r="X19" s="117" t="s">
        <v>1694</v>
      </c>
      <c r="Y19" s="113" t="s">
        <v>2470</v>
      </c>
      <c r="Z19" s="118">
        <v>46562</v>
      </c>
      <c r="AA19" s="119">
        <v>0</v>
      </c>
      <c r="AB19" s="115" t="s">
        <v>1472</v>
      </c>
      <c r="AC19" s="115" t="s">
        <v>1492</v>
      </c>
      <c r="AD19" s="120"/>
      <c r="AE19" s="114" t="s">
        <v>2282</v>
      </c>
      <c r="AF19" s="115"/>
      <c r="AG19" s="115" t="s">
        <v>2256</v>
      </c>
      <c r="AH19" s="115"/>
      <c r="AI19" s="115"/>
      <c r="AJ19" s="118"/>
      <c r="AK19" s="115"/>
      <c r="AL19" s="115" t="s">
        <v>2146</v>
      </c>
      <c r="AM19" s="115"/>
      <c r="AN19" s="118">
        <v>46095</v>
      </c>
      <c r="AO19" s="118">
        <v>46157</v>
      </c>
      <c r="AP19" s="118">
        <v>46256</v>
      </c>
      <c r="AQ19" s="118">
        <v>46258</v>
      </c>
      <c r="AR19" s="121">
        <v>46562</v>
      </c>
      <c r="AS19" s="121">
        <v>46562</v>
      </c>
      <c r="AT19" s="114"/>
      <c r="AU19" s="122"/>
      <c r="AV19" s="120"/>
      <c r="AW19" s="131" t="s">
        <v>481</v>
      </c>
      <c r="AX19" s="194" t="str">
        <f>IFERROR(IF(PAC!$X19="F01 - CAPTAÇÃO DE RECURSO",1,""),"")</f>
        <v/>
      </c>
      <c r="AY19" s="194" t="str">
        <f>IFERROR(IF(PAC!$X19="F02 - LICITAÇÃO",1,""),"")</f>
        <v/>
      </c>
      <c r="AZ19" s="123">
        <f>IFERROR(IF(PAC!$X$6:$X$581="F03 - EXECUÇÃO DO OBJETO",1,""),"")</f>
        <v>1</v>
      </c>
      <c r="BA19" s="123" t="str">
        <f>IFERROR(IF(PAC!$X$6:$X$581="F04 - CONCLUÍDA",1,""),"")</f>
        <v/>
      </c>
      <c r="BB19" s="191">
        <f>IF(PAC!$R19&gt;0,0,PAC!$Q19)</f>
        <v>0</v>
      </c>
      <c r="BC19" s="61"/>
      <c r="BF19" s="61"/>
      <c r="BH19" s="61"/>
      <c r="BI19" s="61"/>
      <c r="BP19" s="61"/>
      <c r="BQ19" s="61"/>
      <c r="BR19" s="61"/>
    </row>
    <row r="20" spans="1:70" ht="227.25" hidden="1" customHeight="1" thickBot="1">
      <c r="A20" s="88">
        <f t="shared" si="0"/>
        <v>15</v>
      </c>
      <c r="B20" s="101">
        <v>2023</v>
      </c>
      <c r="C20" s="88" t="s">
        <v>605</v>
      </c>
      <c r="D20" s="88" t="s">
        <v>1010</v>
      </c>
      <c r="E20" s="102" t="s">
        <v>502</v>
      </c>
      <c r="F20" s="88" t="s">
        <v>450</v>
      </c>
      <c r="G20" s="88" t="s">
        <v>504</v>
      </c>
      <c r="H20" s="40" t="s">
        <v>1242</v>
      </c>
      <c r="I20" s="88" t="s">
        <v>1238</v>
      </c>
      <c r="J20" s="88" t="s">
        <v>95</v>
      </c>
      <c r="K20" s="18"/>
      <c r="L20" s="18"/>
      <c r="M20" s="18">
        <v>2066482.18</v>
      </c>
      <c r="N20" s="18"/>
      <c r="O20" s="18">
        <v>718166.39</v>
      </c>
      <c r="P20" s="18"/>
      <c r="Q20" s="20">
        <f>SUM(PAC!$M20:$P20)</f>
        <v>2784648.57</v>
      </c>
      <c r="R20" s="20">
        <v>3251366.25</v>
      </c>
      <c r="S20" s="20">
        <f>IF(PAC!$R20&gt;0,PAC!$R20,PAC!$Q20)</f>
        <v>3251366.25</v>
      </c>
      <c r="T20" s="20"/>
      <c r="U20" s="103" t="s">
        <v>1564</v>
      </c>
      <c r="V20" s="103"/>
      <c r="W20" s="104">
        <v>8</v>
      </c>
      <c r="X20" s="104" t="s">
        <v>1418</v>
      </c>
      <c r="Y20" s="101" t="s">
        <v>2472</v>
      </c>
      <c r="Z20" s="87"/>
      <c r="AA20" s="105"/>
      <c r="AB20" s="40" t="s">
        <v>1465</v>
      </c>
      <c r="AC20" s="40"/>
      <c r="AD20" s="106"/>
      <c r="AE20" s="102" t="s">
        <v>1869</v>
      </c>
      <c r="AF20" s="40" t="s">
        <v>920</v>
      </c>
      <c r="AG20" s="40" t="s">
        <v>616</v>
      </c>
      <c r="AH20" s="40" t="s">
        <v>977</v>
      </c>
      <c r="AI20" s="40"/>
      <c r="AJ20" s="87"/>
      <c r="AK20" s="40" t="s">
        <v>1037</v>
      </c>
      <c r="AL20" s="40" t="s">
        <v>1251</v>
      </c>
      <c r="AM20" s="40"/>
      <c r="AN20" s="87">
        <v>46066</v>
      </c>
      <c r="AO20" s="87">
        <v>46148</v>
      </c>
      <c r="AP20" s="87"/>
      <c r="AQ20" s="87"/>
      <c r="AR20" s="107"/>
      <c r="AS20" s="107"/>
      <c r="AT20" s="102" t="s">
        <v>1825</v>
      </c>
      <c r="AU20" s="108" t="s">
        <v>2465</v>
      </c>
      <c r="AV20" s="106"/>
      <c r="AW20" s="105" t="s">
        <v>2466</v>
      </c>
      <c r="AX20" s="109" t="str">
        <f>IFERROR(IF(PAC!$X20="F01 - CAPTAÇÃO DE RECURSO",1,""),"")</f>
        <v/>
      </c>
      <c r="AY20" s="109">
        <f>IFERROR(IF(PAC!$X20="F02 - LICITAÇÃO",1,""),"")</f>
        <v>1</v>
      </c>
      <c r="AZ20" s="110" t="str">
        <f>IFERROR(IF(PAC!$X$6:$X$581="F03 - EXECUÇÃO DO OBJETO",1,""),"")</f>
        <v/>
      </c>
      <c r="BA20" s="110" t="str">
        <f>IFERROR(IF(PAC!$X$6:$X$581="F04 - CONCLUÍDA",1,""),"")</f>
        <v/>
      </c>
      <c r="BB20" s="111">
        <f>IF(PAC!$R20&gt;0,0,PAC!$Q20)</f>
        <v>0</v>
      </c>
      <c r="BC20" s="61"/>
      <c r="BF20" s="61"/>
      <c r="BH20" s="61"/>
      <c r="BI20" s="61"/>
      <c r="BP20" s="61"/>
      <c r="BQ20" s="61"/>
      <c r="BR20" s="61"/>
    </row>
    <row r="21" spans="1:70" ht="227.25" hidden="1" customHeight="1" thickBot="1">
      <c r="A21" s="112">
        <f t="shared" si="0"/>
        <v>16</v>
      </c>
      <c r="B21" s="113">
        <v>2023</v>
      </c>
      <c r="C21" s="112" t="s">
        <v>605</v>
      </c>
      <c r="D21" s="112" t="s">
        <v>1010</v>
      </c>
      <c r="E21" s="114" t="s">
        <v>502</v>
      </c>
      <c r="F21" s="112" t="s">
        <v>450</v>
      </c>
      <c r="G21" s="112" t="s">
        <v>504</v>
      </c>
      <c r="H21" s="115" t="s">
        <v>1242</v>
      </c>
      <c r="I21" s="112" t="s">
        <v>1238</v>
      </c>
      <c r="J21" s="112" t="s">
        <v>117</v>
      </c>
      <c r="K21" s="31"/>
      <c r="L21" s="31"/>
      <c r="M21" s="31">
        <v>2066482.18</v>
      </c>
      <c r="N21" s="31"/>
      <c r="O21" s="31">
        <v>333538.40000000002</v>
      </c>
      <c r="P21" s="31"/>
      <c r="Q21" s="33">
        <f>SUM(PAC!$M21:$P21)</f>
        <v>2400020.58</v>
      </c>
      <c r="R21" s="33">
        <v>2716453.18</v>
      </c>
      <c r="S21" s="33">
        <f>IF(PAC!$R21&gt;0,PAC!$R21,PAC!$Q21)</f>
        <v>2716453.18</v>
      </c>
      <c r="T21" s="33"/>
      <c r="U21" s="116" t="s">
        <v>1572</v>
      </c>
      <c r="V21" s="116"/>
      <c r="W21" s="117">
        <v>8</v>
      </c>
      <c r="X21" s="117" t="s">
        <v>1418</v>
      </c>
      <c r="Y21" s="113" t="s">
        <v>2472</v>
      </c>
      <c r="Z21" s="118"/>
      <c r="AA21" s="119"/>
      <c r="AB21" s="115" t="s">
        <v>1465</v>
      </c>
      <c r="AC21" s="115"/>
      <c r="AD21" s="120"/>
      <c r="AE21" s="114" t="s">
        <v>1865</v>
      </c>
      <c r="AF21" s="115" t="s">
        <v>918</v>
      </c>
      <c r="AG21" s="115" t="s">
        <v>617</v>
      </c>
      <c r="AH21" s="115" t="s">
        <v>977</v>
      </c>
      <c r="AI21" s="115"/>
      <c r="AJ21" s="118"/>
      <c r="AK21" s="115" t="s">
        <v>1038</v>
      </c>
      <c r="AL21" s="115" t="s">
        <v>1252</v>
      </c>
      <c r="AM21" s="115"/>
      <c r="AN21" s="118">
        <v>46066</v>
      </c>
      <c r="AO21" s="118">
        <v>46148</v>
      </c>
      <c r="AP21" s="118"/>
      <c r="AQ21" s="118"/>
      <c r="AR21" s="121"/>
      <c r="AS21" s="121"/>
      <c r="AT21" s="114" t="s">
        <v>1826</v>
      </c>
      <c r="AU21" s="115" t="s">
        <v>2054</v>
      </c>
      <c r="AV21" s="120"/>
      <c r="AW21" s="119" t="s">
        <v>2466</v>
      </c>
      <c r="AX21" s="194" t="str">
        <f>IFERROR(IF(PAC!$X21="F01 - CAPTAÇÃO DE RECURSO",1,""),"")</f>
        <v/>
      </c>
      <c r="AY21" s="194">
        <f>IFERROR(IF(PAC!$X21="F02 - LICITAÇÃO",1,""),"")</f>
        <v>1</v>
      </c>
      <c r="AZ21" s="123" t="str">
        <f>IFERROR(IF(PAC!$X$6:$X$581="F03 - EXECUÇÃO DO OBJETO",1,""),"")</f>
        <v/>
      </c>
      <c r="BA21" s="123" t="str">
        <f>IFERROR(IF(PAC!$X$6:$X$581="F04 - CONCLUÍDA",1,""),"")</f>
        <v/>
      </c>
      <c r="BB21" s="191">
        <f>IF(PAC!$R21&gt;0,0,PAC!$Q21)</f>
        <v>0</v>
      </c>
      <c r="BC21" s="61"/>
      <c r="BF21" s="61"/>
      <c r="BH21" s="61"/>
      <c r="BI21" s="61"/>
      <c r="BP21" s="61"/>
      <c r="BQ21" s="61"/>
      <c r="BR21" s="61"/>
    </row>
    <row r="22" spans="1:70" ht="227.25" hidden="1" customHeight="1" thickBot="1">
      <c r="A22" s="88">
        <f t="shared" si="0"/>
        <v>17</v>
      </c>
      <c r="B22" s="101">
        <v>2023</v>
      </c>
      <c r="C22" s="88" t="s">
        <v>605</v>
      </c>
      <c r="D22" s="88" t="s">
        <v>1010</v>
      </c>
      <c r="E22" s="102" t="s">
        <v>502</v>
      </c>
      <c r="F22" s="88" t="s">
        <v>450</v>
      </c>
      <c r="G22" s="88" t="s">
        <v>504</v>
      </c>
      <c r="H22" s="40" t="s">
        <v>1242</v>
      </c>
      <c r="I22" s="88" t="s">
        <v>1238</v>
      </c>
      <c r="J22" s="88" t="s">
        <v>374</v>
      </c>
      <c r="K22" s="18"/>
      <c r="L22" s="18"/>
      <c r="M22" s="18">
        <v>2066482.18</v>
      </c>
      <c r="N22" s="18"/>
      <c r="O22" s="18">
        <v>555569.93999999994</v>
      </c>
      <c r="P22" s="18"/>
      <c r="Q22" s="20">
        <f>SUM(PAC!$M22:$P22)</f>
        <v>2622052.12</v>
      </c>
      <c r="R22" s="20">
        <v>3199451.6</v>
      </c>
      <c r="S22" s="20">
        <f>IF(PAC!$R22&gt;0,PAC!$R22,PAC!$Q22)</f>
        <v>3199451.6</v>
      </c>
      <c r="T22" s="20"/>
      <c r="U22" s="103" t="s">
        <v>1572</v>
      </c>
      <c r="V22" s="103"/>
      <c r="W22" s="104">
        <v>8</v>
      </c>
      <c r="X22" s="104" t="s">
        <v>1418</v>
      </c>
      <c r="Y22" s="101" t="s">
        <v>2472</v>
      </c>
      <c r="Z22" s="87"/>
      <c r="AA22" s="105"/>
      <c r="AB22" s="40" t="s">
        <v>1465</v>
      </c>
      <c r="AC22" s="40"/>
      <c r="AD22" s="106"/>
      <c r="AE22" s="102" t="s">
        <v>1865</v>
      </c>
      <c r="AF22" s="40" t="s">
        <v>921</v>
      </c>
      <c r="AG22" s="40" t="s">
        <v>618</v>
      </c>
      <c r="AH22" s="40" t="s">
        <v>977</v>
      </c>
      <c r="AI22" s="40"/>
      <c r="AJ22" s="87"/>
      <c r="AK22" s="40" t="s">
        <v>1039</v>
      </c>
      <c r="AL22" s="40" t="s">
        <v>2714</v>
      </c>
      <c r="AM22" s="40"/>
      <c r="AN22" s="87">
        <v>46066</v>
      </c>
      <c r="AO22" s="87">
        <v>46148</v>
      </c>
      <c r="AP22" s="87"/>
      <c r="AQ22" s="87"/>
      <c r="AR22" s="107"/>
      <c r="AS22" s="107"/>
      <c r="AT22" s="102" t="s">
        <v>1827</v>
      </c>
      <c r="AU22" s="40" t="s">
        <v>2054</v>
      </c>
      <c r="AV22" s="106"/>
      <c r="AW22" s="105" t="s">
        <v>2466</v>
      </c>
      <c r="AX22" s="109" t="str">
        <f>IFERROR(IF(PAC!$X22="F01 - CAPTAÇÃO DE RECURSO",1,""),"")</f>
        <v/>
      </c>
      <c r="AY22" s="109">
        <f>IFERROR(IF(PAC!$X22="F02 - LICITAÇÃO",1,""),"")</f>
        <v>1</v>
      </c>
      <c r="AZ22" s="110" t="str">
        <f>IFERROR(IF(PAC!$X$6:$X$581="F03 - EXECUÇÃO DO OBJETO",1,""),"")</f>
        <v/>
      </c>
      <c r="BA22" s="110" t="str">
        <f>IFERROR(IF(PAC!$X$6:$X$581="F04 - CONCLUÍDA",1,""),"")</f>
        <v/>
      </c>
      <c r="BB22" s="111">
        <f>IF(PAC!$R22&gt;0,0,PAC!$Q22)</f>
        <v>0</v>
      </c>
      <c r="BC22" s="61"/>
      <c r="BF22" s="61"/>
      <c r="BH22" s="61"/>
      <c r="BI22" s="61"/>
      <c r="BP22" s="61"/>
      <c r="BQ22" s="61"/>
      <c r="BR22" s="61"/>
    </row>
    <row r="23" spans="1:70" ht="227.25" hidden="1" customHeight="1" thickBot="1">
      <c r="A23" s="112">
        <f t="shared" si="0"/>
        <v>18</v>
      </c>
      <c r="B23" s="113">
        <v>2023</v>
      </c>
      <c r="C23" s="112" t="s">
        <v>605</v>
      </c>
      <c r="D23" s="112" t="s">
        <v>1010</v>
      </c>
      <c r="E23" s="114" t="s">
        <v>502</v>
      </c>
      <c r="F23" s="112" t="s">
        <v>450</v>
      </c>
      <c r="G23" s="112" t="s">
        <v>504</v>
      </c>
      <c r="H23" s="115" t="s">
        <v>1242</v>
      </c>
      <c r="I23" s="112" t="s">
        <v>1238</v>
      </c>
      <c r="J23" s="112" t="s">
        <v>72</v>
      </c>
      <c r="K23" s="31"/>
      <c r="L23" s="31"/>
      <c r="M23" s="31">
        <v>2066482.18</v>
      </c>
      <c r="N23" s="31"/>
      <c r="O23" s="31">
        <v>289993.02</v>
      </c>
      <c r="P23" s="31"/>
      <c r="Q23" s="33">
        <f>SUM(PAC!$M23:$P23)</f>
        <v>2356475.2000000002</v>
      </c>
      <c r="R23" s="33">
        <v>2541702.89</v>
      </c>
      <c r="S23" s="33">
        <f>IF(PAC!$R23&gt;0,PAC!$R23,PAC!$Q23)</f>
        <v>2541702.89</v>
      </c>
      <c r="T23" s="33" t="s">
        <v>2491</v>
      </c>
      <c r="U23" s="116" t="s">
        <v>1572</v>
      </c>
      <c r="V23" s="116"/>
      <c r="W23" s="117">
        <v>8</v>
      </c>
      <c r="X23" s="117" t="s">
        <v>1418</v>
      </c>
      <c r="Y23" s="113" t="s">
        <v>2471</v>
      </c>
      <c r="Z23" s="118"/>
      <c r="AA23" s="119"/>
      <c r="AB23" s="115" t="s">
        <v>1468</v>
      </c>
      <c r="AC23" s="115" t="s">
        <v>2294</v>
      </c>
      <c r="AD23" s="120"/>
      <c r="AE23" s="114" t="s">
        <v>1865</v>
      </c>
      <c r="AF23" s="115" t="s">
        <v>923</v>
      </c>
      <c r="AG23" s="115" t="s">
        <v>621</v>
      </c>
      <c r="AH23" s="115" t="s">
        <v>977</v>
      </c>
      <c r="AI23" s="115"/>
      <c r="AJ23" s="118"/>
      <c r="AK23" s="115" t="s">
        <v>1042</v>
      </c>
      <c r="AL23" s="115" t="s">
        <v>2715</v>
      </c>
      <c r="AM23" s="115"/>
      <c r="AN23" s="118">
        <v>46066</v>
      </c>
      <c r="AO23" s="118">
        <v>46147</v>
      </c>
      <c r="AP23" s="118">
        <v>46239</v>
      </c>
      <c r="AQ23" s="118"/>
      <c r="AR23" s="121"/>
      <c r="AS23" s="121"/>
      <c r="AT23" s="114" t="s">
        <v>1828</v>
      </c>
      <c r="AU23" s="115" t="s">
        <v>2447</v>
      </c>
      <c r="AV23" s="120"/>
      <c r="AW23" s="119" t="s">
        <v>2466</v>
      </c>
      <c r="AX23" s="194" t="str">
        <f>IFERROR(IF(PAC!$X23="F01 - CAPTAÇÃO DE RECURSO",1,""),"")</f>
        <v/>
      </c>
      <c r="AY23" s="194">
        <f>IFERROR(IF(PAC!$X23="F02 - LICITAÇÃO",1,""),"")</f>
        <v>1</v>
      </c>
      <c r="AZ23" s="123" t="str">
        <f>IFERROR(IF(PAC!$X$6:$X$581="F03 - EXECUÇÃO DO OBJETO",1,""),"")</f>
        <v/>
      </c>
      <c r="BA23" s="123" t="str">
        <f>IFERROR(IF(PAC!$X$6:$X$581="F04 - CONCLUÍDA",1,""),"")</f>
        <v/>
      </c>
      <c r="BB23" s="191">
        <f>IF(PAC!$R23&gt;0,0,PAC!$Q23)</f>
        <v>0</v>
      </c>
      <c r="BC23" s="61"/>
      <c r="BF23" s="61"/>
      <c r="BH23" s="61"/>
      <c r="BI23" s="61"/>
      <c r="BP23" s="61"/>
      <c r="BQ23" s="61"/>
      <c r="BR23" s="61"/>
    </row>
    <row r="24" spans="1:70" ht="227.25" hidden="1" customHeight="1" thickBot="1">
      <c r="A24" s="88">
        <f t="shared" si="0"/>
        <v>19</v>
      </c>
      <c r="B24" s="101">
        <v>2023</v>
      </c>
      <c r="C24" s="88" t="s">
        <v>605</v>
      </c>
      <c r="D24" s="88" t="s">
        <v>1010</v>
      </c>
      <c r="E24" s="102" t="s">
        <v>502</v>
      </c>
      <c r="F24" s="88" t="s">
        <v>450</v>
      </c>
      <c r="G24" s="88" t="s">
        <v>504</v>
      </c>
      <c r="H24" s="40" t="s">
        <v>1242</v>
      </c>
      <c r="I24" s="88" t="s">
        <v>1238</v>
      </c>
      <c r="J24" s="88" t="s">
        <v>263</v>
      </c>
      <c r="K24" s="18"/>
      <c r="L24" s="18"/>
      <c r="M24" s="18">
        <v>2066482.18</v>
      </c>
      <c r="N24" s="18"/>
      <c r="O24" s="18">
        <v>506924.27</v>
      </c>
      <c r="P24" s="18"/>
      <c r="Q24" s="20">
        <f>SUM(PAC!$M24:$P24)</f>
        <v>2573406.4500000002</v>
      </c>
      <c r="R24" s="20">
        <v>2889910.73</v>
      </c>
      <c r="S24" s="20">
        <f>IF(PAC!$R24&gt;0,PAC!$R24,PAC!$Q24)</f>
        <v>2889910.73</v>
      </c>
      <c r="T24" s="20" t="s">
        <v>2491</v>
      </c>
      <c r="U24" s="103" t="s">
        <v>1572</v>
      </c>
      <c r="V24" s="103"/>
      <c r="W24" s="104">
        <v>8</v>
      </c>
      <c r="X24" s="104" t="s">
        <v>1418</v>
      </c>
      <c r="Y24" s="101" t="s">
        <v>2471</v>
      </c>
      <c r="Z24" s="87"/>
      <c r="AA24" s="105"/>
      <c r="AB24" s="40" t="s">
        <v>1468</v>
      </c>
      <c r="AC24" s="40" t="s">
        <v>2294</v>
      </c>
      <c r="AD24" s="106"/>
      <c r="AE24" s="102" t="s">
        <v>1867</v>
      </c>
      <c r="AF24" s="40" t="s">
        <v>924</v>
      </c>
      <c r="AG24" s="40" t="s">
        <v>622</v>
      </c>
      <c r="AH24" s="40" t="s">
        <v>977</v>
      </c>
      <c r="AI24" s="40"/>
      <c r="AJ24" s="87"/>
      <c r="AK24" s="40" t="s">
        <v>1043</v>
      </c>
      <c r="AL24" s="40" t="s">
        <v>2716</v>
      </c>
      <c r="AM24" s="40"/>
      <c r="AN24" s="87">
        <v>46066</v>
      </c>
      <c r="AO24" s="87">
        <v>46147</v>
      </c>
      <c r="AP24" s="87">
        <v>46239</v>
      </c>
      <c r="AQ24" s="87"/>
      <c r="AR24" s="107"/>
      <c r="AS24" s="107"/>
      <c r="AT24" s="102" t="s">
        <v>1829</v>
      </c>
      <c r="AU24" s="40" t="s">
        <v>2448</v>
      </c>
      <c r="AV24" s="106"/>
      <c r="AW24" s="105" t="s">
        <v>2466</v>
      </c>
      <c r="AX24" s="109" t="str">
        <f>IFERROR(IF(PAC!$X24="F01 - CAPTAÇÃO DE RECURSO",1,""),"")</f>
        <v/>
      </c>
      <c r="AY24" s="109">
        <f>IFERROR(IF(PAC!$X24="F02 - LICITAÇÃO",1,""),"")</f>
        <v>1</v>
      </c>
      <c r="AZ24" s="110" t="str">
        <f>IFERROR(IF(PAC!$X$6:$X$581="F03 - EXECUÇÃO DO OBJETO",1,""),"")</f>
        <v/>
      </c>
      <c r="BA24" s="110" t="str">
        <f>IFERROR(IF(PAC!$X$6:$X$581="F04 - CONCLUÍDA",1,""),"")</f>
        <v/>
      </c>
      <c r="BB24" s="111">
        <f>IF(PAC!$R24&gt;0,0,PAC!$Q24)</f>
        <v>0</v>
      </c>
      <c r="BC24" s="61"/>
      <c r="BF24" s="61"/>
      <c r="BH24" s="61"/>
      <c r="BI24" s="61"/>
      <c r="BP24" s="61"/>
      <c r="BQ24" s="61"/>
      <c r="BR24" s="61"/>
    </row>
    <row r="25" spans="1:70" ht="227.25" hidden="1" customHeight="1" thickBot="1">
      <c r="A25" s="112">
        <f t="shared" si="0"/>
        <v>20</v>
      </c>
      <c r="B25" s="113">
        <v>2023</v>
      </c>
      <c r="C25" s="112" t="s">
        <v>605</v>
      </c>
      <c r="D25" s="112" t="s">
        <v>1010</v>
      </c>
      <c r="E25" s="114" t="s">
        <v>502</v>
      </c>
      <c r="F25" s="112" t="s">
        <v>450</v>
      </c>
      <c r="G25" s="112" t="s">
        <v>504</v>
      </c>
      <c r="H25" s="115" t="s">
        <v>1242</v>
      </c>
      <c r="I25" s="112" t="s">
        <v>1238</v>
      </c>
      <c r="J25" s="112" t="s">
        <v>144</v>
      </c>
      <c r="K25" s="31"/>
      <c r="L25" s="31"/>
      <c r="M25" s="31">
        <v>2066482.18</v>
      </c>
      <c r="N25" s="31"/>
      <c r="O25" s="31">
        <v>2034674.31</v>
      </c>
      <c r="P25" s="31"/>
      <c r="Q25" s="33">
        <f>SUM(PAC!$M25:$P25)</f>
        <v>4101156.49</v>
      </c>
      <c r="R25" s="33">
        <v>2913740.52</v>
      </c>
      <c r="S25" s="33">
        <f>IF(PAC!$R25&gt;0,PAC!$R25,PAC!$Q25)</f>
        <v>2913740.52</v>
      </c>
      <c r="T25" s="33" t="s">
        <v>2462</v>
      </c>
      <c r="U25" s="116" t="s">
        <v>1572</v>
      </c>
      <c r="V25" s="116"/>
      <c r="W25" s="117">
        <v>8</v>
      </c>
      <c r="X25" s="117" t="s">
        <v>1418</v>
      </c>
      <c r="Y25" s="113" t="s">
        <v>2471</v>
      </c>
      <c r="Z25" s="118"/>
      <c r="AA25" s="119"/>
      <c r="AB25" s="115" t="s">
        <v>1465</v>
      </c>
      <c r="AC25" s="115"/>
      <c r="AD25" s="120"/>
      <c r="AE25" s="114" t="s">
        <v>1866</v>
      </c>
      <c r="AF25" s="115"/>
      <c r="AG25" s="115" t="s">
        <v>1668</v>
      </c>
      <c r="AH25" s="115" t="s">
        <v>977</v>
      </c>
      <c r="AI25" s="115"/>
      <c r="AJ25" s="118"/>
      <c r="AK25" s="115"/>
      <c r="AL25" s="115"/>
      <c r="AM25" s="115"/>
      <c r="AN25" s="118">
        <v>46066</v>
      </c>
      <c r="AO25" s="118">
        <v>46146</v>
      </c>
      <c r="AP25" s="118">
        <v>46224</v>
      </c>
      <c r="AQ25" s="118"/>
      <c r="AR25" s="121"/>
      <c r="AS25" s="121"/>
      <c r="AT25" s="114" t="s">
        <v>2325</v>
      </c>
      <c r="AU25" s="115" t="s">
        <v>2060</v>
      </c>
      <c r="AV25" s="120"/>
      <c r="AW25" s="119" t="s">
        <v>2163</v>
      </c>
      <c r="AX25" s="194" t="str">
        <f>IFERROR(IF(PAC!$X25="F01 - CAPTAÇÃO DE RECURSO",1,""),"")</f>
        <v/>
      </c>
      <c r="AY25" s="194">
        <f>IFERROR(IF(PAC!$X25="F02 - LICITAÇÃO",1,""),"")</f>
        <v>1</v>
      </c>
      <c r="AZ25" s="123" t="str">
        <f>IFERROR(IF(PAC!$X$6:$X$581="F03 - EXECUÇÃO DO OBJETO",1,""),"")</f>
        <v/>
      </c>
      <c r="BA25" s="123" t="str">
        <f>IFERROR(IF(PAC!$X$6:$X$581="F04 - CONCLUÍDA",1,""),"")</f>
        <v/>
      </c>
      <c r="BB25" s="191">
        <f>IF(PAC!$R25&gt;0,0,PAC!$Q25)</f>
        <v>0</v>
      </c>
      <c r="BC25" s="61"/>
      <c r="BF25" s="61"/>
      <c r="BH25" s="61"/>
      <c r="BI25" s="61"/>
      <c r="BP25" s="61"/>
      <c r="BQ25" s="61"/>
      <c r="BR25" s="61"/>
    </row>
    <row r="26" spans="1:70" ht="321.75" hidden="1" customHeight="1" thickBot="1">
      <c r="A26" s="88">
        <f t="shared" si="0"/>
        <v>21</v>
      </c>
      <c r="B26" s="101">
        <v>2023</v>
      </c>
      <c r="C26" s="88" t="s">
        <v>605</v>
      </c>
      <c r="D26" s="88" t="s">
        <v>1010</v>
      </c>
      <c r="E26" s="102" t="s">
        <v>502</v>
      </c>
      <c r="F26" s="88" t="s">
        <v>450</v>
      </c>
      <c r="G26" s="88" t="s">
        <v>504</v>
      </c>
      <c r="H26" s="40" t="s">
        <v>1242</v>
      </c>
      <c r="I26" s="88" t="s">
        <v>1238</v>
      </c>
      <c r="J26" s="88" t="s">
        <v>394</v>
      </c>
      <c r="K26" s="18"/>
      <c r="L26" s="18"/>
      <c r="M26" s="18">
        <v>2066482.18</v>
      </c>
      <c r="N26" s="18"/>
      <c r="O26" s="18">
        <v>368521.17</v>
      </c>
      <c r="P26" s="18"/>
      <c r="Q26" s="20">
        <f>SUM(PAC!$M26:$P26)</f>
        <v>2435003.35</v>
      </c>
      <c r="R26" s="20">
        <v>2617664.69</v>
      </c>
      <c r="S26" s="20">
        <f>IF(PAC!$R26&gt;0,PAC!$R26,PAC!$Q26)</f>
        <v>2617664.69</v>
      </c>
      <c r="T26" s="20" t="s">
        <v>2711</v>
      </c>
      <c r="U26" s="103" t="s">
        <v>1572</v>
      </c>
      <c r="V26" s="103"/>
      <c r="W26" s="104">
        <v>8</v>
      </c>
      <c r="X26" s="104" t="s">
        <v>1418</v>
      </c>
      <c r="Y26" s="101" t="s">
        <v>2471</v>
      </c>
      <c r="Z26" s="87"/>
      <c r="AA26" s="105"/>
      <c r="AB26" s="40" t="s">
        <v>1465</v>
      </c>
      <c r="AC26" s="40"/>
      <c r="AD26" s="106"/>
      <c r="AE26" s="102" t="s">
        <v>2707</v>
      </c>
      <c r="AF26" s="40" t="s">
        <v>925</v>
      </c>
      <c r="AG26" s="40" t="s">
        <v>623</v>
      </c>
      <c r="AH26" s="40" t="s">
        <v>977</v>
      </c>
      <c r="AI26" s="40"/>
      <c r="AJ26" s="87"/>
      <c r="AK26" s="40" t="s">
        <v>1044</v>
      </c>
      <c r="AL26" s="40" t="s">
        <v>2717</v>
      </c>
      <c r="AM26" s="40"/>
      <c r="AN26" s="87">
        <v>46066</v>
      </c>
      <c r="AO26" s="87">
        <v>46147</v>
      </c>
      <c r="AP26" s="87"/>
      <c r="AQ26" s="87"/>
      <c r="AR26" s="107"/>
      <c r="AS26" s="107"/>
      <c r="AT26" s="102" t="s">
        <v>1830</v>
      </c>
      <c r="AU26" s="40" t="s">
        <v>2056</v>
      </c>
      <c r="AV26" s="106"/>
      <c r="AW26" s="105" t="s">
        <v>2466</v>
      </c>
      <c r="AX26" s="109" t="str">
        <f>IFERROR(IF(PAC!$X26="F01 - CAPTAÇÃO DE RECURSO",1,""),"")</f>
        <v/>
      </c>
      <c r="AY26" s="109">
        <f>IFERROR(IF(PAC!$X26="F02 - LICITAÇÃO",1,""),"")</f>
        <v>1</v>
      </c>
      <c r="AZ26" s="110" t="str">
        <f>IFERROR(IF(PAC!$X$6:$X$581="F03 - EXECUÇÃO DO OBJETO",1,""),"")</f>
        <v/>
      </c>
      <c r="BA26" s="110" t="str">
        <f>IFERROR(IF(PAC!$X$6:$X$581="F04 - CONCLUÍDA",1,""),"")</f>
        <v/>
      </c>
      <c r="BB26" s="111">
        <f>IF(PAC!$R26&gt;0,0,PAC!$Q26)</f>
        <v>0</v>
      </c>
      <c r="BC26" s="61"/>
      <c r="BF26" s="61"/>
      <c r="BH26" s="61"/>
      <c r="BI26" s="61"/>
      <c r="BP26" s="61"/>
      <c r="BQ26" s="61"/>
      <c r="BR26" s="61"/>
    </row>
    <row r="27" spans="1:70" ht="215.25" hidden="1" customHeight="1" thickBot="1">
      <c r="A27" s="112">
        <f t="shared" si="0"/>
        <v>22</v>
      </c>
      <c r="B27" s="113">
        <v>2023</v>
      </c>
      <c r="C27" s="112" t="s">
        <v>605</v>
      </c>
      <c r="D27" s="112" t="s">
        <v>1010</v>
      </c>
      <c r="E27" s="114" t="s">
        <v>502</v>
      </c>
      <c r="F27" s="112" t="s">
        <v>450</v>
      </c>
      <c r="G27" s="112" t="s">
        <v>504</v>
      </c>
      <c r="H27" s="115" t="s">
        <v>1242</v>
      </c>
      <c r="I27" s="112" t="s">
        <v>1238</v>
      </c>
      <c r="J27" s="112" t="s">
        <v>239</v>
      </c>
      <c r="K27" s="31"/>
      <c r="L27" s="31"/>
      <c r="M27" s="31">
        <v>2066482.18</v>
      </c>
      <c r="N27" s="31"/>
      <c r="O27" s="31">
        <v>349218.83</v>
      </c>
      <c r="P27" s="31"/>
      <c r="Q27" s="33">
        <f>SUM(PAC!$M27:$P27)</f>
        <v>2415701.0099999998</v>
      </c>
      <c r="R27" s="33">
        <v>2579083.42</v>
      </c>
      <c r="S27" s="33">
        <f>IF(PAC!$R27&gt;0,PAC!$R27,PAC!$Q27)</f>
        <v>2579083.42</v>
      </c>
      <c r="T27" s="33" t="s">
        <v>2711</v>
      </c>
      <c r="U27" s="116" t="s">
        <v>1572</v>
      </c>
      <c r="V27" s="116"/>
      <c r="W27" s="117">
        <v>8</v>
      </c>
      <c r="X27" s="117" t="s">
        <v>1418</v>
      </c>
      <c r="Y27" s="113" t="s">
        <v>2471</v>
      </c>
      <c r="Z27" s="118"/>
      <c r="AA27" s="119"/>
      <c r="AB27" s="115" t="s">
        <v>1465</v>
      </c>
      <c r="AC27" s="115"/>
      <c r="AD27" s="120"/>
      <c r="AE27" s="114" t="s">
        <v>2708</v>
      </c>
      <c r="AF27" s="115" t="s">
        <v>926</v>
      </c>
      <c r="AG27" s="115" t="s">
        <v>624</v>
      </c>
      <c r="AH27" s="115" t="s">
        <v>977</v>
      </c>
      <c r="AI27" s="115"/>
      <c r="AJ27" s="118"/>
      <c r="AK27" s="115" t="s">
        <v>1045</v>
      </c>
      <c r="AL27" s="115" t="s">
        <v>2718</v>
      </c>
      <c r="AM27" s="115"/>
      <c r="AN27" s="118">
        <v>46066</v>
      </c>
      <c r="AO27" s="118">
        <v>46147</v>
      </c>
      <c r="AP27" s="118"/>
      <c r="AQ27" s="118"/>
      <c r="AR27" s="121"/>
      <c r="AS27" s="121"/>
      <c r="AT27" s="114" t="s">
        <v>1831</v>
      </c>
      <c r="AU27" s="115" t="s">
        <v>2057</v>
      </c>
      <c r="AV27" s="120"/>
      <c r="AW27" s="119" t="s">
        <v>2466</v>
      </c>
      <c r="AX27" s="194" t="str">
        <f>IFERROR(IF(PAC!$X27="F01 - CAPTAÇÃO DE RECURSO",1,""),"")</f>
        <v/>
      </c>
      <c r="AY27" s="194">
        <f>IFERROR(IF(PAC!$X27="F02 - LICITAÇÃO",1,""),"")</f>
        <v>1</v>
      </c>
      <c r="AZ27" s="123" t="str">
        <f>IFERROR(IF(PAC!$X$6:$X$581="F03 - EXECUÇÃO DO OBJETO",1,""),"")</f>
        <v/>
      </c>
      <c r="BA27" s="123" t="str">
        <f>IFERROR(IF(PAC!$X$6:$X$581="F04 - CONCLUÍDA",1,""),"")</f>
        <v/>
      </c>
      <c r="BB27" s="191">
        <f>IF(PAC!$R27&gt;0,0,PAC!$Q27)</f>
        <v>0</v>
      </c>
      <c r="BC27" s="61"/>
      <c r="BF27" s="61"/>
      <c r="BH27" s="61"/>
      <c r="BI27" s="61"/>
      <c r="BP27" s="61"/>
      <c r="BQ27" s="61"/>
      <c r="BR27" s="61"/>
    </row>
    <row r="28" spans="1:70" ht="273.75" hidden="1" customHeight="1" thickBot="1">
      <c r="A28" s="88">
        <f t="shared" si="0"/>
        <v>23</v>
      </c>
      <c r="B28" s="101">
        <v>2023</v>
      </c>
      <c r="C28" s="88" t="s">
        <v>605</v>
      </c>
      <c r="D28" s="88" t="s">
        <v>1010</v>
      </c>
      <c r="E28" s="102" t="s">
        <v>502</v>
      </c>
      <c r="F28" s="88" t="s">
        <v>450</v>
      </c>
      <c r="G28" s="88" t="s">
        <v>504</v>
      </c>
      <c r="H28" s="40" t="s">
        <v>1242</v>
      </c>
      <c r="I28" s="88" t="s">
        <v>1238</v>
      </c>
      <c r="J28" s="88" t="s">
        <v>226</v>
      </c>
      <c r="K28" s="18"/>
      <c r="L28" s="18"/>
      <c r="M28" s="18">
        <v>2066482.18</v>
      </c>
      <c r="N28" s="18"/>
      <c r="O28" s="18">
        <v>764378.48</v>
      </c>
      <c r="P28" s="18"/>
      <c r="Q28" s="20">
        <f>SUM(PAC!$M28:$P28)</f>
        <v>2830860.66</v>
      </c>
      <c r="R28" s="20">
        <v>2784091.15</v>
      </c>
      <c r="S28" s="20">
        <f>IF(PAC!$R28&gt;0,PAC!$R28,PAC!$Q28)</f>
        <v>2784091.15</v>
      </c>
      <c r="T28" s="20" t="s">
        <v>2711</v>
      </c>
      <c r="U28" s="103" t="s">
        <v>1572</v>
      </c>
      <c r="V28" s="103"/>
      <c r="W28" s="104">
        <v>8</v>
      </c>
      <c r="X28" s="104" t="s">
        <v>1418</v>
      </c>
      <c r="Y28" s="101" t="s">
        <v>2471</v>
      </c>
      <c r="Z28" s="87"/>
      <c r="AA28" s="105"/>
      <c r="AB28" s="40" t="s">
        <v>1465</v>
      </c>
      <c r="AC28" s="40"/>
      <c r="AD28" s="106"/>
      <c r="AE28" s="102" t="s">
        <v>2709</v>
      </c>
      <c r="AF28" s="40" t="s">
        <v>927</v>
      </c>
      <c r="AG28" s="40" t="s">
        <v>625</v>
      </c>
      <c r="AH28" s="40" t="s">
        <v>977</v>
      </c>
      <c r="AI28" s="40"/>
      <c r="AJ28" s="87"/>
      <c r="AK28" s="40" t="s">
        <v>1046</v>
      </c>
      <c r="AL28" s="40" t="s">
        <v>1253</v>
      </c>
      <c r="AM28" s="40"/>
      <c r="AN28" s="87">
        <v>46066</v>
      </c>
      <c r="AO28" s="87">
        <v>46147</v>
      </c>
      <c r="AP28" s="87"/>
      <c r="AQ28" s="87"/>
      <c r="AR28" s="107"/>
      <c r="AS28" s="107"/>
      <c r="AT28" s="102" t="s">
        <v>1832</v>
      </c>
      <c r="AU28" s="40" t="s">
        <v>2057</v>
      </c>
      <c r="AV28" s="106"/>
      <c r="AW28" s="105" t="s">
        <v>2466</v>
      </c>
      <c r="AX28" s="109" t="str">
        <f>IFERROR(IF(PAC!$X28="F01 - CAPTAÇÃO DE RECURSO",1,""),"")</f>
        <v/>
      </c>
      <c r="AY28" s="109">
        <f>IFERROR(IF(PAC!$X28="F02 - LICITAÇÃO",1,""),"")</f>
        <v>1</v>
      </c>
      <c r="AZ28" s="110" t="str">
        <f>IFERROR(IF(PAC!$X$6:$X$581="F03 - EXECUÇÃO DO OBJETO",1,""),"")</f>
        <v/>
      </c>
      <c r="BA28" s="110" t="str">
        <f>IFERROR(IF(PAC!$X$6:$X$581="F04 - CONCLUÍDA",1,""),"")</f>
        <v/>
      </c>
      <c r="BB28" s="111">
        <f>IF(PAC!$R28&gt;0,0,PAC!$Q28)</f>
        <v>0</v>
      </c>
      <c r="BC28" s="61"/>
      <c r="BF28" s="61"/>
      <c r="BH28" s="61"/>
      <c r="BI28" s="61"/>
      <c r="BP28" s="61"/>
      <c r="BQ28" s="61"/>
      <c r="BR28" s="61"/>
    </row>
    <row r="29" spans="1:70" ht="252.75" hidden="1" customHeight="1" thickBot="1">
      <c r="A29" s="112">
        <f t="shared" si="0"/>
        <v>24</v>
      </c>
      <c r="B29" s="113">
        <v>2023</v>
      </c>
      <c r="C29" s="112" t="s">
        <v>605</v>
      </c>
      <c r="D29" s="112" t="s">
        <v>1010</v>
      </c>
      <c r="E29" s="114" t="s">
        <v>502</v>
      </c>
      <c r="F29" s="112" t="s">
        <v>450</v>
      </c>
      <c r="G29" s="112" t="s">
        <v>504</v>
      </c>
      <c r="H29" s="115" t="s">
        <v>1242</v>
      </c>
      <c r="I29" s="112" t="s">
        <v>1238</v>
      </c>
      <c r="J29" s="112" t="s">
        <v>243</v>
      </c>
      <c r="K29" s="31"/>
      <c r="L29" s="31"/>
      <c r="M29" s="31">
        <v>2066482.18</v>
      </c>
      <c r="N29" s="31"/>
      <c r="O29" s="31">
        <v>361079.96</v>
      </c>
      <c r="P29" s="31"/>
      <c r="Q29" s="33">
        <f>SUM(PAC!$M29:$P29)</f>
        <v>2427562.14</v>
      </c>
      <c r="R29" s="33">
        <v>2667050.2799999998</v>
      </c>
      <c r="S29" s="33">
        <f>IF(PAC!$R29&gt;0,PAC!$R29,PAC!$Q29)</f>
        <v>2667050.2799999998</v>
      </c>
      <c r="T29" s="33" t="s">
        <v>2711</v>
      </c>
      <c r="U29" s="116" t="s">
        <v>1572</v>
      </c>
      <c r="V29" s="116"/>
      <c r="W29" s="117">
        <v>8</v>
      </c>
      <c r="X29" s="117" t="s">
        <v>1418</v>
      </c>
      <c r="Y29" s="113" t="s">
        <v>2471</v>
      </c>
      <c r="Z29" s="118"/>
      <c r="AA29" s="119"/>
      <c r="AB29" s="115" t="s">
        <v>1465</v>
      </c>
      <c r="AC29" s="115"/>
      <c r="AD29" s="120"/>
      <c r="AE29" s="114" t="s">
        <v>2710</v>
      </c>
      <c r="AF29" s="115" t="s">
        <v>928</v>
      </c>
      <c r="AG29" s="115" t="s">
        <v>626</v>
      </c>
      <c r="AH29" s="115" t="s">
        <v>977</v>
      </c>
      <c r="AI29" s="115"/>
      <c r="AJ29" s="118"/>
      <c r="AK29" s="115" t="s">
        <v>1047</v>
      </c>
      <c r="AL29" s="115" t="s">
        <v>2719</v>
      </c>
      <c r="AM29" s="115"/>
      <c r="AN29" s="118">
        <v>46066</v>
      </c>
      <c r="AO29" s="118">
        <v>46147</v>
      </c>
      <c r="AP29" s="118"/>
      <c r="AQ29" s="118"/>
      <c r="AR29" s="121"/>
      <c r="AS29" s="121"/>
      <c r="AT29" s="114" t="s">
        <v>1833</v>
      </c>
      <c r="AU29" s="115" t="s">
        <v>2058</v>
      </c>
      <c r="AV29" s="120"/>
      <c r="AW29" s="119" t="s">
        <v>2466</v>
      </c>
      <c r="AX29" s="194" t="str">
        <f>IFERROR(IF(PAC!$X29="F01 - CAPTAÇÃO DE RECURSO",1,""),"")</f>
        <v/>
      </c>
      <c r="AY29" s="194">
        <f>IFERROR(IF(PAC!$X29="F02 - LICITAÇÃO",1,""),"")</f>
        <v>1</v>
      </c>
      <c r="AZ29" s="123" t="str">
        <f>IFERROR(IF(PAC!$X$6:$X$581="F03 - EXECUÇÃO DO OBJETO",1,""),"")</f>
        <v/>
      </c>
      <c r="BA29" s="123" t="str">
        <f>IFERROR(IF(PAC!$X$6:$X$581="F04 - CONCLUÍDA",1,""),"")</f>
        <v/>
      </c>
      <c r="BB29" s="191">
        <f>IF(PAC!$R29&gt;0,0,PAC!$Q29)</f>
        <v>0</v>
      </c>
      <c r="BC29" s="61"/>
      <c r="BF29" s="61"/>
      <c r="BH29" s="61"/>
      <c r="BI29" s="61"/>
      <c r="BP29" s="61"/>
      <c r="BQ29" s="61"/>
      <c r="BR29" s="61"/>
    </row>
    <row r="30" spans="1:70" ht="252.75" hidden="1" customHeight="1" thickBot="1">
      <c r="A30" s="88">
        <f t="shared" si="0"/>
        <v>25</v>
      </c>
      <c r="B30" s="101">
        <v>2023</v>
      </c>
      <c r="C30" s="88" t="s">
        <v>605</v>
      </c>
      <c r="D30" s="88" t="s">
        <v>1010</v>
      </c>
      <c r="E30" s="102" t="s">
        <v>502</v>
      </c>
      <c r="F30" s="88" t="s">
        <v>450</v>
      </c>
      <c r="G30" s="88" t="s">
        <v>504</v>
      </c>
      <c r="H30" s="40" t="s">
        <v>1242</v>
      </c>
      <c r="I30" s="88" t="s">
        <v>1238</v>
      </c>
      <c r="J30" s="88" t="s">
        <v>274</v>
      </c>
      <c r="K30" s="18"/>
      <c r="L30" s="18"/>
      <c r="M30" s="18">
        <v>2066482.18</v>
      </c>
      <c r="N30" s="18"/>
      <c r="O30" s="18">
        <v>639858.14</v>
      </c>
      <c r="P30" s="18"/>
      <c r="Q30" s="20">
        <f>SUM(PAC!$M30:$P30)</f>
        <v>2706340.32</v>
      </c>
      <c r="R30" s="20">
        <v>3280528.85</v>
      </c>
      <c r="S30" s="20">
        <f>IF(PAC!$R30&gt;0,PAC!$R30,PAC!$Q30)</f>
        <v>3280528.85</v>
      </c>
      <c r="T30" s="20" t="s">
        <v>2462</v>
      </c>
      <c r="U30" s="103" t="s">
        <v>1572</v>
      </c>
      <c r="V30" s="103"/>
      <c r="W30" s="104">
        <v>8</v>
      </c>
      <c r="X30" s="104" t="s">
        <v>1418</v>
      </c>
      <c r="Y30" s="101" t="s">
        <v>2471</v>
      </c>
      <c r="Z30" s="87"/>
      <c r="AA30" s="105"/>
      <c r="AB30" s="40" t="s">
        <v>1465</v>
      </c>
      <c r="AC30" s="40"/>
      <c r="AD30" s="106"/>
      <c r="AE30" s="102" t="s">
        <v>1865</v>
      </c>
      <c r="AF30" s="40" t="s">
        <v>929</v>
      </c>
      <c r="AG30" s="40" t="s">
        <v>627</v>
      </c>
      <c r="AH30" s="40" t="s">
        <v>977</v>
      </c>
      <c r="AI30" s="40"/>
      <c r="AJ30" s="87"/>
      <c r="AK30" s="40" t="s">
        <v>1049</v>
      </c>
      <c r="AL30" s="40" t="s">
        <v>2756</v>
      </c>
      <c r="AM30" s="40"/>
      <c r="AN30" s="87">
        <v>46066</v>
      </c>
      <c r="AO30" s="87">
        <v>46146</v>
      </c>
      <c r="AP30" s="87">
        <v>46224</v>
      </c>
      <c r="AQ30" s="87"/>
      <c r="AR30" s="107"/>
      <c r="AS30" s="107"/>
      <c r="AT30" s="102" t="s">
        <v>2326</v>
      </c>
      <c r="AU30" s="40" t="s">
        <v>2061</v>
      </c>
      <c r="AV30" s="106"/>
      <c r="AW30" s="105" t="s">
        <v>2466</v>
      </c>
      <c r="AX30" s="109" t="str">
        <f>IFERROR(IF(PAC!$X30="F01 - CAPTAÇÃO DE RECURSO",1,""),"")</f>
        <v/>
      </c>
      <c r="AY30" s="109">
        <f>IFERROR(IF(PAC!$X30="F02 - LICITAÇÃO",1,""),"")</f>
        <v>1</v>
      </c>
      <c r="AZ30" s="110" t="str">
        <f>IFERROR(IF(PAC!$X$6:$X$581="F03 - EXECUÇÃO DO OBJETO",1,""),"")</f>
        <v/>
      </c>
      <c r="BA30" s="110" t="str">
        <f>IFERROR(IF(PAC!$X$6:$X$581="F04 - CONCLUÍDA",1,""),"")</f>
        <v/>
      </c>
      <c r="BB30" s="111">
        <f>IF(PAC!$R30&gt;0,0,PAC!$Q30)</f>
        <v>0</v>
      </c>
      <c r="BC30" s="61"/>
      <c r="BF30" s="61"/>
      <c r="BH30" s="61"/>
      <c r="BI30" s="61"/>
      <c r="BP30" s="61"/>
      <c r="BQ30" s="61"/>
      <c r="BR30" s="61"/>
    </row>
    <row r="31" spans="1:70" ht="231.75" hidden="1" customHeight="1" thickBot="1">
      <c r="A31" s="112">
        <f t="shared" si="0"/>
        <v>26</v>
      </c>
      <c r="B31" s="113">
        <v>2023</v>
      </c>
      <c r="C31" s="112" t="s">
        <v>605</v>
      </c>
      <c r="D31" s="112" t="s">
        <v>1010</v>
      </c>
      <c r="E31" s="114" t="s">
        <v>502</v>
      </c>
      <c r="F31" s="112" t="s">
        <v>450</v>
      </c>
      <c r="G31" s="112" t="s">
        <v>504</v>
      </c>
      <c r="H31" s="115" t="s">
        <v>1242</v>
      </c>
      <c r="I31" s="112" t="s">
        <v>1238</v>
      </c>
      <c r="J31" s="112" t="s">
        <v>392</v>
      </c>
      <c r="K31" s="31"/>
      <c r="L31" s="31"/>
      <c r="M31" s="31">
        <v>2066482.18</v>
      </c>
      <c r="N31" s="31"/>
      <c r="O31" s="31">
        <v>530259.72</v>
      </c>
      <c r="P31" s="31"/>
      <c r="Q31" s="33">
        <f>SUM(PAC!$M31:$P31)</f>
        <v>2596741.9</v>
      </c>
      <c r="R31" s="33">
        <v>2692126.03</v>
      </c>
      <c r="S31" s="33">
        <f>IF(PAC!$R31&gt;0,PAC!$R31,PAC!$Q31)</f>
        <v>2692126.03</v>
      </c>
      <c r="T31" s="33" t="s">
        <v>2491</v>
      </c>
      <c r="U31" s="116" t="s">
        <v>1572</v>
      </c>
      <c r="V31" s="116"/>
      <c r="W31" s="117">
        <v>8</v>
      </c>
      <c r="X31" s="117" t="s">
        <v>1418</v>
      </c>
      <c r="Y31" s="113" t="s">
        <v>2470</v>
      </c>
      <c r="Z31" s="118"/>
      <c r="AA31" s="119"/>
      <c r="AB31" s="115" t="s">
        <v>1468</v>
      </c>
      <c r="AC31" s="115" t="s">
        <v>2294</v>
      </c>
      <c r="AD31" s="120"/>
      <c r="AE31" s="114" t="s">
        <v>1868</v>
      </c>
      <c r="AF31" s="115" t="s">
        <v>930</v>
      </c>
      <c r="AG31" s="115" t="s">
        <v>628</v>
      </c>
      <c r="AH31" s="115" t="s">
        <v>977</v>
      </c>
      <c r="AI31" s="115"/>
      <c r="AJ31" s="118"/>
      <c r="AK31" s="115" t="s">
        <v>1050</v>
      </c>
      <c r="AL31" s="115" t="s">
        <v>2720</v>
      </c>
      <c r="AM31" s="115"/>
      <c r="AN31" s="118">
        <v>46066</v>
      </c>
      <c r="AO31" s="118">
        <v>46147</v>
      </c>
      <c r="AP31" s="118">
        <v>46239</v>
      </c>
      <c r="AQ31" s="118"/>
      <c r="AR31" s="121"/>
      <c r="AS31" s="121"/>
      <c r="AT31" s="114" t="s">
        <v>1834</v>
      </c>
      <c r="AU31" s="115" t="s">
        <v>2449</v>
      </c>
      <c r="AV31" s="120"/>
      <c r="AW31" s="119" t="s">
        <v>2466</v>
      </c>
      <c r="AX31" s="194" t="str">
        <f>IFERROR(IF(PAC!$X31="F01 - CAPTAÇÃO DE RECURSO",1,""),"")</f>
        <v/>
      </c>
      <c r="AY31" s="194">
        <f>IFERROR(IF(PAC!$X31="F02 - LICITAÇÃO",1,""),"")</f>
        <v>1</v>
      </c>
      <c r="AZ31" s="123" t="str">
        <f>IFERROR(IF(PAC!$X$6:$X$581="F03 - EXECUÇÃO DO OBJETO",1,""),"")</f>
        <v/>
      </c>
      <c r="BA31" s="123" t="str">
        <f>IFERROR(IF(PAC!$X$6:$X$581="F04 - CONCLUÍDA",1,""),"")</f>
        <v/>
      </c>
      <c r="BB31" s="191">
        <f>IF(PAC!$R31&gt;0,0,PAC!$Q31)</f>
        <v>0</v>
      </c>
      <c r="BC31" s="61"/>
      <c r="BF31" s="61"/>
      <c r="BH31" s="61"/>
      <c r="BI31" s="61"/>
      <c r="BP31" s="61"/>
      <c r="BQ31" s="61"/>
      <c r="BR31" s="61"/>
    </row>
    <row r="32" spans="1:70" ht="289.5" hidden="1" customHeight="1" thickBot="1">
      <c r="A32" s="88">
        <f t="shared" si="0"/>
        <v>27</v>
      </c>
      <c r="B32" s="101">
        <v>2023</v>
      </c>
      <c r="C32" s="88" t="s">
        <v>605</v>
      </c>
      <c r="D32" s="88" t="s">
        <v>1010</v>
      </c>
      <c r="E32" s="102" t="s">
        <v>502</v>
      </c>
      <c r="F32" s="88" t="s">
        <v>450</v>
      </c>
      <c r="G32" s="88" t="s">
        <v>504</v>
      </c>
      <c r="H32" s="40" t="s">
        <v>1242</v>
      </c>
      <c r="I32" s="88" t="s">
        <v>1238</v>
      </c>
      <c r="J32" s="88" t="s">
        <v>235</v>
      </c>
      <c r="K32" s="18"/>
      <c r="L32" s="18"/>
      <c r="M32" s="18">
        <v>2066482.18</v>
      </c>
      <c r="N32" s="18"/>
      <c r="O32" s="18">
        <v>562309.9</v>
      </c>
      <c r="P32" s="18"/>
      <c r="Q32" s="20">
        <f>SUM(PAC!$M32:$P32)</f>
        <v>2628792.08</v>
      </c>
      <c r="R32" s="20">
        <v>2586651.41</v>
      </c>
      <c r="S32" s="20">
        <f>IF(PAC!$R32&gt;0,PAC!$R32,PAC!$Q32)</f>
        <v>2586651.41</v>
      </c>
      <c r="T32" s="20" t="s">
        <v>2711</v>
      </c>
      <c r="U32" s="103" t="s">
        <v>1572</v>
      </c>
      <c r="V32" s="103"/>
      <c r="W32" s="104">
        <v>8</v>
      </c>
      <c r="X32" s="104" t="s">
        <v>1418</v>
      </c>
      <c r="Y32" s="101" t="s">
        <v>2471</v>
      </c>
      <c r="Z32" s="87"/>
      <c r="AA32" s="105"/>
      <c r="AB32" s="40" t="s">
        <v>1465</v>
      </c>
      <c r="AC32" s="40"/>
      <c r="AD32" s="106"/>
      <c r="AE32" s="102" t="s">
        <v>2709</v>
      </c>
      <c r="AF32" s="40" t="s">
        <v>931</v>
      </c>
      <c r="AG32" s="40" t="s">
        <v>629</v>
      </c>
      <c r="AH32" s="40" t="s">
        <v>977</v>
      </c>
      <c r="AI32" s="40"/>
      <c r="AJ32" s="87"/>
      <c r="AK32" s="40" t="s">
        <v>1051</v>
      </c>
      <c r="AL32" s="40" t="s">
        <v>1254</v>
      </c>
      <c r="AM32" s="40"/>
      <c r="AN32" s="87">
        <v>46066</v>
      </c>
      <c r="AO32" s="87">
        <v>46147</v>
      </c>
      <c r="AP32" s="87"/>
      <c r="AQ32" s="87"/>
      <c r="AR32" s="107"/>
      <c r="AS32" s="107"/>
      <c r="AT32" s="102" t="s">
        <v>1835</v>
      </c>
      <c r="AU32" s="40" t="s">
        <v>2059</v>
      </c>
      <c r="AV32" s="106"/>
      <c r="AW32" s="105" t="s">
        <v>2466</v>
      </c>
      <c r="AX32" s="109" t="str">
        <f>IFERROR(IF(PAC!$X32="F01 - CAPTAÇÃO DE RECURSO",1,""),"")</f>
        <v/>
      </c>
      <c r="AY32" s="109">
        <f>IFERROR(IF(PAC!$X32="F02 - LICITAÇÃO",1,""),"")</f>
        <v>1</v>
      </c>
      <c r="AZ32" s="110" t="str">
        <f>IFERROR(IF(PAC!$X$6:$X$581="F03 - EXECUÇÃO DO OBJETO",1,""),"")</f>
        <v/>
      </c>
      <c r="BA32" s="110" t="str">
        <f>IFERROR(IF(PAC!$X$6:$X$581="F04 - CONCLUÍDA",1,""),"")</f>
        <v/>
      </c>
      <c r="BB32" s="111">
        <f>IF(PAC!$R32&gt;0,0,PAC!$Q32)</f>
        <v>0</v>
      </c>
      <c r="BC32" s="61"/>
      <c r="BF32" s="61"/>
      <c r="BH32" s="61"/>
      <c r="BI32" s="61"/>
      <c r="BP32" s="61"/>
      <c r="BQ32" s="61"/>
      <c r="BR32" s="61"/>
    </row>
    <row r="33" spans="1:70" ht="237" hidden="1" customHeight="1" thickBot="1">
      <c r="A33" s="112">
        <f t="shared" si="0"/>
        <v>28</v>
      </c>
      <c r="B33" s="113">
        <v>2023</v>
      </c>
      <c r="C33" s="112" t="s">
        <v>605</v>
      </c>
      <c r="D33" s="112" t="s">
        <v>1010</v>
      </c>
      <c r="E33" s="114" t="s">
        <v>502</v>
      </c>
      <c r="F33" s="112" t="s">
        <v>450</v>
      </c>
      <c r="G33" s="112" t="s">
        <v>504</v>
      </c>
      <c r="H33" s="115" t="s">
        <v>1242</v>
      </c>
      <c r="I33" s="112" t="s">
        <v>1238</v>
      </c>
      <c r="J33" s="112" t="s">
        <v>334</v>
      </c>
      <c r="K33" s="31"/>
      <c r="L33" s="31"/>
      <c r="M33" s="31">
        <v>2066482.18</v>
      </c>
      <c r="N33" s="31"/>
      <c r="O33" s="31">
        <v>393920.79</v>
      </c>
      <c r="P33" s="31"/>
      <c r="Q33" s="33">
        <f>SUM(PAC!$M33:$P33)</f>
        <v>2460402.9699999997</v>
      </c>
      <c r="R33" s="33">
        <v>3206192.64</v>
      </c>
      <c r="S33" s="33">
        <f>IF(PAC!$R33&gt;0,PAC!$R33,PAC!$Q33)</f>
        <v>3206192.64</v>
      </c>
      <c r="T33" s="33"/>
      <c r="U33" s="116" t="s">
        <v>1572</v>
      </c>
      <c r="V33" s="116"/>
      <c r="W33" s="117">
        <v>8</v>
      </c>
      <c r="X33" s="117" t="s">
        <v>1418</v>
      </c>
      <c r="Y33" s="113" t="s">
        <v>2472</v>
      </c>
      <c r="Z33" s="118"/>
      <c r="AA33" s="119"/>
      <c r="AB33" s="115" t="s">
        <v>1464</v>
      </c>
      <c r="AC33" s="115"/>
      <c r="AD33" s="120"/>
      <c r="AE33" s="114" t="s">
        <v>1865</v>
      </c>
      <c r="AF33" s="115" t="s">
        <v>932</v>
      </c>
      <c r="AG33" s="115" t="s">
        <v>630</v>
      </c>
      <c r="AH33" s="115" t="s">
        <v>977</v>
      </c>
      <c r="AI33" s="115"/>
      <c r="AJ33" s="118"/>
      <c r="AK33" s="115" t="s">
        <v>1052</v>
      </c>
      <c r="AL33" s="115" t="s">
        <v>2721</v>
      </c>
      <c r="AM33" s="115"/>
      <c r="AN33" s="118">
        <v>46066</v>
      </c>
      <c r="AO33" s="118">
        <v>46148</v>
      </c>
      <c r="AP33" s="118"/>
      <c r="AQ33" s="118"/>
      <c r="AR33" s="121"/>
      <c r="AS33" s="121"/>
      <c r="AT33" s="114" t="s">
        <v>1836</v>
      </c>
      <c r="AU33" s="115" t="s">
        <v>2054</v>
      </c>
      <c r="AV33" s="120"/>
      <c r="AW33" s="119" t="s">
        <v>2466</v>
      </c>
      <c r="AX33" s="194" t="str">
        <f>IFERROR(IF(PAC!$X33="F01 - CAPTAÇÃO DE RECURSO",1,""),"")</f>
        <v/>
      </c>
      <c r="AY33" s="194">
        <f>IFERROR(IF(PAC!$X33="F02 - LICITAÇÃO",1,""),"")</f>
        <v>1</v>
      </c>
      <c r="AZ33" s="123" t="str">
        <f>IFERROR(IF(PAC!$X$6:$X$581="F03 - EXECUÇÃO DO OBJETO",1,""),"")</f>
        <v/>
      </c>
      <c r="BA33" s="123" t="str">
        <f>IFERROR(IF(PAC!$X$6:$X$581="F04 - CONCLUÍDA",1,""),"")</f>
        <v/>
      </c>
      <c r="BB33" s="191">
        <f>IF(PAC!$R33&gt;0,0,PAC!$Q33)</f>
        <v>0</v>
      </c>
      <c r="BC33" s="61"/>
      <c r="BF33" s="61"/>
      <c r="BH33" s="61"/>
      <c r="BI33" s="61"/>
      <c r="BP33" s="61"/>
      <c r="BQ33" s="61"/>
      <c r="BR33" s="61"/>
    </row>
    <row r="34" spans="1:70" ht="218.25" hidden="1" customHeight="1" thickBot="1">
      <c r="A34" s="88">
        <f t="shared" si="0"/>
        <v>29</v>
      </c>
      <c r="B34" s="101">
        <v>2023</v>
      </c>
      <c r="C34" s="88" t="s">
        <v>605</v>
      </c>
      <c r="D34" s="88" t="s">
        <v>1010</v>
      </c>
      <c r="E34" s="102" t="s">
        <v>502</v>
      </c>
      <c r="F34" s="88" t="s">
        <v>450</v>
      </c>
      <c r="G34" s="88" t="s">
        <v>504</v>
      </c>
      <c r="H34" s="40" t="s">
        <v>1242</v>
      </c>
      <c r="I34" s="88" t="s">
        <v>1238</v>
      </c>
      <c r="J34" s="88" t="s">
        <v>265</v>
      </c>
      <c r="K34" s="18"/>
      <c r="L34" s="18"/>
      <c r="M34" s="18">
        <v>2066482.18</v>
      </c>
      <c r="N34" s="18"/>
      <c r="O34" s="18">
        <v>442576.83</v>
      </c>
      <c r="P34" s="18"/>
      <c r="Q34" s="20">
        <f>SUM(PAC!$M34:$P34)</f>
        <v>2509059.0099999998</v>
      </c>
      <c r="R34" s="20">
        <v>2729451.91</v>
      </c>
      <c r="S34" s="20">
        <f>IF(PAC!$R34&gt;0,PAC!$R34,PAC!$Q34)</f>
        <v>2729451.91</v>
      </c>
      <c r="T34" s="20"/>
      <c r="U34" s="103" t="s">
        <v>1572</v>
      </c>
      <c r="V34" s="103"/>
      <c r="W34" s="104">
        <v>8</v>
      </c>
      <c r="X34" s="104" t="s">
        <v>1418</v>
      </c>
      <c r="Y34" s="101" t="s">
        <v>2472</v>
      </c>
      <c r="Z34" s="87"/>
      <c r="AA34" s="105"/>
      <c r="AB34" s="40" t="s">
        <v>1465</v>
      </c>
      <c r="AC34" s="40"/>
      <c r="AD34" s="106"/>
      <c r="AE34" s="102" t="s">
        <v>1865</v>
      </c>
      <c r="AF34" s="40" t="s">
        <v>933</v>
      </c>
      <c r="AG34" s="40" t="s">
        <v>631</v>
      </c>
      <c r="AH34" s="40" t="s">
        <v>977</v>
      </c>
      <c r="AI34" s="40"/>
      <c r="AJ34" s="87"/>
      <c r="AK34" s="40" t="s">
        <v>1053</v>
      </c>
      <c r="AL34" s="40" t="s">
        <v>2757</v>
      </c>
      <c r="AM34" s="40"/>
      <c r="AN34" s="87">
        <v>46066</v>
      </c>
      <c r="AO34" s="87">
        <v>46148</v>
      </c>
      <c r="AP34" s="87"/>
      <c r="AQ34" s="87"/>
      <c r="AR34" s="107"/>
      <c r="AS34" s="107"/>
      <c r="AT34" s="102" t="s">
        <v>1837</v>
      </c>
      <c r="AU34" s="40" t="s">
        <v>2055</v>
      </c>
      <c r="AV34" s="106"/>
      <c r="AW34" s="105" t="s">
        <v>2466</v>
      </c>
      <c r="AX34" s="109" t="str">
        <f>IFERROR(IF(PAC!$X34="F01 - CAPTAÇÃO DE RECURSO",1,""),"")</f>
        <v/>
      </c>
      <c r="AY34" s="109">
        <f>IFERROR(IF(PAC!$X34="F02 - LICITAÇÃO",1,""),"")</f>
        <v>1</v>
      </c>
      <c r="AZ34" s="110" t="str">
        <f>IFERROR(IF(PAC!$X$6:$X$581="F03 - EXECUÇÃO DO OBJETO",1,""),"")</f>
        <v/>
      </c>
      <c r="BA34" s="110" t="str">
        <f>IFERROR(IF(PAC!$X$6:$X$581="F04 - CONCLUÍDA",1,""),"")</f>
        <v/>
      </c>
      <c r="BB34" s="111">
        <f>IF(PAC!$R34&gt;0,0,PAC!$Q34)</f>
        <v>0</v>
      </c>
      <c r="BC34" s="61"/>
      <c r="BF34" s="61"/>
      <c r="BH34" s="61"/>
      <c r="BI34" s="61"/>
      <c r="BP34" s="61"/>
      <c r="BQ34" s="61"/>
      <c r="BR34" s="61"/>
    </row>
    <row r="35" spans="1:70" ht="261.75" hidden="1" customHeight="1" thickBot="1">
      <c r="A35" s="112">
        <f t="shared" si="0"/>
        <v>30</v>
      </c>
      <c r="B35" s="113">
        <v>2023</v>
      </c>
      <c r="C35" s="112" t="s">
        <v>605</v>
      </c>
      <c r="D35" s="112" t="s">
        <v>1010</v>
      </c>
      <c r="E35" s="114" t="s">
        <v>502</v>
      </c>
      <c r="F35" s="112" t="s">
        <v>450</v>
      </c>
      <c r="G35" s="112" t="s">
        <v>504</v>
      </c>
      <c r="H35" s="115" t="s">
        <v>1242</v>
      </c>
      <c r="I35" s="112" t="s">
        <v>1238</v>
      </c>
      <c r="J35" s="112" t="s">
        <v>396</v>
      </c>
      <c r="K35" s="31"/>
      <c r="L35" s="31"/>
      <c r="M35" s="31">
        <v>2066482.18</v>
      </c>
      <c r="N35" s="31"/>
      <c r="O35" s="31">
        <v>287101.96000000002</v>
      </c>
      <c r="P35" s="31"/>
      <c r="Q35" s="33">
        <f>SUM(PAC!$M35:$P35)</f>
        <v>2353584.14</v>
      </c>
      <c r="R35" s="33">
        <v>2533097.44</v>
      </c>
      <c r="S35" s="33">
        <f>IF(PAC!$R35&gt;0,PAC!$R35,PAC!$Q35)</f>
        <v>2533097.44</v>
      </c>
      <c r="T35" s="33" t="s">
        <v>2491</v>
      </c>
      <c r="U35" s="116" t="s">
        <v>1572</v>
      </c>
      <c r="V35" s="116"/>
      <c r="W35" s="117">
        <v>8</v>
      </c>
      <c r="X35" s="117" t="s">
        <v>1418</v>
      </c>
      <c r="Y35" s="113" t="s">
        <v>2470</v>
      </c>
      <c r="Z35" s="118"/>
      <c r="AA35" s="119"/>
      <c r="AB35" s="115" t="s">
        <v>1468</v>
      </c>
      <c r="AC35" s="115" t="s">
        <v>2294</v>
      </c>
      <c r="AD35" s="120"/>
      <c r="AE35" s="114" t="s">
        <v>1865</v>
      </c>
      <c r="AF35" s="115" t="s">
        <v>934</v>
      </c>
      <c r="AG35" s="115" t="s">
        <v>632</v>
      </c>
      <c r="AH35" s="115" t="s">
        <v>977</v>
      </c>
      <c r="AI35" s="115"/>
      <c r="AJ35" s="118"/>
      <c r="AK35" s="115" t="s">
        <v>1054</v>
      </c>
      <c r="AL35" s="115" t="s">
        <v>2722</v>
      </c>
      <c r="AM35" s="115"/>
      <c r="AN35" s="118">
        <v>46066</v>
      </c>
      <c r="AO35" s="118">
        <v>46147</v>
      </c>
      <c r="AP35" s="118">
        <v>46239</v>
      </c>
      <c r="AQ35" s="118"/>
      <c r="AR35" s="121"/>
      <c r="AS35" s="121"/>
      <c r="AT35" s="114" t="s">
        <v>1838</v>
      </c>
      <c r="AU35" s="115" t="s">
        <v>2450</v>
      </c>
      <c r="AV35" s="120"/>
      <c r="AW35" s="119" t="s">
        <v>2466</v>
      </c>
      <c r="AX35" s="194" t="str">
        <f>IFERROR(IF(PAC!$X35="F01 - CAPTAÇÃO DE RECURSO",1,""),"")</f>
        <v/>
      </c>
      <c r="AY35" s="194">
        <f>IFERROR(IF(PAC!$X35="F02 - LICITAÇÃO",1,""),"")</f>
        <v>1</v>
      </c>
      <c r="AZ35" s="123" t="str">
        <f>IFERROR(IF(PAC!$X$6:$X$581="F03 - EXECUÇÃO DO OBJETO",1,""),"")</f>
        <v/>
      </c>
      <c r="BA35" s="123" t="str">
        <f>IFERROR(IF(PAC!$X$6:$X$581="F04 - CONCLUÍDA",1,""),"")</f>
        <v/>
      </c>
      <c r="BB35" s="191">
        <f>IF(PAC!$R35&gt;0,0,PAC!$Q35)</f>
        <v>0</v>
      </c>
      <c r="BC35" s="61"/>
      <c r="BF35" s="61"/>
      <c r="BH35" s="61"/>
      <c r="BI35" s="61"/>
      <c r="BP35" s="61"/>
      <c r="BQ35" s="61"/>
      <c r="BR35" s="61"/>
    </row>
    <row r="36" spans="1:70" ht="288" hidden="1" customHeight="1" thickBot="1">
      <c r="A36" s="88">
        <f t="shared" si="0"/>
        <v>31</v>
      </c>
      <c r="B36" s="101">
        <v>2023</v>
      </c>
      <c r="C36" s="88" t="s">
        <v>605</v>
      </c>
      <c r="D36" s="88" t="s">
        <v>1010</v>
      </c>
      <c r="E36" s="102" t="s">
        <v>502</v>
      </c>
      <c r="F36" s="88" t="s">
        <v>450</v>
      </c>
      <c r="G36" s="88" t="s">
        <v>504</v>
      </c>
      <c r="H36" s="40" t="s">
        <v>1242</v>
      </c>
      <c r="I36" s="88" t="s">
        <v>1238</v>
      </c>
      <c r="J36" s="88" t="s">
        <v>377</v>
      </c>
      <c r="K36" s="18"/>
      <c r="L36" s="18"/>
      <c r="M36" s="18">
        <v>2066482.18</v>
      </c>
      <c r="N36" s="18"/>
      <c r="O36" s="18">
        <v>604349.88</v>
      </c>
      <c r="P36" s="18"/>
      <c r="Q36" s="20">
        <f>SUM(PAC!$M36:$P36)</f>
        <v>2670832.06</v>
      </c>
      <c r="R36" s="20">
        <v>2480183.14</v>
      </c>
      <c r="S36" s="20">
        <f>IF(PAC!$R36&gt;0,PAC!$R36,PAC!$Q36)</f>
        <v>2480183.14</v>
      </c>
      <c r="T36" s="20" t="s">
        <v>2300</v>
      </c>
      <c r="U36" s="103" t="s">
        <v>1572</v>
      </c>
      <c r="V36" s="103"/>
      <c r="W36" s="104">
        <v>8</v>
      </c>
      <c r="X36" s="104" t="s">
        <v>1418</v>
      </c>
      <c r="Y36" s="101" t="s">
        <v>2470</v>
      </c>
      <c r="Z36" s="87"/>
      <c r="AA36" s="105"/>
      <c r="AB36" s="40" t="s">
        <v>1467</v>
      </c>
      <c r="AC36" s="40" t="s">
        <v>2294</v>
      </c>
      <c r="AD36" s="106"/>
      <c r="AE36" s="102" t="s">
        <v>1870</v>
      </c>
      <c r="AF36" s="40" t="s">
        <v>935</v>
      </c>
      <c r="AG36" s="40" t="s">
        <v>633</v>
      </c>
      <c r="AH36" s="40" t="s">
        <v>977</v>
      </c>
      <c r="AI36" s="40"/>
      <c r="AJ36" s="87"/>
      <c r="AK36" s="40" t="s">
        <v>1055</v>
      </c>
      <c r="AL36" s="40" t="s">
        <v>2723</v>
      </c>
      <c r="AM36" s="40"/>
      <c r="AN36" s="87">
        <v>46066</v>
      </c>
      <c r="AO36" s="87">
        <v>46148</v>
      </c>
      <c r="AP36" s="87">
        <v>46185</v>
      </c>
      <c r="AQ36" s="87">
        <v>46198</v>
      </c>
      <c r="AR36" s="107">
        <v>46563</v>
      </c>
      <c r="AS36" s="107"/>
      <c r="AT36" s="102" t="s">
        <v>2298</v>
      </c>
      <c r="AU36" s="40" t="s">
        <v>2297</v>
      </c>
      <c r="AV36" s="106"/>
      <c r="AW36" s="105" t="s">
        <v>2466</v>
      </c>
      <c r="AX36" s="109" t="str">
        <f>IFERROR(IF(PAC!$X36="F01 - CAPTAÇÃO DE RECURSO",1,""),"")</f>
        <v/>
      </c>
      <c r="AY36" s="109">
        <f>IFERROR(IF(PAC!$X36="F02 - LICITAÇÃO",1,""),"")</f>
        <v>1</v>
      </c>
      <c r="AZ36" s="110" t="str">
        <f>IFERROR(IF(PAC!$X$6:$X$581="F03 - EXECUÇÃO DO OBJETO",1,""),"")</f>
        <v/>
      </c>
      <c r="BA36" s="110" t="str">
        <f>IFERROR(IF(PAC!$X$6:$X$581="F04 - CONCLUÍDA",1,""),"")</f>
        <v/>
      </c>
      <c r="BB36" s="111">
        <f>IF(PAC!$R36&gt;0,0,PAC!$Q36)</f>
        <v>0</v>
      </c>
      <c r="BC36" s="61"/>
      <c r="BF36" s="61"/>
      <c r="BH36" s="61"/>
      <c r="BI36" s="61"/>
      <c r="BP36" s="61"/>
      <c r="BQ36" s="61"/>
      <c r="BR36" s="61"/>
    </row>
    <row r="37" spans="1:70" ht="231.75" hidden="1" customHeight="1" thickBot="1">
      <c r="A37" s="112">
        <f t="shared" si="0"/>
        <v>32</v>
      </c>
      <c r="B37" s="113">
        <v>2023</v>
      </c>
      <c r="C37" s="112" t="s">
        <v>605</v>
      </c>
      <c r="D37" s="112" t="s">
        <v>1010</v>
      </c>
      <c r="E37" s="114" t="s">
        <v>502</v>
      </c>
      <c r="F37" s="112" t="s">
        <v>450</v>
      </c>
      <c r="G37" s="112" t="s">
        <v>504</v>
      </c>
      <c r="H37" s="115" t="s">
        <v>1242</v>
      </c>
      <c r="I37" s="112" t="s">
        <v>1238</v>
      </c>
      <c r="J37" s="112" t="s">
        <v>238</v>
      </c>
      <c r="K37" s="31"/>
      <c r="L37" s="31"/>
      <c r="M37" s="31">
        <v>2066482.18</v>
      </c>
      <c r="N37" s="31"/>
      <c r="O37" s="31">
        <v>436764</v>
      </c>
      <c r="P37" s="31"/>
      <c r="Q37" s="33">
        <f>SUM(PAC!$M37:$P37)</f>
        <v>2503246.1799999997</v>
      </c>
      <c r="R37" s="33">
        <v>2391335.19</v>
      </c>
      <c r="S37" s="33">
        <f>IF(PAC!$R37&gt;0,PAC!$R37,PAC!$Q37)</f>
        <v>2391335.19</v>
      </c>
      <c r="T37" s="33" t="s">
        <v>2302</v>
      </c>
      <c r="U37" s="116" t="s">
        <v>1572</v>
      </c>
      <c r="V37" s="116"/>
      <c r="W37" s="117">
        <v>8</v>
      </c>
      <c r="X37" s="117" t="s">
        <v>1418</v>
      </c>
      <c r="Y37" s="113" t="s">
        <v>2470</v>
      </c>
      <c r="Z37" s="118"/>
      <c r="AA37" s="119"/>
      <c r="AB37" s="115" t="s">
        <v>1467</v>
      </c>
      <c r="AC37" s="115" t="s">
        <v>2294</v>
      </c>
      <c r="AD37" s="120"/>
      <c r="AE37" s="114" t="s">
        <v>1865</v>
      </c>
      <c r="AF37" s="115" t="s">
        <v>936</v>
      </c>
      <c r="AG37" s="115" t="s">
        <v>634</v>
      </c>
      <c r="AH37" s="115" t="s">
        <v>977</v>
      </c>
      <c r="AI37" s="115"/>
      <c r="AJ37" s="118"/>
      <c r="AK37" s="115" t="s">
        <v>1056</v>
      </c>
      <c r="AL37" s="115" t="s">
        <v>1255</v>
      </c>
      <c r="AM37" s="115"/>
      <c r="AN37" s="118">
        <v>46066</v>
      </c>
      <c r="AO37" s="118">
        <v>46146</v>
      </c>
      <c r="AP37" s="118">
        <v>46188</v>
      </c>
      <c r="AQ37" s="118">
        <v>46191</v>
      </c>
      <c r="AR37" s="121">
        <v>46563</v>
      </c>
      <c r="AS37" s="121"/>
      <c r="AT37" s="114" t="s">
        <v>2304</v>
      </c>
      <c r="AU37" s="115" t="s">
        <v>2295</v>
      </c>
      <c r="AV37" s="120"/>
      <c r="AW37" s="119" t="s">
        <v>2466</v>
      </c>
      <c r="AX37" s="194" t="str">
        <f>IFERROR(IF(PAC!$X37="F01 - CAPTAÇÃO DE RECURSO",1,""),"")</f>
        <v/>
      </c>
      <c r="AY37" s="194">
        <f>IFERROR(IF(PAC!$X37="F02 - LICITAÇÃO",1,""),"")</f>
        <v>1</v>
      </c>
      <c r="AZ37" s="123" t="str">
        <f>IFERROR(IF(PAC!$X$6:$X$581="F03 - EXECUÇÃO DO OBJETO",1,""),"")</f>
        <v/>
      </c>
      <c r="BA37" s="123" t="str">
        <f>IFERROR(IF(PAC!$X$6:$X$581="F04 - CONCLUÍDA",1,""),"")</f>
        <v/>
      </c>
      <c r="BB37" s="191">
        <f>IF(PAC!$R37&gt;0,0,PAC!$Q37)</f>
        <v>0</v>
      </c>
      <c r="BC37" s="61"/>
      <c r="BF37" s="61"/>
      <c r="BH37" s="61"/>
      <c r="BI37" s="61"/>
      <c r="BP37" s="61"/>
      <c r="BQ37" s="61"/>
      <c r="BR37" s="61"/>
    </row>
    <row r="38" spans="1:70" ht="210.75" hidden="1" customHeight="1" thickBot="1">
      <c r="A38" s="88">
        <f t="shared" si="0"/>
        <v>33</v>
      </c>
      <c r="B38" s="101">
        <v>2023</v>
      </c>
      <c r="C38" s="88" t="s">
        <v>605</v>
      </c>
      <c r="D38" s="88" t="s">
        <v>1010</v>
      </c>
      <c r="E38" s="102" t="s">
        <v>502</v>
      </c>
      <c r="F38" s="88" t="s">
        <v>450</v>
      </c>
      <c r="G38" s="88" t="s">
        <v>504</v>
      </c>
      <c r="H38" s="40" t="s">
        <v>1242</v>
      </c>
      <c r="I38" s="88" t="s">
        <v>1238</v>
      </c>
      <c r="J38" s="88" t="s">
        <v>412</v>
      </c>
      <c r="K38" s="18"/>
      <c r="L38" s="18"/>
      <c r="M38" s="18">
        <v>2066482.18</v>
      </c>
      <c r="N38" s="18"/>
      <c r="O38" s="18">
        <v>523724.77</v>
      </c>
      <c r="P38" s="18"/>
      <c r="Q38" s="20">
        <f>SUM(PAC!$M38:$P38)</f>
        <v>2590206.9500000002</v>
      </c>
      <c r="R38" s="20">
        <v>2696323.99</v>
      </c>
      <c r="S38" s="20">
        <f>IF(PAC!$R38&gt;0,PAC!$R38,PAC!$Q38)</f>
        <v>2696323.99</v>
      </c>
      <c r="T38" s="20" t="s">
        <v>2302</v>
      </c>
      <c r="U38" s="103" t="s">
        <v>1572</v>
      </c>
      <c r="V38" s="103"/>
      <c r="W38" s="104">
        <v>8</v>
      </c>
      <c r="X38" s="104" t="s">
        <v>1418</v>
      </c>
      <c r="Y38" s="101" t="s">
        <v>2470</v>
      </c>
      <c r="Z38" s="87"/>
      <c r="AA38" s="105"/>
      <c r="AB38" s="40" t="s">
        <v>1467</v>
      </c>
      <c r="AC38" s="105" t="s">
        <v>2294</v>
      </c>
      <c r="AD38" s="106"/>
      <c r="AE38" s="102" t="s">
        <v>1871</v>
      </c>
      <c r="AF38" s="40" t="s">
        <v>937</v>
      </c>
      <c r="AG38" s="40" t="s">
        <v>635</v>
      </c>
      <c r="AH38" s="40" t="s">
        <v>977</v>
      </c>
      <c r="AI38" s="40"/>
      <c r="AJ38" s="87"/>
      <c r="AK38" s="40" t="s">
        <v>1057</v>
      </c>
      <c r="AL38" s="40" t="s">
        <v>2724</v>
      </c>
      <c r="AM38" s="40"/>
      <c r="AN38" s="87">
        <v>46066</v>
      </c>
      <c r="AO38" s="87">
        <v>46146</v>
      </c>
      <c r="AP38" s="87">
        <v>46188</v>
      </c>
      <c r="AQ38" s="87">
        <v>46191</v>
      </c>
      <c r="AR38" s="107">
        <v>46563</v>
      </c>
      <c r="AS38" s="107"/>
      <c r="AT38" s="102" t="s">
        <v>2305</v>
      </c>
      <c r="AU38" s="105" t="s">
        <v>2296</v>
      </c>
      <c r="AV38" s="106"/>
      <c r="AW38" s="105" t="s">
        <v>2466</v>
      </c>
      <c r="AX38" s="109" t="str">
        <f>IFERROR(IF(PAC!$X38="F01 - CAPTAÇÃO DE RECURSO",1,""),"")</f>
        <v/>
      </c>
      <c r="AY38" s="109">
        <f>IFERROR(IF(PAC!$X38="F02 - LICITAÇÃO",1,""),"")</f>
        <v>1</v>
      </c>
      <c r="AZ38" s="110" t="str">
        <f>IFERROR(IF(PAC!$X$6:$X$581="F03 - EXECUÇÃO DO OBJETO",1,""),"")</f>
        <v/>
      </c>
      <c r="BA38" s="110" t="str">
        <f>IFERROR(IF(PAC!$X$6:$X$581="F04 - CONCLUÍDA",1,""),"")</f>
        <v/>
      </c>
      <c r="BB38" s="111">
        <f>IF(PAC!$R38&gt;0,0,PAC!$Q38)</f>
        <v>0</v>
      </c>
      <c r="BC38" s="61"/>
      <c r="BF38" s="61"/>
      <c r="BH38" s="61"/>
      <c r="BI38" s="61"/>
      <c r="BP38" s="61"/>
      <c r="BQ38" s="61"/>
      <c r="BR38" s="61"/>
    </row>
    <row r="39" spans="1:70" s="1" customFormat="1" ht="267.75" hidden="1" customHeight="1" thickBot="1">
      <c r="A39" s="112">
        <f t="shared" si="0"/>
        <v>34</v>
      </c>
      <c r="B39" s="113">
        <v>2023</v>
      </c>
      <c r="C39" s="112" t="s">
        <v>605</v>
      </c>
      <c r="D39" s="112" t="s">
        <v>1010</v>
      </c>
      <c r="E39" s="114" t="s">
        <v>502</v>
      </c>
      <c r="F39" s="112" t="s">
        <v>450</v>
      </c>
      <c r="G39" s="112" t="s">
        <v>504</v>
      </c>
      <c r="H39" s="115" t="s">
        <v>1242</v>
      </c>
      <c r="I39" s="112" t="s">
        <v>1238</v>
      </c>
      <c r="J39" s="112" t="s">
        <v>435</v>
      </c>
      <c r="K39" s="31"/>
      <c r="L39" s="31"/>
      <c r="M39" s="31">
        <v>2559128.6</v>
      </c>
      <c r="N39" s="31"/>
      <c r="O39" s="31"/>
      <c r="P39" s="31"/>
      <c r="Q39" s="33">
        <f>SUM(PAC!$M39:$P39)</f>
        <v>2559128.6</v>
      </c>
      <c r="R39" s="33"/>
      <c r="S39" s="33">
        <f>IF(PAC!$R39&gt;0,PAC!$R39,PAC!$Q39)</f>
        <v>2559128.6</v>
      </c>
      <c r="T39" s="33"/>
      <c r="U39" s="116" t="s">
        <v>1572</v>
      </c>
      <c r="V39" s="116"/>
      <c r="W39" s="117">
        <v>8</v>
      </c>
      <c r="X39" s="117" t="s">
        <v>1419</v>
      </c>
      <c r="Y39" s="113" t="s">
        <v>2473</v>
      </c>
      <c r="Z39" s="118"/>
      <c r="AA39" s="119"/>
      <c r="AB39" s="115" t="s">
        <v>1457</v>
      </c>
      <c r="AC39" s="119" t="s">
        <v>2089</v>
      </c>
      <c r="AD39" s="120"/>
      <c r="AE39" s="114" t="s">
        <v>1665</v>
      </c>
      <c r="AF39" s="115" t="s">
        <v>1666</v>
      </c>
      <c r="AG39" s="115" t="s">
        <v>2245</v>
      </c>
      <c r="AH39" s="115" t="s">
        <v>1974</v>
      </c>
      <c r="AI39" s="115" t="s">
        <v>2090</v>
      </c>
      <c r="AJ39" s="118">
        <v>46380</v>
      </c>
      <c r="AK39" s="115"/>
      <c r="AL39" s="115"/>
      <c r="AM39" s="115"/>
      <c r="AN39" s="118"/>
      <c r="AO39" s="118"/>
      <c r="AP39" s="118"/>
      <c r="AQ39" s="118"/>
      <c r="AR39" s="121"/>
      <c r="AS39" s="121"/>
      <c r="AT39" s="114"/>
      <c r="AU39" s="133"/>
      <c r="AV39" s="120"/>
      <c r="AW39" s="119"/>
      <c r="AX39" s="194">
        <f>IFERROR(IF(PAC!$X39="F01 - CAPTAÇÃO DE RECURSO",1,""),"")</f>
        <v>1</v>
      </c>
      <c r="AY39" s="194" t="str">
        <f>IFERROR(IF(PAC!$X39="F02 - LICITAÇÃO",1,""),"")</f>
        <v/>
      </c>
      <c r="AZ39" s="123" t="str">
        <f>IFERROR(IF(PAC!$X$6:$X$581="F03 - EXECUÇÃO DO OBJETO",1,""),"")</f>
        <v/>
      </c>
      <c r="BA39" s="123" t="str">
        <f>IFERROR(IF(PAC!$X$6:$X$581="F04 - CONCLUÍDA",1,""),"")</f>
        <v/>
      </c>
      <c r="BB39" s="191">
        <f>IF(PAC!$R39&gt;0,0,PAC!$Q39)</f>
        <v>2559128.6</v>
      </c>
    </row>
    <row r="40" spans="1:70" s="1" customFormat="1" ht="294.75" hidden="1" customHeight="1" thickBot="1">
      <c r="A40" s="88">
        <f t="shared" si="0"/>
        <v>35</v>
      </c>
      <c r="B40" s="101">
        <v>2023</v>
      </c>
      <c r="C40" s="88" t="s">
        <v>605</v>
      </c>
      <c r="D40" s="88" t="s">
        <v>1010</v>
      </c>
      <c r="E40" s="102" t="s">
        <v>502</v>
      </c>
      <c r="F40" s="88" t="s">
        <v>450</v>
      </c>
      <c r="G40" s="88" t="s">
        <v>504</v>
      </c>
      <c r="H40" s="40" t="s">
        <v>1242</v>
      </c>
      <c r="I40" s="88" t="s">
        <v>1238</v>
      </c>
      <c r="J40" s="88" t="s">
        <v>316</v>
      </c>
      <c r="K40" s="18"/>
      <c r="L40" s="18"/>
      <c r="M40" s="18">
        <v>2559128.6</v>
      </c>
      <c r="N40" s="18"/>
      <c r="O40" s="18"/>
      <c r="P40" s="18"/>
      <c r="Q40" s="20">
        <f>SUM(PAC!$M40:$P40)</f>
        <v>2559128.6</v>
      </c>
      <c r="R40" s="20"/>
      <c r="S40" s="20">
        <f>IF(PAC!$R40&gt;0,PAC!$R40,PAC!$Q40)</f>
        <v>2559128.6</v>
      </c>
      <c r="T40" s="20"/>
      <c r="U40" s="103" t="s">
        <v>1572</v>
      </c>
      <c r="V40" s="103"/>
      <c r="W40" s="104">
        <v>8</v>
      </c>
      <c r="X40" s="104" t="s">
        <v>1419</v>
      </c>
      <c r="Y40" s="101" t="s">
        <v>2473</v>
      </c>
      <c r="Z40" s="87"/>
      <c r="AA40" s="105"/>
      <c r="AB40" s="40" t="s">
        <v>1457</v>
      </c>
      <c r="AC40" s="105" t="s">
        <v>2089</v>
      </c>
      <c r="AD40" s="106"/>
      <c r="AE40" s="102" t="s">
        <v>1663</v>
      </c>
      <c r="AF40" s="40" t="s">
        <v>1664</v>
      </c>
      <c r="AG40" s="40" t="s">
        <v>2246</v>
      </c>
      <c r="AH40" s="40" t="s">
        <v>1974</v>
      </c>
      <c r="AI40" s="40" t="s">
        <v>2090</v>
      </c>
      <c r="AJ40" s="87">
        <v>46380</v>
      </c>
      <c r="AK40" s="40"/>
      <c r="AL40" s="40"/>
      <c r="AM40" s="40"/>
      <c r="AN40" s="87"/>
      <c r="AO40" s="87"/>
      <c r="AP40" s="87"/>
      <c r="AQ40" s="87"/>
      <c r="AR40" s="107"/>
      <c r="AS40" s="107"/>
      <c r="AT40" s="102"/>
      <c r="AU40" s="132"/>
      <c r="AV40" s="106"/>
      <c r="AW40" s="105"/>
      <c r="AX40" s="109">
        <f>IFERROR(IF(PAC!$X40="F01 - CAPTAÇÃO DE RECURSO",1,""),"")</f>
        <v>1</v>
      </c>
      <c r="AY40" s="109" t="str">
        <f>IFERROR(IF(PAC!$X40="F02 - LICITAÇÃO",1,""),"")</f>
        <v/>
      </c>
      <c r="AZ40" s="110" t="str">
        <f>IFERROR(IF(PAC!$X$6:$X$581="F03 - EXECUÇÃO DO OBJETO",1,""),"")</f>
        <v/>
      </c>
      <c r="BA40" s="110" t="str">
        <f>IFERROR(IF(PAC!$X$6:$X$581="F04 - CONCLUÍDA",1,""),"")</f>
        <v/>
      </c>
      <c r="BB40" s="111">
        <f>IF(PAC!$R40&gt;0,0,PAC!$Q40)</f>
        <v>2559128.6</v>
      </c>
    </row>
    <row r="41" spans="1:70" s="1" customFormat="1" ht="189.75" hidden="1" customHeight="1" thickBot="1">
      <c r="A41" s="112">
        <f t="shared" si="0"/>
        <v>36</v>
      </c>
      <c r="B41" s="113">
        <v>2023</v>
      </c>
      <c r="C41" s="112" t="s">
        <v>605</v>
      </c>
      <c r="D41" s="112" t="s">
        <v>1010</v>
      </c>
      <c r="E41" s="114" t="s">
        <v>502</v>
      </c>
      <c r="F41" s="112" t="s">
        <v>450</v>
      </c>
      <c r="G41" s="112" t="s">
        <v>504</v>
      </c>
      <c r="H41" s="115" t="s">
        <v>1242</v>
      </c>
      <c r="I41" s="112" t="s">
        <v>1238</v>
      </c>
      <c r="J41" s="112" t="s">
        <v>260</v>
      </c>
      <c r="K41" s="31"/>
      <c r="L41" s="31"/>
      <c r="M41" s="31">
        <v>2066482.18</v>
      </c>
      <c r="N41" s="31"/>
      <c r="O41" s="31">
        <v>314302.13</v>
      </c>
      <c r="P41" s="31"/>
      <c r="Q41" s="33">
        <f>SUM(PAC!$M41:$P41)</f>
        <v>2380784.31</v>
      </c>
      <c r="R41" s="33">
        <v>2316592.21</v>
      </c>
      <c r="S41" s="33">
        <f>IF(PAC!$R41&gt;0,PAC!$R41,PAC!$Q41)</f>
        <v>2316592.21</v>
      </c>
      <c r="T41" s="33" t="s">
        <v>2300</v>
      </c>
      <c r="U41" s="116" t="s">
        <v>1572</v>
      </c>
      <c r="V41" s="116"/>
      <c r="W41" s="117">
        <v>8</v>
      </c>
      <c r="X41" s="117" t="s">
        <v>1418</v>
      </c>
      <c r="Y41" s="113" t="s">
        <v>2470</v>
      </c>
      <c r="Z41" s="118"/>
      <c r="AA41" s="119"/>
      <c r="AB41" s="115" t="s">
        <v>1467</v>
      </c>
      <c r="AC41" s="115" t="s">
        <v>2294</v>
      </c>
      <c r="AD41" s="120"/>
      <c r="AE41" s="114" t="s">
        <v>1871</v>
      </c>
      <c r="AF41" s="115" t="s">
        <v>938</v>
      </c>
      <c r="AG41" s="115" t="s">
        <v>636</v>
      </c>
      <c r="AH41" s="115" t="s">
        <v>977</v>
      </c>
      <c r="AI41" s="115"/>
      <c r="AJ41" s="118"/>
      <c r="AK41" s="115" t="s">
        <v>1058</v>
      </c>
      <c r="AL41" s="115" t="s">
        <v>2725</v>
      </c>
      <c r="AM41" s="115"/>
      <c r="AN41" s="118">
        <v>46066</v>
      </c>
      <c r="AO41" s="118">
        <v>46148</v>
      </c>
      <c r="AP41" s="118">
        <v>46185</v>
      </c>
      <c r="AQ41" s="118">
        <v>46198</v>
      </c>
      <c r="AR41" s="121">
        <v>46563</v>
      </c>
      <c r="AS41" s="121"/>
      <c r="AT41" s="114" t="s">
        <v>2299</v>
      </c>
      <c r="AU41" s="115" t="s">
        <v>2297</v>
      </c>
      <c r="AV41" s="120"/>
      <c r="AW41" s="119" t="s">
        <v>2466</v>
      </c>
      <c r="AX41" s="194" t="str">
        <f>IFERROR(IF(PAC!$X41="F01 - CAPTAÇÃO DE RECURSO",1,""),"")</f>
        <v/>
      </c>
      <c r="AY41" s="194">
        <f>IFERROR(IF(PAC!$X41="F02 - LICITAÇÃO",1,""),"")</f>
        <v>1</v>
      </c>
      <c r="AZ41" s="123" t="str">
        <f>IFERROR(IF(PAC!$X$6:$X$581="F03 - EXECUÇÃO DO OBJETO",1,""),"")</f>
        <v/>
      </c>
      <c r="BA41" s="123" t="str">
        <f>IFERROR(IF(PAC!$X$6:$X$581="F04 - CONCLUÍDA",1,""),"")</f>
        <v/>
      </c>
      <c r="BB41" s="191">
        <f>IF(PAC!$R41&gt;0,0,PAC!$Q41)</f>
        <v>0</v>
      </c>
    </row>
    <row r="42" spans="1:70" s="1" customFormat="1" ht="210.75" hidden="1" customHeight="1" thickBot="1">
      <c r="A42" s="88">
        <f t="shared" si="0"/>
        <v>37</v>
      </c>
      <c r="B42" s="101">
        <v>2023</v>
      </c>
      <c r="C42" s="88" t="s">
        <v>605</v>
      </c>
      <c r="D42" s="88" t="s">
        <v>1010</v>
      </c>
      <c r="E42" s="102" t="s">
        <v>502</v>
      </c>
      <c r="F42" s="88" t="s">
        <v>450</v>
      </c>
      <c r="G42" s="88" t="s">
        <v>504</v>
      </c>
      <c r="H42" s="40" t="s">
        <v>1242</v>
      </c>
      <c r="I42" s="88" t="s">
        <v>1238</v>
      </c>
      <c r="J42" s="88" t="s">
        <v>361</v>
      </c>
      <c r="K42" s="18"/>
      <c r="L42" s="18"/>
      <c r="M42" s="18">
        <v>1912158.34</v>
      </c>
      <c r="N42" s="18"/>
      <c r="O42" s="18">
        <v>1807956.14</v>
      </c>
      <c r="P42" s="18"/>
      <c r="Q42" s="20">
        <f>SUM(PAC!$M42:$P42)</f>
        <v>3720114.48</v>
      </c>
      <c r="R42" s="20">
        <v>3875772.8</v>
      </c>
      <c r="S42" s="20">
        <f>IF(PAC!$R42&gt;0,PAC!$R42,PAC!$Q42)</f>
        <v>3875772.8</v>
      </c>
      <c r="T42" s="20" t="s">
        <v>1843</v>
      </c>
      <c r="U42" s="103" t="s">
        <v>1572</v>
      </c>
      <c r="V42" s="103"/>
      <c r="W42" s="104">
        <v>8</v>
      </c>
      <c r="X42" s="104" t="s">
        <v>1694</v>
      </c>
      <c r="Y42" s="101" t="s">
        <v>2470</v>
      </c>
      <c r="Z42" s="87">
        <v>46455</v>
      </c>
      <c r="AA42" s="105">
        <v>3.5</v>
      </c>
      <c r="AB42" s="40" t="s">
        <v>1472</v>
      </c>
      <c r="AC42" s="40" t="s">
        <v>2433</v>
      </c>
      <c r="AD42" s="106"/>
      <c r="AE42" s="102"/>
      <c r="AF42" s="40" t="s">
        <v>939</v>
      </c>
      <c r="AG42" s="40" t="s">
        <v>637</v>
      </c>
      <c r="AH42" s="40" t="s">
        <v>977</v>
      </c>
      <c r="AI42" s="40"/>
      <c r="AJ42" s="87"/>
      <c r="AK42" s="40" t="s">
        <v>1059</v>
      </c>
      <c r="AL42" s="40" t="s">
        <v>2726</v>
      </c>
      <c r="AM42" s="40"/>
      <c r="AN42" s="87">
        <v>45903</v>
      </c>
      <c r="AO42" s="87">
        <v>45971</v>
      </c>
      <c r="AP42" s="87">
        <v>45995</v>
      </c>
      <c r="AQ42" s="87">
        <v>46029</v>
      </c>
      <c r="AR42" s="106">
        <v>46455</v>
      </c>
      <c r="AS42" s="106">
        <v>46455</v>
      </c>
      <c r="AT42" s="102" t="s">
        <v>2053</v>
      </c>
      <c r="AU42" s="40" t="s">
        <v>2134</v>
      </c>
      <c r="AV42" s="106"/>
      <c r="AW42" s="105" t="s">
        <v>2466</v>
      </c>
      <c r="AX42" s="109" t="str">
        <f>IFERROR(IF(PAC!$X42="F01 - CAPTAÇÃO DE RECURSO",1,""),"")</f>
        <v/>
      </c>
      <c r="AY42" s="109" t="str">
        <f>IFERROR(IF(PAC!$X42="F02 - LICITAÇÃO",1,""),"")</f>
        <v/>
      </c>
      <c r="AZ42" s="110">
        <f>IFERROR(IF(PAC!$X$6:$X$581="F03 - EXECUÇÃO DO OBJETO",1,""),"")</f>
        <v>1</v>
      </c>
      <c r="BA42" s="110" t="str">
        <f>IFERROR(IF(PAC!$X$6:$X$581="F04 - CONCLUÍDA",1,""),"")</f>
        <v/>
      </c>
      <c r="BB42" s="111">
        <f>IF(PAC!$R42&gt;0,0,PAC!$Q42)</f>
        <v>0</v>
      </c>
    </row>
    <row r="43" spans="1:70" s="1" customFormat="1" ht="231.75" hidden="1" customHeight="1" thickBot="1">
      <c r="A43" s="112">
        <f t="shared" si="0"/>
        <v>38</v>
      </c>
      <c r="B43" s="113">
        <v>2023</v>
      </c>
      <c r="C43" s="112" t="s">
        <v>605</v>
      </c>
      <c r="D43" s="112" t="s">
        <v>1010</v>
      </c>
      <c r="E43" s="114" t="s">
        <v>555</v>
      </c>
      <c r="F43" s="112" t="s">
        <v>450</v>
      </c>
      <c r="G43" s="112" t="s">
        <v>12</v>
      </c>
      <c r="H43" s="115" t="s">
        <v>1246</v>
      </c>
      <c r="I43" s="112" t="s">
        <v>1238</v>
      </c>
      <c r="J43" s="112" t="s">
        <v>243</v>
      </c>
      <c r="K43" s="31"/>
      <c r="L43" s="31"/>
      <c r="M43" s="31">
        <v>11440558.720000001</v>
      </c>
      <c r="N43" s="31">
        <v>139742.41</v>
      </c>
      <c r="O43" s="31">
        <v>1915930.9699999988</v>
      </c>
      <c r="P43" s="31"/>
      <c r="Q43" s="33">
        <f>SUM(PAC!$M43:$P43)</f>
        <v>13496232.1</v>
      </c>
      <c r="R43" s="33">
        <v>12360508.59</v>
      </c>
      <c r="S43" s="33">
        <f>IF(PAC!$R43&gt;0,PAC!$R43,PAC!$Q43)</f>
        <v>12360508.59</v>
      </c>
      <c r="T43" s="33" t="s">
        <v>1592</v>
      </c>
      <c r="U43" s="116" t="s">
        <v>1572</v>
      </c>
      <c r="V43" s="116"/>
      <c r="W43" s="117">
        <v>12</v>
      </c>
      <c r="X43" s="117" t="s">
        <v>1694</v>
      </c>
      <c r="Y43" s="113" t="s">
        <v>2470</v>
      </c>
      <c r="Z43" s="118">
        <v>46429</v>
      </c>
      <c r="AA43" s="119">
        <v>45</v>
      </c>
      <c r="AB43" s="115" t="s">
        <v>1472</v>
      </c>
      <c r="AC43" s="125" t="s">
        <v>2810</v>
      </c>
      <c r="AD43" s="120">
        <v>46429</v>
      </c>
      <c r="AE43" s="114" t="s">
        <v>1751</v>
      </c>
      <c r="AF43" s="115" t="s">
        <v>556</v>
      </c>
      <c r="AG43" s="115" t="s">
        <v>664</v>
      </c>
      <c r="AH43" s="115" t="s">
        <v>977</v>
      </c>
      <c r="AI43" s="115"/>
      <c r="AJ43" s="118"/>
      <c r="AK43" s="196" t="s">
        <v>1027</v>
      </c>
      <c r="AL43" s="196" t="s">
        <v>1241</v>
      </c>
      <c r="AM43" s="115"/>
      <c r="AN43" s="118">
        <v>45822</v>
      </c>
      <c r="AO43" s="118">
        <v>45897</v>
      </c>
      <c r="AP43" s="118">
        <v>45953</v>
      </c>
      <c r="AQ43" s="118">
        <v>45972</v>
      </c>
      <c r="AR43" s="121">
        <v>46337</v>
      </c>
      <c r="AS43" s="121">
        <v>46429</v>
      </c>
      <c r="AT43" s="114" t="s">
        <v>2237</v>
      </c>
      <c r="AU43" s="182" t="s">
        <v>1517</v>
      </c>
      <c r="AV43" s="120"/>
      <c r="AW43" s="119" t="s">
        <v>2163</v>
      </c>
      <c r="AX43" s="194" t="str">
        <f>IFERROR(IF(PAC!$X43="F01 - CAPTAÇÃO DE RECURSO",1,""),"")</f>
        <v/>
      </c>
      <c r="AY43" s="194" t="str">
        <f>IFERROR(IF(PAC!$X43="F02 - LICITAÇÃO",1,""),"")</f>
        <v/>
      </c>
      <c r="AZ43" s="123">
        <f>IFERROR(IF(PAC!$X$6:$X$581="F03 - EXECUÇÃO DO OBJETO",1,""),"")</f>
        <v>1</v>
      </c>
      <c r="BA43" s="123" t="str">
        <f>IFERROR(IF(PAC!$X$6:$X$581="F04 - CONCLUÍDA",1,""),"")</f>
        <v/>
      </c>
      <c r="BB43" s="191">
        <f>IF(PAC!$R43&gt;0,0,PAC!$Q43)</f>
        <v>0</v>
      </c>
    </row>
    <row r="44" spans="1:70" s="1" customFormat="1" ht="279.75" hidden="1" customHeight="1" thickBot="1">
      <c r="A44" s="88">
        <f t="shared" si="0"/>
        <v>39</v>
      </c>
      <c r="B44" s="101">
        <v>2023</v>
      </c>
      <c r="C44" s="88" t="s">
        <v>605</v>
      </c>
      <c r="D44" s="88" t="s">
        <v>1010</v>
      </c>
      <c r="E44" s="102" t="s">
        <v>1017</v>
      </c>
      <c r="F44" s="88" t="s">
        <v>53</v>
      </c>
      <c r="G44" s="88" t="s">
        <v>612</v>
      </c>
      <c r="H44" s="40" t="s">
        <v>1244</v>
      </c>
      <c r="I44" s="88" t="s">
        <v>1238</v>
      </c>
      <c r="J44" s="88" t="s">
        <v>361</v>
      </c>
      <c r="K44" s="18"/>
      <c r="L44" s="18">
        <v>29598227</v>
      </c>
      <c r="M44" s="18">
        <v>29598226.77</v>
      </c>
      <c r="N44" s="18"/>
      <c r="O44" s="18"/>
      <c r="P44" s="18"/>
      <c r="Q44" s="20">
        <f>SUM(PAC!$M44:$P44)</f>
        <v>29598226.77</v>
      </c>
      <c r="R44" s="20">
        <v>42741860.130000003</v>
      </c>
      <c r="S44" s="20">
        <f>IF(PAC!$R44&gt;0,PAC!$R44,PAC!$Q44)</f>
        <v>42741860.130000003</v>
      </c>
      <c r="T44" s="20" t="s">
        <v>1684</v>
      </c>
      <c r="U44" s="103" t="s">
        <v>1570</v>
      </c>
      <c r="V44" s="103"/>
      <c r="W44" s="104">
        <v>20</v>
      </c>
      <c r="X44" s="104" t="s">
        <v>1694</v>
      </c>
      <c r="Y44" s="101" t="s">
        <v>2470</v>
      </c>
      <c r="Z44" s="87">
        <v>46718</v>
      </c>
      <c r="AA44" s="105"/>
      <c r="AB44" s="40" t="s">
        <v>1472</v>
      </c>
      <c r="AC44" s="40" t="s">
        <v>1951</v>
      </c>
      <c r="AD44" s="106"/>
      <c r="AE44" s="102"/>
      <c r="AF44" s="40" t="s">
        <v>656</v>
      </c>
      <c r="AG44" s="40" t="s">
        <v>658</v>
      </c>
      <c r="AH44" s="40" t="s">
        <v>977</v>
      </c>
      <c r="AI44" s="40"/>
      <c r="AJ44" s="87"/>
      <c r="AK44" s="40" t="s">
        <v>1923</v>
      </c>
      <c r="AL44" s="40" t="s">
        <v>1221</v>
      </c>
      <c r="AM44" s="40"/>
      <c r="AN44" s="87">
        <v>45811</v>
      </c>
      <c r="AO44" s="87">
        <v>45884</v>
      </c>
      <c r="AP44" s="87">
        <v>45880</v>
      </c>
      <c r="AQ44" s="87">
        <v>46106</v>
      </c>
      <c r="AR44" s="107">
        <v>46718</v>
      </c>
      <c r="AS44" s="107">
        <v>46718</v>
      </c>
      <c r="AT44" s="102" t="s">
        <v>1938</v>
      </c>
      <c r="AU44" s="108" t="s">
        <v>1656</v>
      </c>
      <c r="AV44" s="106"/>
      <c r="AW44" s="105" t="s">
        <v>707</v>
      </c>
      <c r="AX44" s="109" t="str">
        <f>IFERROR(IF(PAC!$X44="F01 - CAPTAÇÃO DE RECURSO",1,""),"")</f>
        <v/>
      </c>
      <c r="AY44" s="109" t="str">
        <f>IFERROR(IF(PAC!$X44="F02 - LICITAÇÃO",1,""),"")</f>
        <v/>
      </c>
      <c r="AZ44" s="110">
        <f>IFERROR(IF(PAC!$X$6:$X$581="F03 - EXECUÇÃO DO OBJETO",1,""),"")</f>
        <v>1</v>
      </c>
      <c r="BA44" s="110" t="str">
        <f>IFERROR(IF(PAC!$X$6:$X$581="F04 - CONCLUÍDA",1,""),"")</f>
        <v/>
      </c>
      <c r="BB44" s="111">
        <f>IF(PAC!$R44&gt;0,0,PAC!$Q44)</f>
        <v>0</v>
      </c>
    </row>
    <row r="45" spans="1:70" s="1" customFormat="1" ht="189.75" hidden="1" customHeight="1" thickBot="1">
      <c r="A45" s="112">
        <f t="shared" si="0"/>
        <v>40</v>
      </c>
      <c r="B45" s="113">
        <v>2023</v>
      </c>
      <c r="C45" s="112" t="s">
        <v>605</v>
      </c>
      <c r="D45" s="112" t="s">
        <v>1010</v>
      </c>
      <c r="E45" s="114" t="s">
        <v>1607</v>
      </c>
      <c r="F45" s="112" t="s">
        <v>53</v>
      </c>
      <c r="G45" s="112" t="s">
        <v>612</v>
      </c>
      <c r="H45" s="115" t="s">
        <v>1244</v>
      </c>
      <c r="I45" s="112" t="s">
        <v>1238</v>
      </c>
      <c r="J45" s="112" t="s">
        <v>361</v>
      </c>
      <c r="K45" s="31"/>
      <c r="L45" s="31">
        <v>32671589.640000001</v>
      </c>
      <c r="M45" s="31">
        <v>62990873.219999999</v>
      </c>
      <c r="N45" s="31"/>
      <c r="O45" s="31"/>
      <c r="P45" s="31"/>
      <c r="Q45" s="33">
        <f>SUM(PAC!$M45:$P45)</f>
        <v>62990873.219999999</v>
      </c>
      <c r="R45" s="33">
        <v>53239506.780000001</v>
      </c>
      <c r="S45" s="33">
        <f>IF(PAC!$R45&gt;0,PAC!$R45,PAC!$Q45)</f>
        <v>53239506.780000001</v>
      </c>
      <c r="T45" s="33" t="s">
        <v>1608</v>
      </c>
      <c r="U45" s="116" t="s">
        <v>1570</v>
      </c>
      <c r="V45" s="116"/>
      <c r="W45" s="117">
        <v>18</v>
      </c>
      <c r="X45" s="117" t="s">
        <v>1694</v>
      </c>
      <c r="Y45" s="113" t="s">
        <v>2470</v>
      </c>
      <c r="Z45" s="118">
        <v>46449</v>
      </c>
      <c r="AA45" s="119">
        <v>10.48</v>
      </c>
      <c r="AB45" s="115" t="s">
        <v>1472</v>
      </c>
      <c r="AC45" s="115" t="s">
        <v>1944</v>
      </c>
      <c r="AD45" s="120"/>
      <c r="AE45" s="114"/>
      <c r="AF45" s="115" t="s">
        <v>656</v>
      </c>
      <c r="AG45" s="115" t="s">
        <v>658</v>
      </c>
      <c r="AH45" s="115" t="s">
        <v>977</v>
      </c>
      <c r="AI45" s="115"/>
      <c r="AJ45" s="118"/>
      <c r="AK45" s="115" t="s">
        <v>1554</v>
      </c>
      <c r="AL45" s="115" t="s">
        <v>1223</v>
      </c>
      <c r="AM45" s="115"/>
      <c r="AN45" s="118">
        <v>45730</v>
      </c>
      <c r="AO45" s="118">
        <v>45804</v>
      </c>
      <c r="AP45" s="118">
        <v>45857</v>
      </c>
      <c r="AQ45" s="118">
        <v>45901</v>
      </c>
      <c r="AR45" s="121">
        <v>46409</v>
      </c>
      <c r="AS45" s="121">
        <v>46491</v>
      </c>
      <c r="AT45" s="114" t="s">
        <v>2629</v>
      </c>
      <c r="AU45" s="122" t="s">
        <v>1553</v>
      </c>
      <c r="AV45" s="120"/>
      <c r="AW45" s="119" t="s">
        <v>707</v>
      </c>
      <c r="AX45" s="194" t="str">
        <f>IFERROR(IF(PAC!$X45="F01 - CAPTAÇÃO DE RECURSO",1,""),"")</f>
        <v/>
      </c>
      <c r="AY45" s="194" t="str">
        <f>IFERROR(IF(PAC!$X45="F02 - LICITAÇÃO",1,""),"")</f>
        <v/>
      </c>
      <c r="AZ45" s="123">
        <f>IFERROR(IF(PAC!$X$6:$X$581="F03 - EXECUÇÃO DO OBJETO",1,""),"")</f>
        <v>1</v>
      </c>
      <c r="BA45" s="123" t="str">
        <f>IFERROR(IF(PAC!$X$6:$X$581="F04 - CONCLUÍDA",1,""),"")</f>
        <v/>
      </c>
      <c r="BB45" s="191">
        <f>IF(PAC!$R45&gt;0,0,PAC!$Q45)</f>
        <v>0</v>
      </c>
    </row>
    <row r="46" spans="1:70" s="1" customFormat="1" ht="210.75" hidden="1" customHeight="1" thickBot="1">
      <c r="A46" s="88">
        <f t="shared" si="0"/>
        <v>41</v>
      </c>
      <c r="B46" s="88">
        <v>2023</v>
      </c>
      <c r="C46" s="88" t="s">
        <v>605</v>
      </c>
      <c r="D46" s="88" t="s">
        <v>1010</v>
      </c>
      <c r="E46" s="89" t="s">
        <v>1785</v>
      </c>
      <c r="F46" s="40" t="s">
        <v>53</v>
      </c>
      <c r="G46" s="40" t="s">
        <v>612</v>
      </c>
      <c r="H46" s="88" t="s">
        <v>1244</v>
      </c>
      <c r="I46" s="88" t="s">
        <v>1238</v>
      </c>
      <c r="J46" s="88" t="s">
        <v>227</v>
      </c>
      <c r="K46" s="18">
        <v>34701703.869999997</v>
      </c>
      <c r="L46" s="18"/>
      <c r="M46" s="18"/>
      <c r="N46" s="18"/>
      <c r="O46" s="18"/>
      <c r="P46" s="18">
        <v>34701703.869999997</v>
      </c>
      <c r="Q46" s="20">
        <f>SUM(PAC!$M46:$P46)</f>
        <v>34701703.869999997</v>
      </c>
      <c r="R46" s="20"/>
      <c r="S46" s="20">
        <f>IF(PAC!$R46&gt;0,PAC!$R46,PAC!$Q46)</f>
        <v>34701703.869999997</v>
      </c>
      <c r="T46" s="20"/>
      <c r="U46" s="103" t="s">
        <v>594</v>
      </c>
      <c r="V46" s="103" t="s">
        <v>1764</v>
      </c>
      <c r="W46" s="104">
        <v>36</v>
      </c>
      <c r="X46" s="104" t="s">
        <v>1419</v>
      </c>
      <c r="Y46" s="101" t="s">
        <v>2473</v>
      </c>
      <c r="Z46" s="87"/>
      <c r="AA46" s="105"/>
      <c r="AB46" s="40" t="s">
        <v>1513</v>
      </c>
      <c r="AC46" s="40" t="s">
        <v>1955</v>
      </c>
      <c r="AD46" s="106"/>
      <c r="AE46" s="102" t="s">
        <v>1787</v>
      </c>
      <c r="AF46" s="40" t="s">
        <v>517</v>
      </c>
      <c r="AG46" s="40" t="s">
        <v>2283</v>
      </c>
      <c r="AH46" s="40"/>
      <c r="AI46" s="40"/>
      <c r="AJ46" s="87"/>
      <c r="AK46" s="40" t="s">
        <v>1902</v>
      </c>
      <c r="AL46" s="40"/>
      <c r="AM46" s="40"/>
      <c r="AN46" s="87"/>
      <c r="AO46" s="87"/>
      <c r="AP46" s="87"/>
      <c r="AQ46" s="87"/>
      <c r="AR46" s="107"/>
      <c r="AS46" s="107"/>
      <c r="AT46" s="102" t="s">
        <v>2753</v>
      </c>
      <c r="AU46" s="108" t="s">
        <v>1789</v>
      </c>
      <c r="AV46" s="106"/>
      <c r="AW46" s="129" t="s">
        <v>1613</v>
      </c>
      <c r="AX46" s="109">
        <f>IFERROR(IF(PAC!$X46="F01 - CAPTAÇÃO DE RECURSO",1,""),"")</f>
        <v>1</v>
      </c>
      <c r="AY46" s="109" t="str">
        <f>IFERROR(IF(PAC!$X46="F02 - LICITAÇÃO",1,""),"")</f>
        <v/>
      </c>
      <c r="AZ46" s="110" t="str">
        <f>IFERROR(IF(PAC!$X$6:$X$581="F03 - EXECUÇÃO DO OBJETO",1,""),"")</f>
        <v/>
      </c>
      <c r="BA46" s="110" t="str">
        <f>IFERROR(IF(PAC!$X$6:$X$581="F04 - CONCLUÍDA",1,""),"")</f>
        <v/>
      </c>
      <c r="BB46" s="111">
        <f>IF(PAC!$R46&gt;0,0,PAC!$Q46)</f>
        <v>34701703.869999997</v>
      </c>
    </row>
    <row r="47" spans="1:70" s="1" customFormat="1" ht="158.25" hidden="1" customHeight="1" thickBot="1">
      <c r="A47" s="112">
        <f t="shared" si="0"/>
        <v>42</v>
      </c>
      <c r="B47" s="112">
        <v>2023</v>
      </c>
      <c r="C47" s="112" t="s">
        <v>605</v>
      </c>
      <c r="D47" s="112" t="s">
        <v>1010</v>
      </c>
      <c r="E47" s="130" t="s">
        <v>1786</v>
      </c>
      <c r="F47" s="115" t="s">
        <v>53</v>
      </c>
      <c r="G47" s="115" t="s">
        <v>612</v>
      </c>
      <c r="H47" s="112" t="s">
        <v>1244</v>
      </c>
      <c r="I47" s="112" t="s">
        <v>1238</v>
      </c>
      <c r="J47" s="112" t="s">
        <v>420</v>
      </c>
      <c r="K47" s="31">
        <v>46411180.210000001</v>
      </c>
      <c r="L47" s="31"/>
      <c r="M47" s="31"/>
      <c r="N47" s="31"/>
      <c r="O47" s="31"/>
      <c r="P47" s="31">
        <v>46411180.210000001</v>
      </c>
      <c r="Q47" s="33">
        <f>SUM(PAC!$M47:$P47)</f>
        <v>46411180.210000001</v>
      </c>
      <c r="R47" s="33"/>
      <c r="S47" s="33">
        <f>IF(PAC!$R47&gt;0,PAC!$R47,PAC!$Q47)</f>
        <v>46411180.210000001</v>
      </c>
      <c r="T47" s="33"/>
      <c r="U47" s="116" t="s">
        <v>594</v>
      </c>
      <c r="V47" s="116" t="s">
        <v>1764</v>
      </c>
      <c r="W47" s="117">
        <v>36</v>
      </c>
      <c r="X47" s="117" t="s">
        <v>1419</v>
      </c>
      <c r="Y47" s="113" t="s">
        <v>2473</v>
      </c>
      <c r="Z47" s="118"/>
      <c r="AA47" s="119"/>
      <c r="AB47" s="115" t="s">
        <v>1513</v>
      </c>
      <c r="AC47" s="115" t="s">
        <v>1955</v>
      </c>
      <c r="AD47" s="120"/>
      <c r="AE47" s="114" t="s">
        <v>1954</v>
      </c>
      <c r="AF47" s="115" t="s">
        <v>1788</v>
      </c>
      <c r="AG47" s="115" t="s">
        <v>2283</v>
      </c>
      <c r="AH47" s="115"/>
      <c r="AI47" s="115"/>
      <c r="AJ47" s="118"/>
      <c r="AK47" s="115" t="s">
        <v>1912</v>
      </c>
      <c r="AL47" s="115"/>
      <c r="AM47" s="115"/>
      <c r="AN47" s="118"/>
      <c r="AO47" s="118"/>
      <c r="AP47" s="118"/>
      <c r="AQ47" s="118"/>
      <c r="AR47" s="121"/>
      <c r="AS47" s="121"/>
      <c r="AT47" s="114" t="s">
        <v>2746</v>
      </c>
      <c r="AU47" s="122" t="s">
        <v>1789</v>
      </c>
      <c r="AV47" s="120"/>
      <c r="AW47" s="131" t="s">
        <v>1613</v>
      </c>
      <c r="AX47" s="194">
        <f>IFERROR(IF(PAC!$X47="F01 - CAPTAÇÃO DE RECURSO",1,""),"")</f>
        <v>1</v>
      </c>
      <c r="AY47" s="194" t="str">
        <f>IFERROR(IF(PAC!$X47="F02 - LICITAÇÃO",1,""),"")</f>
        <v/>
      </c>
      <c r="AZ47" s="123" t="str">
        <f>IFERROR(IF(PAC!$X$6:$X$581="F03 - EXECUÇÃO DO OBJETO",1,""),"")</f>
        <v/>
      </c>
      <c r="BA47" s="123" t="str">
        <f>IFERROR(IF(PAC!$X$6:$X$581="F04 - CONCLUÍDA",1,""),"")</f>
        <v/>
      </c>
      <c r="BB47" s="191">
        <f>IF(PAC!$R47&gt;0,0,PAC!$Q47)</f>
        <v>46411180.210000001</v>
      </c>
    </row>
    <row r="48" spans="1:70" s="1" customFormat="1" ht="247.5" hidden="1" customHeight="1" thickBot="1">
      <c r="A48" s="88">
        <f t="shared" si="0"/>
        <v>43</v>
      </c>
      <c r="B48" s="101">
        <v>2023</v>
      </c>
      <c r="C48" s="88" t="s">
        <v>605</v>
      </c>
      <c r="D48" s="88" t="s">
        <v>1010</v>
      </c>
      <c r="E48" s="102" t="s">
        <v>993</v>
      </c>
      <c r="F48" s="88" t="s">
        <v>53</v>
      </c>
      <c r="G48" s="88" t="s">
        <v>612</v>
      </c>
      <c r="H48" s="40" t="s">
        <v>1244</v>
      </c>
      <c r="I48" s="88" t="s">
        <v>1238</v>
      </c>
      <c r="J48" s="88" t="s">
        <v>143</v>
      </c>
      <c r="K48" s="18"/>
      <c r="L48" s="18">
        <v>19115210.649999999</v>
      </c>
      <c r="M48" s="18">
        <v>19115211</v>
      </c>
      <c r="N48" s="18"/>
      <c r="O48" s="18"/>
      <c r="P48" s="18"/>
      <c r="Q48" s="20">
        <f>SUM(PAC!$M48:$P48)</f>
        <v>19115211</v>
      </c>
      <c r="R48" s="20">
        <v>16698771.58</v>
      </c>
      <c r="S48" s="20">
        <f>IF(PAC!$R48&gt;0,PAC!$R48,PAC!$Q48)</f>
        <v>16698771.58</v>
      </c>
      <c r="T48" s="20" t="s">
        <v>1597</v>
      </c>
      <c r="U48" s="103" t="s">
        <v>1570</v>
      </c>
      <c r="V48" s="103"/>
      <c r="W48" s="104">
        <v>15</v>
      </c>
      <c r="X48" s="104" t="s">
        <v>1694</v>
      </c>
      <c r="Y48" s="101" t="s">
        <v>2470</v>
      </c>
      <c r="Z48" s="87">
        <v>46455</v>
      </c>
      <c r="AA48" s="105">
        <v>15.03</v>
      </c>
      <c r="AB48" s="40"/>
      <c r="AC48" s="40"/>
      <c r="AD48" s="106"/>
      <c r="AE48" s="102"/>
      <c r="AF48" s="40" t="s">
        <v>659</v>
      </c>
      <c r="AG48" s="40" t="s">
        <v>657</v>
      </c>
      <c r="AH48" s="40" t="s">
        <v>977</v>
      </c>
      <c r="AI48" s="40"/>
      <c r="AJ48" s="87"/>
      <c r="AK48" s="40" t="s">
        <v>1193</v>
      </c>
      <c r="AL48" s="40" t="s">
        <v>1194</v>
      </c>
      <c r="AM48" s="40"/>
      <c r="AN48" s="87">
        <v>45759</v>
      </c>
      <c r="AO48" s="87">
        <v>45841</v>
      </c>
      <c r="AP48" s="87">
        <v>45886</v>
      </c>
      <c r="AQ48" s="87">
        <v>46000</v>
      </c>
      <c r="AR48" s="107">
        <v>46455</v>
      </c>
      <c r="AS48" s="107">
        <v>46455</v>
      </c>
      <c r="AT48" s="102" t="s">
        <v>2684</v>
      </c>
      <c r="AU48" s="108" t="s">
        <v>1712</v>
      </c>
      <c r="AV48" s="106"/>
      <c r="AW48" s="105" t="s">
        <v>707</v>
      </c>
      <c r="AX48" s="109" t="str">
        <f>IFERROR(IF(PAC!$X48="F01 - CAPTAÇÃO DE RECURSO",1,""),"")</f>
        <v/>
      </c>
      <c r="AY48" s="109" t="str">
        <f>IFERROR(IF(PAC!$X48="F02 - LICITAÇÃO",1,""),"")</f>
        <v/>
      </c>
      <c r="AZ48" s="110">
        <f>IFERROR(IF(PAC!$X$6:$X$581="F03 - EXECUÇÃO DO OBJETO",1,""),"")</f>
        <v>1</v>
      </c>
      <c r="BA48" s="110" t="str">
        <f>IFERROR(IF(PAC!$X$6:$X$581="F04 - CONCLUÍDA",1,""),"")</f>
        <v/>
      </c>
      <c r="BB48" s="111">
        <f>IF(PAC!$R48&gt;0,0,PAC!$Q48)</f>
        <v>0</v>
      </c>
    </row>
    <row r="49" spans="1:54" s="1" customFormat="1" ht="189.75" hidden="1" customHeight="1" thickBot="1">
      <c r="A49" s="112">
        <f t="shared" si="0"/>
        <v>44</v>
      </c>
      <c r="B49" s="113">
        <v>2023</v>
      </c>
      <c r="C49" s="112" t="s">
        <v>605</v>
      </c>
      <c r="D49" s="112" t="s">
        <v>1011</v>
      </c>
      <c r="E49" s="114" t="s">
        <v>469</v>
      </c>
      <c r="F49" s="112" t="s">
        <v>53</v>
      </c>
      <c r="G49" s="112" t="s">
        <v>612</v>
      </c>
      <c r="H49" s="115" t="s">
        <v>1244</v>
      </c>
      <c r="I49" s="112" t="s">
        <v>1238</v>
      </c>
      <c r="J49" s="112" t="s">
        <v>361</v>
      </c>
      <c r="K49" s="31"/>
      <c r="L49" s="31"/>
      <c r="M49" s="31">
        <v>78622204.780000001</v>
      </c>
      <c r="N49" s="31"/>
      <c r="O49" s="31"/>
      <c r="P49" s="31"/>
      <c r="Q49" s="33">
        <f>SUM(PAC!$M49:$P49)</f>
        <v>78622204.780000001</v>
      </c>
      <c r="R49" s="33">
        <v>94971708.950000003</v>
      </c>
      <c r="S49" s="33">
        <f>IF(PAC!$R49&gt;0,PAC!$R49,PAC!$Q49)</f>
        <v>94971708.950000003</v>
      </c>
      <c r="T49" s="33" t="s">
        <v>1952</v>
      </c>
      <c r="U49" s="116" t="s">
        <v>1570</v>
      </c>
      <c r="V49" s="116"/>
      <c r="W49" s="117">
        <v>30</v>
      </c>
      <c r="X49" s="117" t="s">
        <v>1694</v>
      </c>
      <c r="Y49" s="113" t="s">
        <v>2470</v>
      </c>
      <c r="Z49" s="118">
        <v>46302</v>
      </c>
      <c r="AA49" s="119">
        <v>80.989999999999995</v>
      </c>
      <c r="AB49" s="115"/>
      <c r="AC49" s="115"/>
      <c r="AD49" s="120"/>
      <c r="AE49" s="114"/>
      <c r="AF49" s="115"/>
      <c r="AG49" s="115" t="s">
        <v>2244</v>
      </c>
      <c r="AH49" s="115" t="s">
        <v>977</v>
      </c>
      <c r="AI49" s="115"/>
      <c r="AJ49" s="118"/>
      <c r="AK49" s="115" t="s">
        <v>1913</v>
      </c>
      <c r="AL49" s="115" t="s">
        <v>1186</v>
      </c>
      <c r="AM49" s="115"/>
      <c r="AN49" s="118">
        <v>45160</v>
      </c>
      <c r="AO49" s="118">
        <v>45184</v>
      </c>
      <c r="AP49" s="118">
        <v>45210</v>
      </c>
      <c r="AQ49" s="118">
        <v>45300</v>
      </c>
      <c r="AR49" s="121">
        <v>46200</v>
      </c>
      <c r="AS49" s="121">
        <v>46302</v>
      </c>
      <c r="AT49" s="127" t="s">
        <v>2487</v>
      </c>
      <c r="AU49" s="115" t="s">
        <v>688</v>
      </c>
      <c r="AV49" s="120"/>
      <c r="AW49" s="119"/>
      <c r="AX49" s="194" t="str">
        <f>IFERROR(IF(PAC!$X49="F01 - CAPTAÇÃO DE RECURSO",1,""),"")</f>
        <v/>
      </c>
      <c r="AY49" s="194" t="str">
        <f>IFERROR(IF(PAC!$X49="F02 - LICITAÇÃO",1,""),"")</f>
        <v/>
      </c>
      <c r="AZ49" s="123">
        <f>IFERROR(IF(PAC!$X$6:$X$581="F03 - EXECUÇÃO DO OBJETO",1,""),"")</f>
        <v>1</v>
      </c>
      <c r="BA49" s="123" t="str">
        <f>IFERROR(IF(PAC!$X$6:$X$581="F04 - CONCLUÍDA",1,""),"")</f>
        <v/>
      </c>
      <c r="BB49" s="191">
        <f>IF(PAC!$R49&gt;0,0,PAC!$Q49)</f>
        <v>0</v>
      </c>
    </row>
    <row r="50" spans="1:54" s="1" customFormat="1" ht="315.75" hidden="1" customHeight="1" thickBot="1">
      <c r="A50" s="88">
        <f t="shared" si="0"/>
        <v>45</v>
      </c>
      <c r="B50" s="101">
        <v>2023</v>
      </c>
      <c r="C50" s="88" t="s">
        <v>605</v>
      </c>
      <c r="D50" s="88" t="s">
        <v>1010</v>
      </c>
      <c r="E50" s="102" t="s">
        <v>2052</v>
      </c>
      <c r="F50" s="88" t="s">
        <v>53</v>
      </c>
      <c r="G50" s="88" t="s">
        <v>612</v>
      </c>
      <c r="H50" s="40" t="s">
        <v>1244</v>
      </c>
      <c r="I50" s="88" t="s">
        <v>1238</v>
      </c>
      <c r="J50" s="88" t="s">
        <v>361</v>
      </c>
      <c r="K50" s="18"/>
      <c r="L50" s="18">
        <v>9086276.1500000004</v>
      </c>
      <c r="M50" s="18">
        <v>13449628.93</v>
      </c>
      <c r="N50" s="18"/>
      <c r="O50" s="18"/>
      <c r="P50" s="18"/>
      <c r="Q50" s="20">
        <f>SUM(PAC!$M50:$P50)</f>
        <v>13449628.93</v>
      </c>
      <c r="R50" s="20">
        <v>9660258.5899999999</v>
      </c>
      <c r="S50" s="20">
        <f>IF(PAC!$R50&gt;0,PAC!$R50,PAC!$Q50)</f>
        <v>9660258.5899999999</v>
      </c>
      <c r="T50" s="20" t="s">
        <v>1784</v>
      </c>
      <c r="U50" s="103" t="s">
        <v>1570</v>
      </c>
      <c r="V50" s="103"/>
      <c r="W50" s="104">
        <v>12</v>
      </c>
      <c r="X50" s="104" t="s">
        <v>1694</v>
      </c>
      <c r="Y50" s="101" t="s">
        <v>2470</v>
      </c>
      <c r="Z50" s="87">
        <v>46522</v>
      </c>
      <c r="AA50" s="105">
        <v>3</v>
      </c>
      <c r="AB50" s="40"/>
      <c r="AC50" s="40"/>
      <c r="AD50" s="106">
        <v>46522</v>
      </c>
      <c r="AE50" s="102"/>
      <c r="AF50" s="40" t="s">
        <v>656</v>
      </c>
      <c r="AG50" s="40" t="s">
        <v>658</v>
      </c>
      <c r="AH50" s="40" t="s">
        <v>977</v>
      </c>
      <c r="AI50" s="40"/>
      <c r="AJ50" s="87"/>
      <c r="AK50" s="40" t="s">
        <v>1842</v>
      </c>
      <c r="AL50" s="40" t="s">
        <v>1224</v>
      </c>
      <c r="AM50" s="40"/>
      <c r="AN50" s="87">
        <v>45906</v>
      </c>
      <c r="AO50" s="87">
        <v>45975</v>
      </c>
      <c r="AP50" s="87">
        <v>46042</v>
      </c>
      <c r="AQ50" s="87">
        <v>46157</v>
      </c>
      <c r="AR50" s="107">
        <v>46522</v>
      </c>
      <c r="AS50" s="107">
        <v>46522</v>
      </c>
      <c r="AT50" s="102" t="s">
        <v>2354</v>
      </c>
      <c r="AU50" s="108" t="s">
        <v>1791</v>
      </c>
      <c r="AV50" s="106"/>
      <c r="AW50" s="105" t="s">
        <v>707</v>
      </c>
      <c r="AX50" s="109" t="str">
        <f>IFERROR(IF(PAC!$X50="F01 - CAPTAÇÃO DE RECURSO",1,""),"")</f>
        <v/>
      </c>
      <c r="AY50" s="109" t="str">
        <f>IFERROR(IF(PAC!$X50="F02 - LICITAÇÃO",1,""),"")</f>
        <v/>
      </c>
      <c r="AZ50" s="110">
        <f>IFERROR(IF(PAC!$X$6:$X$581="F03 - EXECUÇÃO DO OBJETO",1,""),"")</f>
        <v>1</v>
      </c>
      <c r="BA50" s="110" t="str">
        <f>IFERROR(IF(PAC!$X$6:$X$581="F04 - CONCLUÍDA",1,""),"")</f>
        <v/>
      </c>
      <c r="BB50" s="111">
        <f>IF(PAC!$R50&gt;0,0,PAC!$Q50)</f>
        <v>0</v>
      </c>
    </row>
    <row r="51" spans="1:54" s="1" customFormat="1" ht="252.75" hidden="1" customHeight="1" thickBot="1">
      <c r="A51" s="112">
        <f t="shared" si="0"/>
        <v>46</v>
      </c>
      <c r="B51" s="113">
        <v>2023</v>
      </c>
      <c r="C51" s="112" t="s">
        <v>610</v>
      </c>
      <c r="D51" s="112" t="s">
        <v>1010</v>
      </c>
      <c r="E51" s="114" t="s">
        <v>1577</v>
      </c>
      <c r="F51" s="112" t="s">
        <v>53</v>
      </c>
      <c r="G51" s="112" t="s">
        <v>612</v>
      </c>
      <c r="H51" s="115" t="s">
        <v>1244</v>
      </c>
      <c r="I51" s="112" t="s">
        <v>1238</v>
      </c>
      <c r="J51" s="112" t="s">
        <v>50</v>
      </c>
      <c r="K51" s="31"/>
      <c r="L51" s="31">
        <v>16525797.609999999</v>
      </c>
      <c r="M51" s="31">
        <v>826290</v>
      </c>
      <c r="N51" s="31"/>
      <c r="O51" s="31"/>
      <c r="P51" s="31"/>
      <c r="Q51" s="33">
        <f>SUM(PAC!$M51:$P51)</f>
        <v>826290</v>
      </c>
      <c r="R51" s="33">
        <v>671333.89</v>
      </c>
      <c r="S51" s="33">
        <f>IF(PAC!$R51&gt;0,PAC!$R51,PAC!$Q51)</f>
        <v>671333.89</v>
      </c>
      <c r="T51" s="33" t="s">
        <v>2095</v>
      </c>
      <c r="U51" s="116" t="s">
        <v>1570</v>
      </c>
      <c r="V51" s="116"/>
      <c r="W51" s="117">
        <v>4</v>
      </c>
      <c r="X51" s="117" t="s">
        <v>1694</v>
      </c>
      <c r="Y51" s="113" t="s">
        <v>2470</v>
      </c>
      <c r="Z51" s="118">
        <v>46304</v>
      </c>
      <c r="AA51" s="119"/>
      <c r="AB51" s="115"/>
      <c r="AC51" s="115"/>
      <c r="AD51" s="120"/>
      <c r="AE51" s="114"/>
      <c r="AF51" s="115" t="s">
        <v>660</v>
      </c>
      <c r="AG51" s="115" t="s">
        <v>666</v>
      </c>
      <c r="AH51" s="115" t="s">
        <v>977</v>
      </c>
      <c r="AI51" s="115"/>
      <c r="AJ51" s="118"/>
      <c r="AK51" s="115" t="s">
        <v>1926</v>
      </c>
      <c r="AL51" s="115"/>
      <c r="AM51" s="115"/>
      <c r="AN51" s="118">
        <v>46056</v>
      </c>
      <c r="AO51" s="118">
        <v>46129</v>
      </c>
      <c r="AP51" s="118">
        <v>46157</v>
      </c>
      <c r="AQ51" s="118">
        <v>46182</v>
      </c>
      <c r="AR51" s="121">
        <v>46304</v>
      </c>
      <c r="AS51" s="121">
        <v>46304</v>
      </c>
      <c r="AT51" s="114" t="s">
        <v>2549</v>
      </c>
      <c r="AU51" s="122" t="s">
        <v>2045</v>
      </c>
      <c r="AV51" s="120"/>
      <c r="AW51" s="119" t="s">
        <v>1016</v>
      </c>
      <c r="AX51" s="194" t="str">
        <f>IFERROR(IF(PAC!$X51="F01 - CAPTAÇÃO DE RECURSO",1,""),"")</f>
        <v/>
      </c>
      <c r="AY51" s="194" t="str">
        <f>IFERROR(IF(PAC!$X51="F02 - LICITAÇÃO",1,""),"")</f>
        <v/>
      </c>
      <c r="AZ51" s="123">
        <f>IFERROR(IF(PAC!$X$6:$X$581="F03 - EXECUÇÃO DO OBJETO",1,""),"")</f>
        <v>1</v>
      </c>
      <c r="BA51" s="123" t="str">
        <f>IFERROR(IF(PAC!$X$6:$X$581="F04 - CONCLUÍDA",1,""),"")</f>
        <v/>
      </c>
      <c r="BB51" s="191">
        <f>IF(PAC!$R51&gt;0,0,PAC!$Q51)</f>
        <v>0</v>
      </c>
    </row>
    <row r="52" spans="1:54" s="2" customFormat="1" ht="409.6" hidden="1" customHeight="1" thickBot="1">
      <c r="A52" s="88">
        <f t="shared" si="0"/>
        <v>47</v>
      </c>
      <c r="B52" s="88">
        <v>2025</v>
      </c>
      <c r="C52" s="88" t="s">
        <v>605</v>
      </c>
      <c r="D52" s="88" t="s">
        <v>1010</v>
      </c>
      <c r="E52" s="102" t="s">
        <v>2265</v>
      </c>
      <c r="F52" s="88" t="s">
        <v>53</v>
      </c>
      <c r="G52" s="88" t="s">
        <v>612</v>
      </c>
      <c r="H52" s="40" t="s">
        <v>1244</v>
      </c>
      <c r="I52" s="88" t="s">
        <v>1238</v>
      </c>
      <c r="J52" s="88" t="s">
        <v>103</v>
      </c>
      <c r="K52" s="18">
        <v>46159223.990750007</v>
      </c>
      <c r="L52" s="18"/>
      <c r="M52" s="18"/>
      <c r="N52" s="18"/>
      <c r="O52" s="18"/>
      <c r="P52" s="18">
        <v>46187619.640000001</v>
      </c>
      <c r="Q52" s="20">
        <f>SUM(PAC!$M52:$P52)</f>
        <v>46187619.640000001</v>
      </c>
      <c r="R52" s="20"/>
      <c r="S52" s="20">
        <f>IF(PAC!$R52&gt;0,PAC!$R52,PAC!$Q52)</f>
        <v>46187619.640000001</v>
      </c>
      <c r="T52" s="20"/>
      <c r="U52" s="103" t="s">
        <v>594</v>
      </c>
      <c r="V52" s="103" t="s">
        <v>1764</v>
      </c>
      <c r="W52" s="104">
        <v>36</v>
      </c>
      <c r="X52" s="104" t="s">
        <v>1419</v>
      </c>
      <c r="Y52" s="101" t="s">
        <v>2473</v>
      </c>
      <c r="Z52" s="87"/>
      <c r="AA52" s="105"/>
      <c r="AB52" s="40" t="s">
        <v>1509</v>
      </c>
      <c r="AC52" s="40" t="s">
        <v>1943</v>
      </c>
      <c r="AD52" s="106">
        <v>46325</v>
      </c>
      <c r="AE52" s="102" t="s">
        <v>1757</v>
      </c>
      <c r="AF52" s="40" t="s">
        <v>1645</v>
      </c>
      <c r="AG52" s="40"/>
      <c r="AH52" s="40"/>
      <c r="AI52" s="40"/>
      <c r="AJ52" s="87"/>
      <c r="AK52" s="40" t="s">
        <v>1899</v>
      </c>
      <c r="AL52" s="40"/>
      <c r="AM52" s="40"/>
      <c r="AN52" s="87"/>
      <c r="AO52" s="87"/>
      <c r="AP52" s="87"/>
      <c r="AQ52" s="87"/>
      <c r="AR52" s="107"/>
      <c r="AS52" s="107"/>
      <c r="AT52" s="102"/>
      <c r="AU52" s="108"/>
      <c r="AV52" s="106"/>
      <c r="AW52" s="105" t="s">
        <v>707</v>
      </c>
      <c r="AX52" s="109">
        <f>IFERROR(IF(PAC!$X52="F01 - CAPTAÇÃO DE RECURSO",1,""),"")</f>
        <v>1</v>
      </c>
      <c r="AY52" s="109" t="str">
        <f>IFERROR(IF(PAC!$X52="F02 - LICITAÇÃO",1,""),"")</f>
        <v/>
      </c>
      <c r="AZ52" s="110" t="str">
        <f>IFERROR(IF(PAC!$X$6:$X$581="F03 - EXECUÇÃO DO OBJETO",1,""),"")</f>
        <v/>
      </c>
      <c r="BA52" s="110" t="str">
        <f>IFERROR(IF(PAC!$X$6:$X$581="F04 - CONCLUÍDA",1,""),"")</f>
        <v/>
      </c>
      <c r="BB52" s="111">
        <f>IF(PAC!$R52&gt;0,0,PAC!$Q52)</f>
        <v>46187619.640000001</v>
      </c>
    </row>
    <row r="53" spans="1:54" s="2" customFormat="1" ht="409.6" hidden="1" customHeight="1" thickBot="1">
      <c r="A53" s="112">
        <f t="shared" si="0"/>
        <v>48</v>
      </c>
      <c r="B53" s="112">
        <v>2025</v>
      </c>
      <c r="C53" s="112" t="s">
        <v>605</v>
      </c>
      <c r="D53" s="112" t="s">
        <v>1010</v>
      </c>
      <c r="E53" s="114" t="s">
        <v>2436</v>
      </c>
      <c r="F53" s="112" t="s">
        <v>53</v>
      </c>
      <c r="G53" s="112" t="s">
        <v>612</v>
      </c>
      <c r="H53" s="115" t="s">
        <v>1244</v>
      </c>
      <c r="I53" s="112" t="s">
        <v>1238</v>
      </c>
      <c r="J53" s="112" t="s">
        <v>189</v>
      </c>
      <c r="K53" s="31"/>
      <c r="L53" s="31">
        <v>22800366.739999998</v>
      </c>
      <c r="M53" s="31">
        <v>22800366.739999998</v>
      </c>
      <c r="N53" s="31"/>
      <c r="O53" s="31"/>
      <c r="P53" s="31"/>
      <c r="Q53" s="33">
        <f>SUM(PAC!$M53:$P53)</f>
        <v>22800366.739999998</v>
      </c>
      <c r="R53" s="33"/>
      <c r="S53" s="33">
        <f>IF(PAC!$R53&gt;0,PAC!$R53,PAC!$Q53)</f>
        <v>22800366.739999998</v>
      </c>
      <c r="T53" s="33"/>
      <c r="U53" s="116" t="s">
        <v>1570</v>
      </c>
      <c r="V53" s="116"/>
      <c r="W53" s="117">
        <v>36</v>
      </c>
      <c r="X53" s="117" t="s">
        <v>1418</v>
      </c>
      <c r="Y53" s="113" t="s">
        <v>2472</v>
      </c>
      <c r="Z53" s="118"/>
      <c r="AA53" s="119"/>
      <c r="AB53" s="115" t="s">
        <v>1464</v>
      </c>
      <c r="AC53" s="125" t="s">
        <v>2438</v>
      </c>
      <c r="AD53" s="120">
        <v>46293</v>
      </c>
      <c r="AE53" s="114" t="s">
        <v>2164</v>
      </c>
      <c r="AF53" s="115" t="s">
        <v>1645</v>
      </c>
      <c r="AG53" s="115" t="s">
        <v>1759</v>
      </c>
      <c r="AH53" s="115" t="s">
        <v>1974</v>
      </c>
      <c r="AI53" s="115" t="s">
        <v>1758</v>
      </c>
      <c r="AJ53" s="118">
        <v>46296</v>
      </c>
      <c r="AK53" s="115" t="s">
        <v>1919</v>
      </c>
      <c r="AL53" s="115"/>
      <c r="AM53" s="115"/>
      <c r="AN53" s="118">
        <v>46223</v>
      </c>
      <c r="AO53" s="118">
        <v>46293</v>
      </c>
      <c r="AP53" s="118">
        <v>46341</v>
      </c>
      <c r="AQ53" s="118"/>
      <c r="AR53" s="121"/>
      <c r="AS53" s="121"/>
      <c r="AT53" s="114" t="s">
        <v>2631</v>
      </c>
      <c r="AU53" s="122" t="s">
        <v>2437</v>
      </c>
      <c r="AV53" s="120"/>
      <c r="AW53" s="119" t="s">
        <v>707</v>
      </c>
      <c r="AX53" s="194" t="str">
        <f>IFERROR(IF(PAC!$X53="F01 - CAPTAÇÃO DE RECURSO",1,""),"")</f>
        <v/>
      </c>
      <c r="AY53" s="194">
        <f>IFERROR(IF(PAC!$X53="F02 - LICITAÇÃO",1,""),"")</f>
        <v>1</v>
      </c>
      <c r="AZ53" s="123" t="str">
        <f>IFERROR(IF(PAC!$X$6:$X$581="F03 - EXECUÇÃO DO OBJETO",1,""),"")</f>
        <v/>
      </c>
      <c r="BA53" s="123" t="str">
        <f>IFERROR(IF(PAC!$X$6:$X$581="F04 - CONCLUÍDA",1,""),"")</f>
        <v/>
      </c>
      <c r="BB53" s="191">
        <f>IF(PAC!$R53&gt;0,0,PAC!$Q53)</f>
        <v>22800366.739999998</v>
      </c>
    </row>
    <row r="54" spans="1:54" s="2" customFormat="1" ht="409.6" hidden="1" customHeight="1" thickBot="1">
      <c r="A54" s="88">
        <f t="shared" si="0"/>
        <v>49</v>
      </c>
      <c r="B54" s="88">
        <v>2025</v>
      </c>
      <c r="C54" s="88" t="s">
        <v>605</v>
      </c>
      <c r="D54" s="88" t="s">
        <v>1010</v>
      </c>
      <c r="E54" s="102" t="s">
        <v>995</v>
      </c>
      <c r="F54" s="88" t="s">
        <v>53</v>
      </c>
      <c r="G54" s="88" t="s">
        <v>612</v>
      </c>
      <c r="H54" s="40" t="s">
        <v>1244</v>
      </c>
      <c r="I54" s="88" t="s">
        <v>1238</v>
      </c>
      <c r="J54" s="88" t="s">
        <v>361</v>
      </c>
      <c r="K54" s="18">
        <v>13324752.48</v>
      </c>
      <c r="L54" s="18"/>
      <c r="M54" s="18"/>
      <c r="N54" s="18"/>
      <c r="O54" s="18"/>
      <c r="P54" s="18">
        <v>13324752.48</v>
      </c>
      <c r="Q54" s="20">
        <f>SUM(PAC!$M54:$P54)</f>
        <v>13324752.48</v>
      </c>
      <c r="R54" s="20"/>
      <c r="S54" s="20">
        <f>IF(PAC!$R54&gt;0,PAC!$R54,PAC!$Q54)</f>
        <v>13324752.48</v>
      </c>
      <c r="T54" s="20"/>
      <c r="U54" s="103" t="s">
        <v>594</v>
      </c>
      <c r="V54" s="103" t="s">
        <v>1764</v>
      </c>
      <c r="W54" s="104">
        <v>36</v>
      </c>
      <c r="X54" s="104" t="s">
        <v>1419</v>
      </c>
      <c r="Y54" s="101" t="s">
        <v>2473</v>
      </c>
      <c r="Z54" s="87"/>
      <c r="AA54" s="105"/>
      <c r="AB54" s="40" t="s">
        <v>1509</v>
      </c>
      <c r="AC54" s="40" t="s">
        <v>1943</v>
      </c>
      <c r="AD54" s="106">
        <v>46325</v>
      </c>
      <c r="AE54" s="102" t="s">
        <v>1757</v>
      </c>
      <c r="AF54" s="40" t="s">
        <v>1646</v>
      </c>
      <c r="AG54" s="40"/>
      <c r="AH54" s="40"/>
      <c r="AI54" s="40"/>
      <c r="AJ54" s="87"/>
      <c r="AK54" s="40" t="s">
        <v>1914</v>
      </c>
      <c r="AL54" s="40"/>
      <c r="AM54" s="40"/>
      <c r="AN54" s="87"/>
      <c r="AO54" s="87"/>
      <c r="AP54" s="87"/>
      <c r="AQ54" s="87"/>
      <c r="AR54" s="107"/>
      <c r="AS54" s="107"/>
      <c r="AT54" s="102"/>
      <c r="AU54" s="108"/>
      <c r="AV54" s="106"/>
      <c r="AW54" s="105" t="s">
        <v>707</v>
      </c>
      <c r="AX54" s="109">
        <f>IFERROR(IF(PAC!$X54="F01 - CAPTAÇÃO DE RECURSO",1,""),"")</f>
        <v>1</v>
      </c>
      <c r="AY54" s="109" t="str">
        <f>IFERROR(IF(PAC!$X54="F02 - LICITAÇÃO",1,""),"")</f>
        <v/>
      </c>
      <c r="AZ54" s="110" t="str">
        <f>IFERROR(IF(PAC!$X$6:$X$581="F03 - EXECUÇÃO DO OBJETO",1,""),"")</f>
        <v/>
      </c>
      <c r="BA54" s="110" t="str">
        <f>IFERROR(IF(PAC!$X$6:$X$581="F04 - CONCLUÍDA",1,""),"")</f>
        <v/>
      </c>
      <c r="BB54" s="111">
        <f>IF(PAC!$R54&gt;0,0,PAC!$Q54)</f>
        <v>13324752.48</v>
      </c>
    </row>
    <row r="55" spans="1:54" s="2" customFormat="1" ht="409.6" hidden="1" customHeight="1" thickBot="1">
      <c r="A55" s="112">
        <f t="shared" si="0"/>
        <v>50</v>
      </c>
      <c r="B55" s="112">
        <v>2025</v>
      </c>
      <c r="C55" s="112" t="s">
        <v>605</v>
      </c>
      <c r="D55" s="112" t="s">
        <v>1010</v>
      </c>
      <c r="E55" s="114" t="s">
        <v>2261</v>
      </c>
      <c r="F55" s="112" t="s">
        <v>53</v>
      </c>
      <c r="G55" s="112" t="s">
        <v>612</v>
      </c>
      <c r="H55" s="115" t="s">
        <v>1244</v>
      </c>
      <c r="I55" s="112" t="s">
        <v>1238</v>
      </c>
      <c r="J55" s="112" t="s">
        <v>143</v>
      </c>
      <c r="K55" s="31"/>
      <c r="L55" s="31">
        <v>16957482.629999999</v>
      </c>
      <c r="M55" s="31">
        <v>16957482.629999999</v>
      </c>
      <c r="N55" s="31"/>
      <c r="O55" s="31"/>
      <c r="P55" s="31"/>
      <c r="Q55" s="33">
        <f>SUM(PAC!$M55:$P55)</f>
        <v>16957482.629999999</v>
      </c>
      <c r="R55" s="33"/>
      <c r="S55" s="33">
        <f>IF(PAC!$R55&gt;0,PAC!$R55,PAC!$Q55)</f>
        <v>16957482.629999999</v>
      </c>
      <c r="T55" s="33"/>
      <c r="U55" s="116" t="s">
        <v>1570</v>
      </c>
      <c r="V55" s="116"/>
      <c r="W55" s="117">
        <v>36</v>
      </c>
      <c r="X55" s="117" t="s">
        <v>1419</v>
      </c>
      <c r="Y55" s="113" t="s">
        <v>2473</v>
      </c>
      <c r="Z55" s="118"/>
      <c r="AA55" s="119"/>
      <c r="AB55" s="115" t="s">
        <v>1456</v>
      </c>
      <c r="AC55" s="125" t="s">
        <v>2728</v>
      </c>
      <c r="AD55" s="120">
        <v>46260</v>
      </c>
      <c r="AE55" s="114" t="s">
        <v>2164</v>
      </c>
      <c r="AF55" s="115" t="s">
        <v>1734</v>
      </c>
      <c r="AG55" s="115" t="s">
        <v>1759</v>
      </c>
      <c r="AH55" s="115" t="s">
        <v>1974</v>
      </c>
      <c r="AI55" s="115" t="s">
        <v>1758</v>
      </c>
      <c r="AJ55" s="118">
        <v>46296</v>
      </c>
      <c r="AK55" s="115" t="s">
        <v>1920</v>
      </c>
      <c r="AL55" s="115"/>
      <c r="AM55" s="115"/>
      <c r="AN55" s="118"/>
      <c r="AO55" s="118"/>
      <c r="AP55" s="118"/>
      <c r="AQ55" s="118"/>
      <c r="AR55" s="121"/>
      <c r="AS55" s="121"/>
      <c r="AT55" s="127" t="s">
        <v>2729</v>
      </c>
      <c r="AU55" s="122"/>
      <c r="AV55" s="120"/>
      <c r="AW55" s="119" t="s">
        <v>707</v>
      </c>
      <c r="AX55" s="194">
        <f>IFERROR(IF(PAC!$X55="F01 - CAPTAÇÃO DE RECURSO",1,""),"")</f>
        <v>1</v>
      </c>
      <c r="AY55" s="194" t="str">
        <f>IFERROR(IF(PAC!$X55="F02 - LICITAÇÃO",1,""),"")</f>
        <v/>
      </c>
      <c r="AZ55" s="123" t="str">
        <f>IFERROR(IF(PAC!$X$6:$X$581="F03 - EXECUÇÃO DO OBJETO",1,""),"")</f>
        <v/>
      </c>
      <c r="BA55" s="123" t="str">
        <f>IFERROR(IF(PAC!$X$6:$X$581="F04 - CONCLUÍDA",1,""),"")</f>
        <v/>
      </c>
      <c r="BB55" s="191">
        <f>IF(PAC!$R55&gt;0,0,PAC!$Q55)</f>
        <v>16957482.629999999</v>
      </c>
    </row>
    <row r="56" spans="1:54" s="2" customFormat="1" ht="409.6" hidden="1" customHeight="1" thickBot="1">
      <c r="A56" s="88">
        <f t="shared" si="0"/>
        <v>51</v>
      </c>
      <c r="B56" s="88">
        <v>2025</v>
      </c>
      <c r="C56" s="88" t="s">
        <v>605</v>
      </c>
      <c r="D56" s="88" t="s">
        <v>1010</v>
      </c>
      <c r="E56" s="102" t="s">
        <v>944</v>
      </c>
      <c r="F56" s="88" t="s">
        <v>53</v>
      </c>
      <c r="G56" s="88" t="s">
        <v>612</v>
      </c>
      <c r="H56" s="40" t="s">
        <v>1244</v>
      </c>
      <c r="I56" s="88" t="s">
        <v>1238</v>
      </c>
      <c r="J56" s="88" t="s">
        <v>318</v>
      </c>
      <c r="K56" s="18">
        <v>10187655.130000001</v>
      </c>
      <c r="L56" s="18"/>
      <c r="M56" s="18"/>
      <c r="N56" s="18"/>
      <c r="O56" s="18"/>
      <c r="P56" s="18">
        <v>10187655.130000001</v>
      </c>
      <c r="Q56" s="20">
        <f>SUM(PAC!$M56:$P56)</f>
        <v>10187655.130000001</v>
      </c>
      <c r="R56" s="20"/>
      <c r="S56" s="20">
        <f>IF(PAC!$R56&gt;0,PAC!$R56,PAC!$Q56)</f>
        <v>10187655.130000001</v>
      </c>
      <c r="T56" s="20"/>
      <c r="U56" s="103" t="s">
        <v>594</v>
      </c>
      <c r="V56" s="103" t="s">
        <v>1764</v>
      </c>
      <c r="W56" s="104">
        <v>36</v>
      </c>
      <c r="X56" s="104" t="s">
        <v>1419</v>
      </c>
      <c r="Y56" s="101" t="s">
        <v>2473</v>
      </c>
      <c r="Z56" s="87"/>
      <c r="AA56" s="105"/>
      <c r="AB56" s="40" t="s">
        <v>1509</v>
      </c>
      <c r="AC56" s="40" t="s">
        <v>1943</v>
      </c>
      <c r="AD56" s="106">
        <v>46325</v>
      </c>
      <c r="AE56" s="102" t="s">
        <v>1757</v>
      </c>
      <c r="AF56" s="40" t="s">
        <v>1646</v>
      </c>
      <c r="AG56" s="40"/>
      <c r="AH56" s="40"/>
      <c r="AI56" s="40"/>
      <c r="AJ56" s="87"/>
      <c r="AK56" s="40" t="s">
        <v>1907</v>
      </c>
      <c r="AL56" s="40"/>
      <c r="AM56" s="40"/>
      <c r="AN56" s="87"/>
      <c r="AO56" s="87"/>
      <c r="AP56" s="87"/>
      <c r="AQ56" s="87"/>
      <c r="AR56" s="107"/>
      <c r="AS56" s="107"/>
      <c r="AT56" s="102"/>
      <c r="AU56" s="108"/>
      <c r="AV56" s="106"/>
      <c r="AW56" s="105" t="s">
        <v>707</v>
      </c>
      <c r="AX56" s="109">
        <f>IFERROR(IF(PAC!$X56="F01 - CAPTAÇÃO DE RECURSO",1,""),"")</f>
        <v>1</v>
      </c>
      <c r="AY56" s="109" t="str">
        <f>IFERROR(IF(PAC!$X56="F02 - LICITAÇÃO",1,""),"")</f>
        <v/>
      </c>
      <c r="AZ56" s="110" t="str">
        <f>IFERROR(IF(PAC!$X$6:$X$581="F03 - EXECUÇÃO DO OBJETO",1,""),"")</f>
        <v/>
      </c>
      <c r="BA56" s="110" t="str">
        <f>IFERROR(IF(PAC!$X$6:$X$581="F04 - CONCLUÍDA",1,""),"")</f>
        <v/>
      </c>
      <c r="BB56" s="111">
        <f>IF(PAC!$R56&gt;0,0,PAC!$Q56)</f>
        <v>10187655.130000001</v>
      </c>
    </row>
    <row r="57" spans="1:54" s="2" customFormat="1" ht="409.6" hidden="1" customHeight="1" thickBot="1">
      <c r="A57" s="112">
        <f t="shared" si="0"/>
        <v>52</v>
      </c>
      <c r="B57" s="112">
        <v>2025</v>
      </c>
      <c r="C57" s="112" t="s">
        <v>605</v>
      </c>
      <c r="D57" s="112" t="s">
        <v>1010</v>
      </c>
      <c r="E57" s="114" t="s">
        <v>1728</v>
      </c>
      <c r="F57" s="112" t="s">
        <v>53</v>
      </c>
      <c r="G57" s="112" t="s">
        <v>612</v>
      </c>
      <c r="H57" s="115" t="s">
        <v>1244</v>
      </c>
      <c r="I57" s="112" t="s">
        <v>1238</v>
      </c>
      <c r="J57" s="112" t="s">
        <v>280</v>
      </c>
      <c r="K57" s="31"/>
      <c r="L57" s="31">
        <v>76285208.239999995</v>
      </c>
      <c r="M57" s="31">
        <v>76285208.239999995</v>
      </c>
      <c r="N57" s="31"/>
      <c r="O57" s="31"/>
      <c r="P57" s="31"/>
      <c r="Q57" s="33">
        <f>SUM(PAC!$M57:$P57)</f>
        <v>76285208.239999995</v>
      </c>
      <c r="R57" s="33"/>
      <c r="S57" s="33">
        <f>IF(PAC!$R57&gt;0,PAC!$R57,PAC!$Q57)</f>
        <v>76285208.239999995</v>
      </c>
      <c r="T57" s="33"/>
      <c r="U57" s="116" t="s">
        <v>1570</v>
      </c>
      <c r="V57" s="116"/>
      <c r="W57" s="117">
        <v>36</v>
      </c>
      <c r="X57" s="117" t="s">
        <v>1419</v>
      </c>
      <c r="Y57" s="113" t="s">
        <v>2473</v>
      </c>
      <c r="Z57" s="118"/>
      <c r="AA57" s="119"/>
      <c r="AB57" s="115" t="s">
        <v>1456</v>
      </c>
      <c r="AC57" s="125" t="s">
        <v>2293</v>
      </c>
      <c r="AD57" s="120"/>
      <c r="AE57" s="114" t="s">
        <v>2164</v>
      </c>
      <c r="AF57" s="115" t="s">
        <v>1734</v>
      </c>
      <c r="AG57" s="115" t="s">
        <v>1759</v>
      </c>
      <c r="AH57" s="115" t="s">
        <v>1974</v>
      </c>
      <c r="AI57" s="115" t="s">
        <v>1758</v>
      </c>
      <c r="AJ57" s="118">
        <v>46296</v>
      </c>
      <c r="AK57" s="115" t="s">
        <v>1922</v>
      </c>
      <c r="AL57" s="115"/>
      <c r="AM57" s="115"/>
      <c r="AN57" s="118"/>
      <c r="AO57" s="118"/>
      <c r="AP57" s="118"/>
      <c r="AQ57" s="118"/>
      <c r="AR57" s="121"/>
      <c r="AS57" s="121"/>
      <c r="AT57" s="127" t="s">
        <v>2346</v>
      </c>
      <c r="AU57" s="122"/>
      <c r="AV57" s="120"/>
      <c r="AW57" s="119" t="s">
        <v>707</v>
      </c>
      <c r="AX57" s="194">
        <f>IFERROR(IF(PAC!$X57="F01 - CAPTAÇÃO DE RECURSO",1,""),"")</f>
        <v>1</v>
      </c>
      <c r="AY57" s="194" t="str">
        <f>IFERROR(IF(PAC!$X57="F02 - LICITAÇÃO",1,""),"")</f>
        <v/>
      </c>
      <c r="AZ57" s="123" t="str">
        <f>IFERROR(IF(PAC!$X$6:$X$581="F03 - EXECUÇÃO DO OBJETO",1,""),"")</f>
        <v/>
      </c>
      <c r="BA57" s="123" t="str">
        <f>IFERROR(IF(PAC!$X$6:$X$581="F04 - CONCLUÍDA",1,""),"")</f>
        <v/>
      </c>
      <c r="BB57" s="191">
        <f>IF(PAC!$R57&gt;0,0,PAC!$Q57)</f>
        <v>76285208.239999995</v>
      </c>
    </row>
    <row r="58" spans="1:54" s="2" customFormat="1" ht="409.6" hidden="1" customHeight="1" thickBot="1">
      <c r="A58" s="88">
        <f t="shared" si="0"/>
        <v>53</v>
      </c>
      <c r="B58" s="88">
        <v>2025</v>
      </c>
      <c r="C58" s="88" t="s">
        <v>605</v>
      </c>
      <c r="D58" s="88" t="s">
        <v>1010</v>
      </c>
      <c r="E58" s="89" t="s">
        <v>1892</v>
      </c>
      <c r="F58" s="40" t="s">
        <v>53</v>
      </c>
      <c r="G58" s="40" t="s">
        <v>612</v>
      </c>
      <c r="H58" s="88" t="s">
        <v>1244</v>
      </c>
      <c r="I58" s="88" t="s">
        <v>1238</v>
      </c>
      <c r="J58" s="88" t="s">
        <v>192</v>
      </c>
      <c r="K58" s="18"/>
      <c r="L58" s="18">
        <v>40878222.799999997</v>
      </c>
      <c r="M58" s="18">
        <v>40878222.799999997</v>
      </c>
      <c r="N58" s="18"/>
      <c r="O58" s="18"/>
      <c r="P58" s="18"/>
      <c r="Q58" s="20">
        <f>SUM(PAC!$M58:$P58)</f>
        <v>40878222.799999997</v>
      </c>
      <c r="R58" s="20"/>
      <c r="S58" s="20">
        <f>IF(PAC!$R58&gt;0,PAC!$R58,PAC!$Q58)</f>
        <v>40878222.799999997</v>
      </c>
      <c r="T58" s="20"/>
      <c r="U58" s="103" t="s">
        <v>1570</v>
      </c>
      <c r="V58" s="103"/>
      <c r="W58" s="104">
        <v>36</v>
      </c>
      <c r="X58" s="104" t="s">
        <v>1418</v>
      </c>
      <c r="Y58" s="101" t="s">
        <v>2472</v>
      </c>
      <c r="Z58" s="87">
        <v>46336</v>
      </c>
      <c r="AA58" s="105"/>
      <c r="AB58" s="40" t="s">
        <v>1464</v>
      </c>
      <c r="AC58" s="108" t="s">
        <v>2432</v>
      </c>
      <c r="AD58" s="106">
        <v>46290</v>
      </c>
      <c r="AE58" s="102" t="s">
        <v>2165</v>
      </c>
      <c r="AF58" s="40" t="s">
        <v>1645</v>
      </c>
      <c r="AG58" s="40" t="s">
        <v>1759</v>
      </c>
      <c r="AH58" s="40" t="s">
        <v>977</v>
      </c>
      <c r="AI58" s="40"/>
      <c r="AJ58" s="87"/>
      <c r="AK58" s="40" t="s">
        <v>1903</v>
      </c>
      <c r="AL58" s="40"/>
      <c r="AM58" s="40" t="s">
        <v>594</v>
      </c>
      <c r="AN58" s="87">
        <v>46094</v>
      </c>
      <c r="AO58" s="87">
        <v>46168</v>
      </c>
      <c r="AP58" s="87">
        <v>46213</v>
      </c>
      <c r="AQ58" s="87"/>
      <c r="AR58" s="107"/>
      <c r="AS58" s="107"/>
      <c r="AT58" s="102" t="s">
        <v>2632</v>
      </c>
      <c r="AU58" s="108" t="s">
        <v>2431</v>
      </c>
      <c r="AV58" s="106"/>
      <c r="AW58" s="105" t="s">
        <v>707</v>
      </c>
      <c r="AX58" s="109" t="str">
        <f>IFERROR(IF(PAC!$X58="F01 - CAPTAÇÃO DE RECURSO",1,""),"")</f>
        <v/>
      </c>
      <c r="AY58" s="109">
        <f>IFERROR(IF(PAC!$X58="F02 - LICITAÇÃO",1,""),"")</f>
        <v>1</v>
      </c>
      <c r="AZ58" s="110" t="str">
        <f>IFERROR(IF(PAC!$X$6:$X$581="F03 - EXECUÇÃO DO OBJETO",1,""),"")</f>
        <v/>
      </c>
      <c r="BA58" s="110" t="str">
        <f>IFERROR(IF(PAC!$X$6:$X$581="F04 - CONCLUÍDA",1,""),"")</f>
        <v/>
      </c>
      <c r="BB58" s="111">
        <f>IF(PAC!$R58&gt;0,0,PAC!$Q58)</f>
        <v>40878222.799999997</v>
      </c>
    </row>
    <row r="59" spans="1:54" s="2" customFormat="1" ht="409.6" hidden="1" customHeight="1" thickBot="1">
      <c r="A59" s="112">
        <f t="shared" si="0"/>
        <v>54</v>
      </c>
      <c r="B59" s="112">
        <v>2025</v>
      </c>
      <c r="C59" s="112" t="s">
        <v>605</v>
      </c>
      <c r="D59" s="112" t="s">
        <v>1010</v>
      </c>
      <c r="E59" s="114" t="s">
        <v>943</v>
      </c>
      <c r="F59" s="112" t="s">
        <v>53</v>
      </c>
      <c r="G59" s="112" t="s">
        <v>612</v>
      </c>
      <c r="H59" s="115" t="s">
        <v>1244</v>
      </c>
      <c r="I59" s="112" t="s">
        <v>1238</v>
      </c>
      <c r="J59" s="112" t="s">
        <v>72</v>
      </c>
      <c r="K59" s="31">
        <v>8717773.2799999993</v>
      </c>
      <c r="L59" s="31"/>
      <c r="M59" s="31"/>
      <c r="N59" s="31"/>
      <c r="O59" s="31"/>
      <c r="P59" s="31">
        <v>8717773.2799999993</v>
      </c>
      <c r="Q59" s="33">
        <f>SUM(PAC!$M59:$P59)</f>
        <v>8717773.2799999993</v>
      </c>
      <c r="R59" s="33"/>
      <c r="S59" s="33">
        <f>IF(PAC!$R59&gt;0,PAC!$R59,PAC!$Q59)</f>
        <v>8717773.2799999993</v>
      </c>
      <c r="T59" s="33"/>
      <c r="U59" s="116" t="s">
        <v>594</v>
      </c>
      <c r="V59" s="116" t="s">
        <v>1764</v>
      </c>
      <c r="W59" s="117">
        <v>36</v>
      </c>
      <c r="X59" s="117" t="s">
        <v>1419</v>
      </c>
      <c r="Y59" s="113" t="s">
        <v>2473</v>
      </c>
      <c r="Z59" s="118"/>
      <c r="AA59" s="119"/>
      <c r="AB59" s="115" t="s">
        <v>1509</v>
      </c>
      <c r="AC59" s="115" t="s">
        <v>1943</v>
      </c>
      <c r="AD59" s="120">
        <v>46325</v>
      </c>
      <c r="AE59" s="114" t="s">
        <v>1757</v>
      </c>
      <c r="AF59" s="115" t="s">
        <v>1646</v>
      </c>
      <c r="AG59" s="115"/>
      <c r="AH59" s="115"/>
      <c r="AI59" s="115"/>
      <c r="AJ59" s="118"/>
      <c r="AK59" s="115" t="s">
        <v>1898</v>
      </c>
      <c r="AL59" s="115"/>
      <c r="AM59" s="115"/>
      <c r="AN59" s="118"/>
      <c r="AO59" s="118"/>
      <c r="AP59" s="118"/>
      <c r="AQ59" s="118"/>
      <c r="AR59" s="121"/>
      <c r="AS59" s="121"/>
      <c r="AT59" s="114"/>
      <c r="AU59" s="122"/>
      <c r="AV59" s="120"/>
      <c r="AW59" s="119" t="s">
        <v>707</v>
      </c>
      <c r="AX59" s="194">
        <f>IFERROR(IF(PAC!$X59="F01 - CAPTAÇÃO DE RECURSO",1,""),"")</f>
        <v>1</v>
      </c>
      <c r="AY59" s="194" t="str">
        <f>IFERROR(IF(PAC!$X59="F02 - LICITAÇÃO",1,""),"")</f>
        <v/>
      </c>
      <c r="AZ59" s="123" t="str">
        <f>IFERROR(IF(PAC!$X$6:$X$581="F03 - EXECUÇÃO DO OBJETO",1,""),"")</f>
        <v/>
      </c>
      <c r="BA59" s="123" t="str">
        <f>IFERROR(IF(PAC!$X$6:$X$581="F04 - CONCLUÍDA",1,""),"")</f>
        <v/>
      </c>
      <c r="BB59" s="191">
        <f>IF(PAC!$R59&gt;0,0,PAC!$Q59)</f>
        <v>8717773.2799999993</v>
      </c>
    </row>
    <row r="60" spans="1:54" s="2" customFormat="1" ht="409.6" hidden="1" customHeight="1" thickBot="1">
      <c r="A60" s="88">
        <f t="shared" si="0"/>
        <v>55</v>
      </c>
      <c r="B60" s="88">
        <v>2025</v>
      </c>
      <c r="C60" s="88" t="s">
        <v>605</v>
      </c>
      <c r="D60" s="88" t="s">
        <v>1010</v>
      </c>
      <c r="E60" s="102" t="s">
        <v>1727</v>
      </c>
      <c r="F60" s="88" t="s">
        <v>53</v>
      </c>
      <c r="G60" s="88" t="s">
        <v>612</v>
      </c>
      <c r="H60" s="40" t="s">
        <v>1244</v>
      </c>
      <c r="I60" s="88" t="s">
        <v>1238</v>
      </c>
      <c r="J60" s="88" t="s">
        <v>437</v>
      </c>
      <c r="K60" s="18"/>
      <c r="L60" s="18">
        <v>30747336.34</v>
      </c>
      <c r="M60" s="18">
        <v>30747336.34</v>
      </c>
      <c r="N60" s="18"/>
      <c r="O60" s="18"/>
      <c r="P60" s="18"/>
      <c r="Q60" s="20">
        <f>SUM(PAC!$M60:$P60)</f>
        <v>30747336.34</v>
      </c>
      <c r="R60" s="20"/>
      <c r="S60" s="20">
        <f>IF(PAC!$R60&gt;0,PAC!$R60,PAC!$Q60)</f>
        <v>30747336.34</v>
      </c>
      <c r="T60" s="20"/>
      <c r="U60" s="103" t="s">
        <v>1570</v>
      </c>
      <c r="V60" s="103"/>
      <c r="W60" s="104">
        <v>36</v>
      </c>
      <c r="X60" s="104" t="s">
        <v>1419</v>
      </c>
      <c r="Y60" s="101" t="s">
        <v>2473</v>
      </c>
      <c r="Z60" s="87"/>
      <c r="AA60" s="105"/>
      <c r="AB60" s="40" t="s">
        <v>1456</v>
      </c>
      <c r="AC60" s="124" t="s">
        <v>2730</v>
      </c>
      <c r="AD60" s="106"/>
      <c r="AE60" s="102" t="s">
        <v>1858</v>
      </c>
      <c r="AF60" s="40" t="s">
        <v>1658</v>
      </c>
      <c r="AG60" s="40" t="s">
        <v>1718</v>
      </c>
      <c r="AH60" s="40" t="s">
        <v>1974</v>
      </c>
      <c r="AI60" s="40" t="s">
        <v>1721</v>
      </c>
      <c r="AJ60" s="87">
        <v>46296</v>
      </c>
      <c r="AK60" s="40" t="s">
        <v>1921</v>
      </c>
      <c r="AL60" s="40"/>
      <c r="AM60" s="40"/>
      <c r="AN60" s="87"/>
      <c r="AO60" s="87"/>
      <c r="AP60" s="87"/>
      <c r="AQ60" s="87"/>
      <c r="AR60" s="107"/>
      <c r="AS60" s="107"/>
      <c r="AT60" s="102" t="s">
        <v>2731</v>
      </c>
      <c r="AU60" s="108" t="s">
        <v>1719</v>
      </c>
      <c r="AV60" s="106"/>
      <c r="AW60" s="105" t="s">
        <v>707</v>
      </c>
      <c r="AX60" s="109">
        <f>IFERROR(IF(PAC!$X60="F01 - CAPTAÇÃO DE RECURSO",1,""),"")</f>
        <v>1</v>
      </c>
      <c r="AY60" s="109" t="str">
        <f>IFERROR(IF(PAC!$X60="F02 - LICITAÇÃO",1,""),"")</f>
        <v/>
      </c>
      <c r="AZ60" s="110" t="str">
        <f>IFERROR(IF(PAC!$X$6:$X$581="F03 - EXECUÇÃO DO OBJETO",1,""),"")</f>
        <v/>
      </c>
      <c r="BA60" s="110" t="str">
        <f>IFERROR(IF(PAC!$X$6:$X$581="F04 - CONCLUÍDA",1,""),"")</f>
        <v/>
      </c>
      <c r="BB60" s="111">
        <f>IF(PAC!$R60&gt;0,0,PAC!$Q60)</f>
        <v>30747336.34</v>
      </c>
    </row>
    <row r="61" spans="1:54" s="2" customFormat="1" ht="409.6" hidden="1" customHeight="1" thickBot="1">
      <c r="A61" s="112">
        <f t="shared" si="0"/>
        <v>56</v>
      </c>
      <c r="B61" s="112">
        <v>2025</v>
      </c>
      <c r="C61" s="112" t="s">
        <v>605</v>
      </c>
      <c r="D61" s="112" t="s">
        <v>1010</v>
      </c>
      <c r="E61" s="114" t="s">
        <v>1008</v>
      </c>
      <c r="F61" s="112" t="s">
        <v>53</v>
      </c>
      <c r="G61" s="112" t="s">
        <v>612</v>
      </c>
      <c r="H61" s="115" t="s">
        <v>1244</v>
      </c>
      <c r="I61" s="112" t="s">
        <v>1238</v>
      </c>
      <c r="J61" s="112" t="s">
        <v>336</v>
      </c>
      <c r="K61" s="31">
        <v>60585665.969999999</v>
      </c>
      <c r="L61" s="31"/>
      <c r="M61" s="31"/>
      <c r="N61" s="31"/>
      <c r="O61" s="31"/>
      <c r="P61" s="31">
        <v>60585665.969999999</v>
      </c>
      <c r="Q61" s="33">
        <f>SUM(PAC!$M61:$P61)</f>
        <v>60585665.969999999</v>
      </c>
      <c r="R61" s="33"/>
      <c r="S61" s="33">
        <f>IF(PAC!$R61&gt;0,PAC!$R61,PAC!$Q61)</f>
        <v>60585665.969999999</v>
      </c>
      <c r="T61" s="33"/>
      <c r="U61" s="116" t="s">
        <v>594</v>
      </c>
      <c r="V61" s="116" t="s">
        <v>1764</v>
      </c>
      <c r="W61" s="117">
        <v>36</v>
      </c>
      <c r="X61" s="117" t="s">
        <v>1419</v>
      </c>
      <c r="Y61" s="113" t="s">
        <v>2473</v>
      </c>
      <c r="Z61" s="118"/>
      <c r="AA61" s="119"/>
      <c r="AB61" s="115" t="s">
        <v>1509</v>
      </c>
      <c r="AC61" s="115" t="s">
        <v>2136</v>
      </c>
      <c r="AD61" s="120">
        <v>46325</v>
      </c>
      <c r="AE61" s="114" t="s">
        <v>1757</v>
      </c>
      <c r="AF61" s="115" t="s">
        <v>1646</v>
      </c>
      <c r="AG61" s="115"/>
      <c r="AH61" s="115"/>
      <c r="AI61" s="115"/>
      <c r="AJ61" s="118"/>
      <c r="AK61" s="115" t="s">
        <v>1908</v>
      </c>
      <c r="AL61" s="115"/>
      <c r="AM61" s="115"/>
      <c r="AN61" s="118"/>
      <c r="AO61" s="118"/>
      <c r="AP61" s="118"/>
      <c r="AQ61" s="118"/>
      <c r="AR61" s="121"/>
      <c r="AS61" s="121"/>
      <c r="AT61" s="114"/>
      <c r="AU61" s="122"/>
      <c r="AV61" s="120"/>
      <c r="AW61" s="119" t="s">
        <v>707</v>
      </c>
      <c r="AX61" s="194">
        <f>IFERROR(IF(PAC!$X61="F01 - CAPTAÇÃO DE RECURSO",1,""),"")</f>
        <v>1</v>
      </c>
      <c r="AY61" s="194" t="str">
        <f>IFERROR(IF(PAC!$X61="F02 - LICITAÇÃO",1,""),"")</f>
        <v/>
      </c>
      <c r="AZ61" s="123" t="str">
        <f>IFERROR(IF(PAC!$X$6:$X$581="F03 - EXECUÇÃO DO OBJETO",1,""),"")</f>
        <v/>
      </c>
      <c r="BA61" s="123" t="str">
        <f>IFERROR(IF(PAC!$X$6:$X$581="F04 - CONCLUÍDA",1,""),"")</f>
        <v/>
      </c>
      <c r="BB61" s="191">
        <f>IF(PAC!$R61&gt;0,0,PAC!$Q61)</f>
        <v>60585665.969999999</v>
      </c>
    </row>
    <row r="62" spans="1:54" s="2" customFormat="1" ht="409.6" hidden="1" customHeight="1" thickBot="1">
      <c r="A62" s="88">
        <f t="shared" si="0"/>
        <v>57</v>
      </c>
      <c r="B62" s="88">
        <v>2025</v>
      </c>
      <c r="C62" s="88" t="s">
        <v>605</v>
      </c>
      <c r="D62" s="88" t="s">
        <v>1010</v>
      </c>
      <c r="E62" s="102" t="s">
        <v>1007</v>
      </c>
      <c r="F62" s="88" t="s">
        <v>53</v>
      </c>
      <c r="G62" s="88" t="s">
        <v>612</v>
      </c>
      <c r="H62" s="40" t="s">
        <v>1244</v>
      </c>
      <c r="I62" s="88" t="s">
        <v>1238</v>
      </c>
      <c r="J62" s="88" t="s">
        <v>219</v>
      </c>
      <c r="K62" s="18">
        <v>31866594.079999998</v>
      </c>
      <c r="L62" s="18"/>
      <c r="M62" s="18"/>
      <c r="N62" s="18"/>
      <c r="O62" s="18"/>
      <c r="P62" s="18">
        <v>30303920.620000001</v>
      </c>
      <c r="Q62" s="20">
        <f>SUM(PAC!$M62:$P62)</f>
        <v>30303920.620000001</v>
      </c>
      <c r="R62" s="20"/>
      <c r="S62" s="20">
        <f>IF(PAC!$R62&gt;0,PAC!$R62,PAC!$Q62)</f>
        <v>30303920.620000001</v>
      </c>
      <c r="T62" s="20"/>
      <c r="U62" s="103" t="s">
        <v>594</v>
      </c>
      <c r="V62" s="103" t="s">
        <v>1764</v>
      </c>
      <c r="W62" s="104">
        <v>36</v>
      </c>
      <c r="X62" s="104" t="s">
        <v>1419</v>
      </c>
      <c r="Y62" s="101" t="s">
        <v>2473</v>
      </c>
      <c r="Z62" s="87"/>
      <c r="AA62" s="105"/>
      <c r="AB62" s="40" t="s">
        <v>1509</v>
      </c>
      <c r="AC62" s="40" t="s">
        <v>1943</v>
      </c>
      <c r="AD62" s="106">
        <v>46325</v>
      </c>
      <c r="AE62" s="102" t="s">
        <v>1757</v>
      </c>
      <c r="AF62" s="40" t="s">
        <v>1646</v>
      </c>
      <c r="AG62" s="40"/>
      <c r="AH62" s="40"/>
      <c r="AI62" s="40"/>
      <c r="AJ62" s="87"/>
      <c r="AK62" s="40" t="s">
        <v>1900</v>
      </c>
      <c r="AL62" s="40"/>
      <c r="AM62" s="40"/>
      <c r="AN62" s="87"/>
      <c r="AO62" s="87"/>
      <c r="AP62" s="87"/>
      <c r="AQ62" s="87"/>
      <c r="AR62" s="107"/>
      <c r="AS62" s="107"/>
      <c r="AT62" s="102"/>
      <c r="AU62" s="108"/>
      <c r="AV62" s="106"/>
      <c r="AW62" s="105" t="s">
        <v>707</v>
      </c>
      <c r="AX62" s="109">
        <f>IFERROR(IF(PAC!$X62="F01 - CAPTAÇÃO DE RECURSO",1,""),"")</f>
        <v>1</v>
      </c>
      <c r="AY62" s="109" t="str">
        <f>IFERROR(IF(PAC!$X62="F02 - LICITAÇÃO",1,""),"")</f>
        <v/>
      </c>
      <c r="AZ62" s="110" t="str">
        <f>IFERROR(IF(PAC!$X$6:$X$581="F03 - EXECUÇÃO DO OBJETO",1,""),"")</f>
        <v/>
      </c>
      <c r="BA62" s="110" t="str">
        <f>IFERROR(IF(PAC!$X$6:$X$581="F04 - CONCLUÍDA",1,""),"")</f>
        <v/>
      </c>
      <c r="BB62" s="111">
        <f>IF(PAC!$R62&gt;0,0,PAC!$Q62)</f>
        <v>30303920.620000001</v>
      </c>
    </row>
    <row r="63" spans="1:54" s="2" customFormat="1" ht="399.75" hidden="1" thickBot="1">
      <c r="A63" s="112">
        <f t="shared" si="0"/>
        <v>58</v>
      </c>
      <c r="B63" s="112">
        <v>2025</v>
      </c>
      <c r="C63" s="112" t="s">
        <v>605</v>
      </c>
      <c r="D63" s="112" t="s">
        <v>1010</v>
      </c>
      <c r="E63" s="114" t="s">
        <v>1516</v>
      </c>
      <c r="F63" s="112" t="s">
        <v>53</v>
      </c>
      <c r="G63" s="112" t="s">
        <v>612</v>
      </c>
      <c r="H63" s="115" t="s">
        <v>1244</v>
      </c>
      <c r="I63" s="112" t="s">
        <v>1238</v>
      </c>
      <c r="J63" s="112" t="s">
        <v>364</v>
      </c>
      <c r="K63" s="31">
        <v>2541652.79</v>
      </c>
      <c r="L63" s="31"/>
      <c r="M63" s="31"/>
      <c r="N63" s="31"/>
      <c r="O63" s="31"/>
      <c r="P63" s="31">
        <v>2541652.79</v>
      </c>
      <c r="Q63" s="33">
        <f>SUM(PAC!$M63:$P63)</f>
        <v>2541652.79</v>
      </c>
      <c r="R63" s="33"/>
      <c r="S63" s="33">
        <f>IF(PAC!$R63&gt;0,PAC!$R63,PAC!$Q63)</f>
        <v>2541652.79</v>
      </c>
      <c r="T63" s="33"/>
      <c r="U63" s="116" t="s">
        <v>594</v>
      </c>
      <c r="V63" s="116" t="s">
        <v>1764</v>
      </c>
      <c r="W63" s="117">
        <v>36</v>
      </c>
      <c r="X63" s="117" t="s">
        <v>1419</v>
      </c>
      <c r="Y63" s="113" t="s">
        <v>2473</v>
      </c>
      <c r="Z63" s="118"/>
      <c r="AA63" s="119"/>
      <c r="AB63" s="115" t="s">
        <v>1509</v>
      </c>
      <c r="AC63" s="115" t="s">
        <v>1943</v>
      </c>
      <c r="AD63" s="120">
        <v>46325</v>
      </c>
      <c r="AE63" s="114" t="s">
        <v>1757</v>
      </c>
      <c r="AF63" s="115" t="s">
        <v>1646</v>
      </c>
      <c r="AG63" s="115"/>
      <c r="AH63" s="115"/>
      <c r="AI63" s="115"/>
      <c r="AJ63" s="118"/>
      <c r="AK63" s="115" t="s">
        <v>1909</v>
      </c>
      <c r="AL63" s="115"/>
      <c r="AM63" s="115"/>
      <c r="AN63" s="118"/>
      <c r="AO63" s="118"/>
      <c r="AP63" s="118"/>
      <c r="AQ63" s="118"/>
      <c r="AR63" s="121"/>
      <c r="AS63" s="121"/>
      <c r="AT63" s="114"/>
      <c r="AU63" s="122"/>
      <c r="AV63" s="120"/>
      <c r="AW63" s="119" t="s">
        <v>707</v>
      </c>
      <c r="AX63" s="194">
        <f>IFERROR(IF(PAC!$X63="F01 - CAPTAÇÃO DE RECURSO",1,""),"")</f>
        <v>1</v>
      </c>
      <c r="AY63" s="194" t="str">
        <f>IFERROR(IF(PAC!$X63="F02 - LICITAÇÃO",1,""),"")</f>
        <v/>
      </c>
      <c r="AZ63" s="123" t="str">
        <f>IFERROR(IF(PAC!$X$6:$X$581="F03 - EXECUÇÃO DO OBJETO",1,""),"")</f>
        <v/>
      </c>
      <c r="BA63" s="123" t="str">
        <f>IFERROR(IF(PAC!$X$6:$X$581="F04 - CONCLUÍDA",1,""),"")</f>
        <v/>
      </c>
      <c r="BB63" s="191">
        <f>IF(PAC!$R63&gt;0,0,PAC!$Q63)</f>
        <v>2541652.79</v>
      </c>
    </row>
    <row r="64" spans="1:54" s="2" customFormat="1" ht="63.75" hidden="1" customHeight="1" thickBot="1">
      <c r="A64" s="88">
        <f t="shared" si="0"/>
        <v>59</v>
      </c>
      <c r="B64" s="88">
        <v>2025</v>
      </c>
      <c r="C64" s="88" t="s">
        <v>605</v>
      </c>
      <c r="D64" s="88" t="s">
        <v>1010</v>
      </c>
      <c r="E64" s="102" t="s">
        <v>1725</v>
      </c>
      <c r="F64" s="88" t="s">
        <v>53</v>
      </c>
      <c r="G64" s="88" t="s">
        <v>612</v>
      </c>
      <c r="H64" s="40" t="s">
        <v>1244</v>
      </c>
      <c r="I64" s="88" t="s">
        <v>1238</v>
      </c>
      <c r="J64" s="88" t="s">
        <v>361</v>
      </c>
      <c r="K64" s="18"/>
      <c r="L64" s="18">
        <v>56440520.609999999</v>
      </c>
      <c r="M64" s="18">
        <v>56440520.609999999</v>
      </c>
      <c r="N64" s="18"/>
      <c r="O64" s="18"/>
      <c r="P64" s="18"/>
      <c r="Q64" s="20">
        <f>SUM(PAC!$M64:$P64)</f>
        <v>56440520.609999999</v>
      </c>
      <c r="R64" s="20"/>
      <c r="S64" s="20">
        <f>IF(PAC!$R64&gt;0,PAC!$R64,PAC!$Q64)</f>
        <v>56440520.609999999</v>
      </c>
      <c r="T64" s="20"/>
      <c r="U64" s="103" t="s">
        <v>1570</v>
      </c>
      <c r="V64" s="103"/>
      <c r="W64" s="104">
        <v>36</v>
      </c>
      <c r="X64" s="104" t="s">
        <v>1419</v>
      </c>
      <c r="Y64" s="101" t="s">
        <v>2473</v>
      </c>
      <c r="Z64" s="87"/>
      <c r="AA64" s="105"/>
      <c r="AB64" s="40" t="s">
        <v>1456</v>
      </c>
      <c r="AC64" s="40" t="s">
        <v>2292</v>
      </c>
      <c r="AD64" s="106"/>
      <c r="AE64" s="102" t="s">
        <v>1858</v>
      </c>
      <c r="AF64" s="40" t="s">
        <v>1644</v>
      </c>
      <c r="AG64" s="40" t="s">
        <v>1718</v>
      </c>
      <c r="AH64" s="40" t="s">
        <v>1974</v>
      </c>
      <c r="AI64" s="40" t="s">
        <v>1721</v>
      </c>
      <c r="AJ64" s="87">
        <v>46296</v>
      </c>
      <c r="AK64" s="40" t="s">
        <v>1915</v>
      </c>
      <c r="AL64" s="40"/>
      <c r="AM64" s="40"/>
      <c r="AN64" s="87"/>
      <c r="AO64" s="87"/>
      <c r="AP64" s="87"/>
      <c r="AQ64" s="87"/>
      <c r="AR64" s="107"/>
      <c r="AS64" s="107"/>
      <c r="AT64" s="102" t="s">
        <v>2750</v>
      </c>
      <c r="AU64" s="108" t="s">
        <v>1719</v>
      </c>
      <c r="AV64" s="106"/>
      <c r="AW64" s="105" t="s">
        <v>707</v>
      </c>
      <c r="AX64" s="109">
        <f>IFERROR(IF(PAC!$X64="F01 - CAPTAÇÃO DE RECURSO",1,""),"")</f>
        <v>1</v>
      </c>
      <c r="AY64" s="109" t="str">
        <f>IFERROR(IF(PAC!$X64="F02 - LICITAÇÃO",1,""),"")</f>
        <v/>
      </c>
      <c r="AZ64" s="110" t="str">
        <f>IFERROR(IF(PAC!$X$6:$X$581="F03 - EXECUÇÃO DO OBJETO",1,""),"")</f>
        <v/>
      </c>
      <c r="BA64" s="110" t="str">
        <f>IFERROR(IF(PAC!$X$6:$X$581="F04 - CONCLUÍDA",1,""),"")</f>
        <v/>
      </c>
      <c r="BB64" s="111">
        <f>IF(PAC!$R64&gt;0,0,PAC!$Q64)</f>
        <v>56440520.609999999</v>
      </c>
    </row>
    <row r="65" spans="1:54" s="2" customFormat="1" ht="100.5" hidden="1" customHeight="1" thickBot="1">
      <c r="A65" s="112">
        <f t="shared" si="0"/>
        <v>60</v>
      </c>
      <c r="B65" s="112">
        <v>2025</v>
      </c>
      <c r="C65" s="112" t="s">
        <v>605</v>
      </c>
      <c r="D65" s="112" t="s">
        <v>1010</v>
      </c>
      <c r="E65" s="130" t="s">
        <v>1729</v>
      </c>
      <c r="F65" s="115" t="s">
        <v>53</v>
      </c>
      <c r="G65" s="115" t="s">
        <v>612</v>
      </c>
      <c r="H65" s="112" t="s">
        <v>1244</v>
      </c>
      <c r="I65" s="112" t="s">
        <v>1238</v>
      </c>
      <c r="J65" s="112" t="s">
        <v>227</v>
      </c>
      <c r="K65" s="31"/>
      <c r="L65" s="31">
        <v>7322475.75</v>
      </c>
      <c r="M65" s="31">
        <v>7322475.75</v>
      </c>
      <c r="N65" s="31"/>
      <c r="O65" s="31"/>
      <c r="P65" s="31"/>
      <c r="Q65" s="33">
        <f>SUM(PAC!$M65:$P65)</f>
        <v>7322475.75</v>
      </c>
      <c r="R65" s="33"/>
      <c r="S65" s="33">
        <f>IF(PAC!$R65&gt;0,PAC!$R65,PAC!$Q65)</f>
        <v>7322475.75</v>
      </c>
      <c r="T65" s="33"/>
      <c r="U65" s="116" t="s">
        <v>1570</v>
      </c>
      <c r="V65" s="116"/>
      <c r="W65" s="117">
        <v>36</v>
      </c>
      <c r="X65" s="117" t="s">
        <v>1419</v>
      </c>
      <c r="Y65" s="113" t="s">
        <v>2473</v>
      </c>
      <c r="Z65" s="118"/>
      <c r="AA65" s="119"/>
      <c r="AB65" s="115" t="s">
        <v>1456</v>
      </c>
      <c r="AC65" s="125" t="s">
        <v>2291</v>
      </c>
      <c r="AD65" s="120"/>
      <c r="AE65" s="114" t="s">
        <v>1524</v>
      </c>
      <c r="AF65" s="115" t="s">
        <v>1645</v>
      </c>
      <c r="AG65" s="115" t="s">
        <v>1759</v>
      </c>
      <c r="AH65" s="115" t="s">
        <v>1974</v>
      </c>
      <c r="AI65" s="115" t="s">
        <v>1859</v>
      </c>
      <c r="AJ65" s="118">
        <v>46296</v>
      </c>
      <c r="AK65" s="115" t="s">
        <v>1901</v>
      </c>
      <c r="AL65" s="115"/>
      <c r="AM65" s="115"/>
      <c r="AN65" s="118"/>
      <c r="AO65" s="118"/>
      <c r="AP65" s="118"/>
      <c r="AQ65" s="118"/>
      <c r="AR65" s="121"/>
      <c r="AS65" s="121"/>
      <c r="AT65" s="127" t="s">
        <v>2754</v>
      </c>
      <c r="AU65" s="115" t="s">
        <v>962</v>
      </c>
      <c r="AV65" s="120"/>
      <c r="AW65" s="119" t="s">
        <v>707</v>
      </c>
      <c r="AX65" s="194">
        <f>IFERROR(IF(PAC!$X65="F01 - CAPTAÇÃO DE RECURSO",1,""),"")</f>
        <v>1</v>
      </c>
      <c r="AY65" s="194" t="str">
        <f>IFERROR(IF(PAC!$X65="F02 - LICITAÇÃO",1,""),"")</f>
        <v/>
      </c>
      <c r="AZ65" s="123" t="str">
        <f>IFERROR(IF(PAC!$X$6:$X$581="F03 - EXECUÇÃO DO OBJETO",1,""),"")</f>
        <v/>
      </c>
      <c r="BA65" s="123" t="str">
        <f>IFERROR(IF(PAC!$X$6:$X$581="F04 - CONCLUÍDA",1,""),"")</f>
        <v/>
      </c>
      <c r="BB65" s="191">
        <f>IF(PAC!$R65&gt;0,0,PAC!$Q65)</f>
        <v>7322475.75</v>
      </c>
    </row>
    <row r="66" spans="1:54" s="2" customFormat="1" ht="63.75" hidden="1" customHeight="1" thickBot="1">
      <c r="A66" s="88">
        <f t="shared" si="0"/>
        <v>61</v>
      </c>
      <c r="B66" s="88">
        <v>2025</v>
      </c>
      <c r="C66" s="88" t="s">
        <v>605</v>
      </c>
      <c r="D66" s="88" t="s">
        <v>1010</v>
      </c>
      <c r="E66" s="102" t="s">
        <v>1730</v>
      </c>
      <c r="F66" s="88" t="s">
        <v>53</v>
      </c>
      <c r="G66" s="88" t="s">
        <v>612</v>
      </c>
      <c r="H66" s="40" t="s">
        <v>1244</v>
      </c>
      <c r="I66" s="88" t="s">
        <v>1238</v>
      </c>
      <c r="J66" s="88" t="s">
        <v>243</v>
      </c>
      <c r="K66" s="18"/>
      <c r="L66" s="18">
        <v>49896527.090000004</v>
      </c>
      <c r="M66" s="18">
        <v>49896527.090000004</v>
      </c>
      <c r="N66" s="18"/>
      <c r="O66" s="18"/>
      <c r="P66" s="18"/>
      <c r="Q66" s="20">
        <f>SUM(PAC!$M66:$P66)</f>
        <v>49896527.090000004</v>
      </c>
      <c r="R66" s="20"/>
      <c r="S66" s="20">
        <f>IF(PAC!$R66&gt;0,PAC!$R66,PAC!$Q66)</f>
        <v>49896527.090000004</v>
      </c>
      <c r="T66" s="20"/>
      <c r="U66" s="103" t="s">
        <v>1570</v>
      </c>
      <c r="V66" s="103"/>
      <c r="W66" s="104">
        <v>36</v>
      </c>
      <c r="X66" s="104" t="s">
        <v>1419</v>
      </c>
      <c r="Y66" s="101" t="s">
        <v>2473</v>
      </c>
      <c r="Z66" s="87"/>
      <c r="AA66" s="105"/>
      <c r="AB66" s="40" t="s">
        <v>1456</v>
      </c>
      <c r="AC66" s="124" t="s">
        <v>2749</v>
      </c>
      <c r="AD66" s="106"/>
      <c r="AE66" s="102" t="s">
        <v>2164</v>
      </c>
      <c r="AF66" s="40" t="s">
        <v>1645</v>
      </c>
      <c r="AG66" s="40" t="s">
        <v>1759</v>
      </c>
      <c r="AH66" s="40" t="s">
        <v>1974</v>
      </c>
      <c r="AI66" s="40" t="s">
        <v>1758</v>
      </c>
      <c r="AJ66" s="87">
        <v>46296</v>
      </c>
      <c r="AK66" s="40" t="s">
        <v>1905</v>
      </c>
      <c r="AL66" s="40"/>
      <c r="AM66" s="40"/>
      <c r="AN66" s="87"/>
      <c r="AO66" s="87"/>
      <c r="AP66" s="87"/>
      <c r="AQ66" s="87"/>
      <c r="AR66" s="107"/>
      <c r="AS66" s="107"/>
      <c r="AT66" s="128" t="s">
        <v>2347</v>
      </c>
      <c r="AU66" s="108"/>
      <c r="AV66" s="106"/>
      <c r="AW66" s="105" t="s">
        <v>707</v>
      </c>
      <c r="AX66" s="109">
        <f>IFERROR(IF(PAC!$X66="F01 - CAPTAÇÃO DE RECURSO",1,""),"")</f>
        <v>1</v>
      </c>
      <c r="AY66" s="109" t="str">
        <f>IFERROR(IF(PAC!$X66="F02 - LICITAÇÃO",1,""),"")</f>
        <v/>
      </c>
      <c r="AZ66" s="110" t="str">
        <f>IFERROR(IF(PAC!$X$6:$X$581="F03 - EXECUÇÃO DO OBJETO",1,""),"")</f>
        <v/>
      </c>
      <c r="BA66" s="110" t="str">
        <f>IFERROR(IF(PAC!$X$6:$X$581="F04 - CONCLUÍDA",1,""),"")</f>
        <v/>
      </c>
      <c r="BB66" s="111">
        <f>IF(PAC!$R66&gt;0,0,PAC!$Q66)</f>
        <v>49896527.090000004</v>
      </c>
    </row>
    <row r="67" spans="1:54" s="2" customFormat="1" ht="63.75" hidden="1" customHeight="1" thickBot="1">
      <c r="A67" s="112">
        <f t="shared" si="0"/>
        <v>62</v>
      </c>
      <c r="B67" s="112">
        <v>2025</v>
      </c>
      <c r="C67" s="112" t="s">
        <v>605</v>
      </c>
      <c r="D67" s="112" t="s">
        <v>1010</v>
      </c>
      <c r="E67" s="114" t="s">
        <v>1731</v>
      </c>
      <c r="F67" s="112" t="s">
        <v>53</v>
      </c>
      <c r="G67" s="112" t="s">
        <v>612</v>
      </c>
      <c r="H67" s="115" t="s">
        <v>1244</v>
      </c>
      <c r="I67" s="112" t="s">
        <v>1238</v>
      </c>
      <c r="J67" s="112" t="s">
        <v>243</v>
      </c>
      <c r="K67" s="31"/>
      <c r="L67" s="31">
        <v>10880381.439999999</v>
      </c>
      <c r="M67" s="31">
        <v>10880381.439999999</v>
      </c>
      <c r="N67" s="31"/>
      <c r="O67" s="31"/>
      <c r="P67" s="31"/>
      <c r="Q67" s="33">
        <f>SUM(PAC!$M67:$P67)</f>
        <v>10880381.439999999</v>
      </c>
      <c r="R67" s="33"/>
      <c r="S67" s="33">
        <f>IF(PAC!$R67&gt;0,PAC!$R67,PAC!$Q67)</f>
        <v>10880381.439999999</v>
      </c>
      <c r="T67" s="33"/>
      <c r="U67" s="116" t="s">
        <v>1570</v>
      </c>
      <c r="V67" s="116"/>
      <c r="W67" s="117">
        <v>36</v>
      </c>
      <c r="X67" s="117" t="s">
        <v>1419</v>
      </c>
      <c r="Y67" s="113" t="s">
        <v>2473</v>
      </c>
      <c r="Z67" s="118"/>
      <c r="AA67" s="119"/>
      <c r="AB67" s="115" t="s">
        <v>1456</v>
      </c>
      <c r="AC67" s="125" t="s">
        <v>2730</v>
      </c>
      <c r="AD67" s="120"/>
      <c r="AE67" s="114" t="s">
        <v>2164</v>
      </c>
      <c r="AF67" s="115" t="s">
        <v>1645</v>
      </c>
      <c r="AG67" s="115" t="s">
        <v>1759</v>
      </c>
      <c r="AH67" s="115" t="s">
        <v>1974</v>
      </c>
      <c r="AI67" s="115" t="s">
        <v>1758</v>
      </c>
      <c r="AJ67" s="118">
        <v>46296</v>
      </c>
      <c r="AK67" s="115" t="s">
        <v>1904</v>
      </c>
      <c r="AL67" s="115"/>
      <c r="AM67" s="115"/>
      <c r="AN67" s="118"/>
      <c r="AO67" s="118"/>
      <c r="AP67" s="118"/>
      <c r="AQ67" s="118"/>
      <c r="AR67" s="121"/>
      <c r="AS67" s="121"/>
      <c r="AT67" s="127" t="s">
        <v>2348</v>
      </c>
      <c r="AU67" s="122"/>
      <c r="AV67" s="120"/>
      <c r="AW67" s="119" t="s">
        <v>707</v>
      </c>
      <c r="AX67" s="194">
        <f>IFERROR(IF(PAC!$X67="F01 - CAPTAÇÃO DE RECURSO",1,""),"")</f>
        <v>1</v>
      </c>
      <c r="AY67" s="194" t="str">
        <f>IFERROR(IF(PAC!$X67="F02 - LICITAÇÃO",1,""),"")</f>
        <v/>
      </c>
      <c r="AZ67" s="123" t="str">
        <f>IFERROR(IF(PAC!$X$6:$X$581="F03 - EXECUÇÃO DO OBJETO",1,""),"")</f>
        <v/>
      </c>
      <c r="BA67" s="123" t="str">
        <f>IFERROR(IF(PAC!$X$6:$X$581="F04 - CONCLUÍDA",1,""),"")</f>
        <v/>
      </c>
      <c r="BB67" s="191">
        <f>IF(PAC!$R67&gt;0,0,PAC!$Q67)</f>
        <v>10880381.439999999</v>
      </c>
    </row>
    <row r="68" spans="1:54" s="2" customFormat="1" ht="84.75" hidden="1" customHeight="1" thickBot="1">
      <c r="A68" s="88">
        <f t="shared" si="0"/>
        <v>63</v>
      </c>
      <c r="B68" s="88">
        <v>2025</v>
      </c>
      <c r="C68" s="88" t="s">
        <v>605</v>
      </c>
      <c r="D68" s="88" t="s">
        <v>1010</v>
      </c>
      <c r="E68" s="102" t="s">
        <v>1732</v>
      </c>
      <c r="F68" s="88" t="s">
        <v>53</v>
      </c>
      <c r="G68" s="88" t="s">
        <v>612</v>
      </c>
      <c r="H68" s="40" t="s">
        <v>1244</v>
      </c>
      <c r="I68" s="88" t="s">
        <v>1238</v>
      </c>
      <c r="J68" s="88" t="s">
        <v>374</v>
      </c>
      <c r="K68" s="18"/>
      <c r="L68" s="18">
        <v>11729543.73</v>
      </c>
      <c r="M68" s="18">
        <v>11729431.73</v>
      </c>
      <c r="N68" s="18"/>
      <c r="O68" s="18"/>
      <c r="P68" s="18"/>
      <c r="Q68" s="20">
        <f>SUM(PAC!$M68:$P68)</f>
        <v>11729431.73</v>
      </c>
      <c r="R68" s="20"/>
      <c r="S68" s="20">
        <f>IF(PAC!$R68&gt;0,PAC!$R68,PAC!$Q68)</f>
        <v>11729431.73</v>
      </c>
      <c r="T68" s="20"/>
      <c r="U68" s="103" t="s">
        <v>1570</v>
      </c>
      <c r="V68" s="103"/>
      <c r="W68" s="104">
        <v>36</v>
      </c>
      <c r="X68" s="104" t="s">
        <v>1419</v>
      </c>
      <c r="Y68" s="101" t="s">
        <v>2473</v>
      </c>
      <c r="Z68" s="87"/>
      <c r="AA68" s="105"/>
      <c r="AB68" s="40"/>
      <c r="AC68" s="124" t="s">
        <v>2752</v>
      </c>
      <c r="AD68" s="106">
        <v>46286</v>
      </c>
      <c r="AE68" s="102" t="s">
        <v>2164</v>
      </c>
      <c r="AF68" s="40" t="s">
        <v>1659</v>
      </c>
      <c r="AG68" s="40" t="s">
        <v>1759</v>
      </c>
      <c r="AH68" s="40" t="s">
        <v>977</v>
      </c>
      <c r="AI68" s="40"/>
      <c r="AJ68" s="87"/>
      <c r="AK68" s="40" t="s">
        <v>1910</v>
      </c>
      <c r="AL68" s="40"/>
      <c r="AM68" s="40"/>
      <c r="AN68" s="87"/>
      <c r="AO68" s="87"/>
      <c r="AP68" s="87"/>
      <c r="AQ68" s="87"/>
      <c r="AR68" s="107"/>
      <c r="AS68" s="107"/>
      <c r="AT68" s="128" t="s">
        <v>2751</v>
      </c>
      <c r="AU68" s="40" t="s">
        <v>1963</v>
      </c>
      <c r="AV68" s="106"/>
      <c r="AW68" s="105" t="s">
        <v>707</v>
      </c>
      <c r="AX68" s="109">
        <f>IFERROR(IF(PAC!$X68="F01 - CAPTAÇÃO DE RECURSO",1,""),"")</f>
        <v>1</v>
      </c>
      <c r="AY68" s="109" t="str">
        <f>IFERROR(IF(PAC!$X68="F02 - LICITAÇÃO",1,""),"")</f>
        <v/>
      </c>
      <c r="AZ68" s="110" t="str">
        <f>IFERROR(IF(PAC!$X$6:$X$581="F03 - EXECUÇÃO DO OBJETO",1,""),"")</f>
        <v/>
      </c>
      <c r="BA68" s="110" t="str">
        <f>IFERROR(IF(PAC!$X$6:$X$581="F04 - CONCLUÍDA",1,""),"")</f>
        <v/>
      </c>
      <c r="BB68" s="111">
        <f>IF(PAC!$R68&gt;0,0,PAC!$Q68)</f>
        <v>11729431.73</v>
      </c>
    </row>
    <row r="69" spans="1:54" s="2" customFormat="1" ht="315.75" hidden="1" customHeight="1" thickBot="1">
      <c r="A69" s="112">
        <f t="shared" ref="A69:A132" si="1">ROW()-5</f>
        <v>64</v>
      </c>
      <c r="B69" s="112">
        <v>2025</v>
      </c>
      <c r="C69" s="112" t="s">
        <v>605</v>
      </c>
      <c r="D69" s="112" t="s">
        <v>1010</v>
      </c>
      <c r="E69" s="114" t="s">
        <v>942</v>
      </c>
      <c r="F69" s="112" t="s">
        <v>53</v>
      </c>
      <c r="G69" s="112" t="s">
        <v>612</v>
      </c>
      <c r="H69" s="115" t="s">
        <v>1244</v>
      </c>
      <c r="I69" s="112" t="s">
        <v>1238</v>
      </c>
      <c r="J69" s="112" t="s">
        <v>292</v>
      </c>
      <c r="K69" s="31">
        <v>12214359.550000001</v>
      </c>
      <c r="L69" s="31"/>
      <c r="M69" s="31"/>
      <c r="N69" s="31"/>
      <c r="O69" s="31"/>
      <c r="P69" s="31">
        <v>12214359.550000001</v>
      </c>
      <c r="Q69" s="33">
        <f>SUM(PAC!$M69:$P69)</f>
        <v>12214359.550000001</v>
      </c>
      <c r="R69" s="33"/>
      <c r="S69" s="33">
        <f>IF(PAC!$R69&gt;0,PAC!$R69,PAC!$Q69)</f>
        <v>12214359.550000001</v>
      </c>
      <c r="T69" s="33"/>
      <c r="U69" s="116" t="s">
        <v>594</v>
      </c>
      <c r="V69" s="116" t="s">
        <v>1764</v>
      </c>
      <c r="W69" s="117">
        <v>36</v>
      </c>
      <c r="X69" s="117" t="s">
        <v>1419</v>
      </c>
      <c r="Y69" s="113" t="s">
        <v>2473</v>
      </c>
      <c r="Z69" s="118"/>
      <c r="AA69" s="119"/>
      <c r="AB69" s="115" t="s">
        <v>1509</v>
      </c>
      <c r="AC69" s="115" t="s">
        <v>1943</v>
      </c>
      <c r="AD69" s="120">
        <v>46325</v>
      </c>
      <c r="AE69" s="114" t="s">
        <v>1757</v>
      </c>
      <c r="AF69" s="115" t="s">
        <v>1645</v>
      </c>
      <c r="AG69" s="115"/>
      <c r="AH69" s="115"/>
      <c r="AI69" s="115"/>
      <c r="AJ69" s="118"/>
      <c r="AK69" s="115" t="s">
        <v>1906</v>
      </c>
      <c r="AL69" s="115"/>
      <c r="AM69" s="115"/>
      <c r="AN69" s="118"/>
      <c r="AO69" s="118"/>
      <c r="AP69" s="118"/>
      <c r="AQ69" s="118"/>
      <c r="AR69" s="121"/>
      <c r="AS69" s="121"/>
      <c r="AT69" s="114"/>
      <c r="AU69" s="122"/>
      <c r="AV69" s="120"/>
      <c r="AW69" s="119" t="s">
        <v>707</v>
      </c>
      <c r="AX69" s="194">
        <f>IFERROR(IF(PAC!$X69="F01 - CAPTAÇÃO DE RECURSO",1,""),"")</f>
        <v>1</v>
      </c>
      <c r="AY69" s="194" t="str">
        <f>IFERROR(IF(PAC!$X69="F02 - LICITAÇÃO",1,""),"")</f>
        <v/>
      </c>
      <c r="AZ69" s="123" t="str">
        <f>IFERROR(IF(PAC!$X$6:$X$581="F03 - EXECUÇÃO DO OBJETO",1,""),"")</f>
        <v/>
      </c>
      <c r="BA69" s="123" t="str">
        <f>IFERROR(IF(PAC!$X$6:$X$581="F04 - CONCLUÍDA",1,""),"")</f>
        <v/>
      </c>
      <c r="BB69" s="191">
        <f>IF(PAC!$R69&gt;0,0,PAC!$Q69)</f>
        <v>12214359.550000001</v>
      </c>
    </row>
    <row r="70" spans="1:54" s="2" customFormat="1" ht="148.5" hidden="1" customHeight="1" thickBot="1">
      <c r="A70" s="88">
        <f t="shared" si="1"/>
        <v>65</v>
      </c>
      <c r="B70" s="88">
        <v>2025</v>
      </c>
      <c r="C70" s="88" t="s">
        <v>605</v>
      </c>
      <c r="D70" s="88" t="s">
        <v>1010</v>
      </c>
      <c r="E70" s="102" t="s">
        <v>945</v>
      </c>
      <c r="F70" s="88" t="s">
        <v>53</v>
      </c>
      <c r="G70" s="88" t="s">
        <v>612</v>
      </c>
      <c r="H70" s="40" t="s">
        <v>1244</v>
      </c>
      <c r="I70" s="88" t="s">
        <v>1238</v>
      </c>
      <c r="J70" s="88" t="s">
        <v>361</v>
      </c>
      <c r="K70" s="18">
        <v>2183497.2999999998</v>
      </c>
      <c r="L70" s="18"/>
      <c r="M70" s="18"/>
      <c r="N70" s="18"/>
      <c r="O70" s="18"/>
      <c r="P70" s="18">
        <v>2183497.2999999998</v>
      </c>
      <c r="Q70" s="20">
        <f>SUM(PAC!$M70:$P70)</f>
        <v>2183497.2999999998</v>
      </c>
      <c r="R70" s="20"/>
      <c r="S70" s="20">
        <f>IF(PAC!$R70&gt;0,PAC!$R70,PAC!$Q70)</f>
        <v>2183497.2999999998</v>
      </c>
      <c r="T70" s="20"/>
      <c r="U70" s="103" t="s">
        <v>594</v>
      </c>
      <c r="V70" s="103" t="s">
        <v>1764</v>
      </c>
      <c r="W70" s="104">
        <v>36</v>
      </c>
      <c r="X70" s="104" t="s">
        <v>1419</v>
      </c>
      <c r="Y70" s="101" t="s">
        <v>2473</v>
      </c>
      <c r="Z70" s="87"/>
      <c r="AA70" s="105"/>
      <c r="AB70" s="40" t="s">
        <v>1509</v>
      </c>
      <c r="AC70" s="40" t="s">
        <v>1943</v>
      </c>
      <c r="AD70" s="106">
        <v>46325</v>
      </c>
      <c r="AE70" s="102" t="s">
        <v>1757</v>
      </c>
      <c r="AF70" s="40" t="s">
        <v>1645</v>
      </c>
      <c r="AG70" s="40"/>
      <c r="AH70" s="40"/>
      <c r="AI70" s="40"/>
      <c r="AJ70" s="87"/>
      <c r="AK70" s="40" t="s">
        <v>1916</v>
      </c>
      <c r="AL70" s="40"/>
      <c r="AM70" s="40"/>
      <c r="AN70" s="87"/>
      <c r="AO70" s="87"/>
      <c r="AP70" s="87"/>
      <c r="AQ70" s="87"/>
      <c r="AR70" s="107"/>
      <c r="AS70" s="107"/>
      <c r="AT70" s="102"/>
      <c r="AU70" s="108"/>
      <c r="AV70" s="106"/>
      <c r="AW70" s="105" t="s">
        <v>707</v>
      </c>
      <c r="AX70" s="109">
        <f>IFERROR(IF(PAC!$X70="F01 - CAPTAÇÃO DE RECURSO",1,""),"")</f>
        <v>1</v>
      </c>
      <c r="AY70" s="109" t="str">
        <f>IFERROR(IF(PAC!$X70="F02 - LICITAÇÃO",1,""),"")</f>
        <v/>
      </c>
      <c r="AZ70" s="110" t="str">
        <f>IFERROR(IF(PAC!$X$6:$X$581="F03 - EXECUÇÃO DO OBJETO",1,""),"")</f>
        <v/>
      </c>
      <c r="BA70" s="110" t="str">
        <f>IFERROR(IF(PAC!$X$6:$X$581="F04 - CONCLUÍDA",1,""),"")</f>
        <v/>
      </c>
      <c r="BB70" s="111">
        <f>IF(PAC!$R70&gt;0,0,PAC!$Q70)</f>
        <v>2183497.2999999998</v>
      </c>
    </row>
    <row r="71" spans="1:54" s="2" customFormat="1" ht="189.75" hidden="1" customHeight="1" thickBot="1">
      <c r="A71" s="112">
        <f t="shared" si="1"/>
        <v>66</v>
      </c>
      <c r="B71" s="112">
        <v>2025</v>
      </c>
      <c r="C71" s="112" t="s">
        <v>605</v>
      </c>
      <c r="D71" s="112" t="s">
        <v>1010</v>
      </c>
      <c r="E71" s="114" t="s">
        <v>886</v>
      </c>
      <c r="F71" s="112" t="s">
        <v>53</v>
      </c>
      <c r="G71" s="112" t="s">
        <v>612</v>
      </c>
      <c r="H71" s="115" t="s">
        <v>1244</v>
      </c>
      <c r="I71" s="112" t="s">
        <v>1238</v>
      </c>
      <c r="J71" s="112" t="s">
        <v>361</v>
      </c>
      <c r="K71" s="31">
        <v>6616162.4199999999</v>
      </c>
      <c r="L71" s="31"/>
      <c r="M71" s="31"/>
      <c r="N71" s="31"/>
      <c r="O71" s="31"/>
      <c r="P71" s="31">
        <v>6616162.4199999999</v>
      </c>
      <c r="Q71" s="33">
        <f>SUM(PAC!$M71:$P71)</f>
        <v>6616162.4199999999</v>
      </c>
      <c r="R71" s="33"/>
      <c r="S71" s="33">
        <f>IF(PAC!$R71&gt;0,PAC!$R71,PAC!$Q71)</f>
        <v>6616162.4199999999</v>
      </c>
      <c r="T71" s="33"/>
      <c r="U71" s="116" t="s">
        <v>594</v>
      </c>
      <c r="V71" s="116" t="s">
        <v>1764</v>
      </c>
      <c r="W71" s="117">
        <v>36</v>
      </c>
      <c r="X71" s="117" t="s">
        <v>1419</v>
      </c>
      <c r="Y71" s="113" t="s">
        <v>2473</v>
      </c>
      <c r="Z71" s="118"/>
      <c r="AA71" s="119"/>
      <c r="AB71" s="115" t="s">
        <v>1509</v>
      </c>
      <c r="AC71" s="115" t="s">
        <v>1943</v>
      </c>
      <c r="AD71" s="120">
        <v>46325</v>
      </c>
      <c r="AE71" s="114" t="s">
        <v>1757</v>
      </c>
      <c r="AF71" s="115" t="s">
        <v>1645</v>
      </c>
      <c r="AG71" s="115"/>
      <c r="AH71" s="115"/>
      <c r="AI71" s="115"/>
      <c r="AJ71" s="118"/>
      <c r="AK71" s="115" t="s">
        <v>1917</v>
      </c>
      <c r="AL71" s="115"/>
      <c r="AM71" s="115"/>
      <c r="AN71" s="118"/>
      <c r="AO71" s="118"/>
      <c r="AP71" s="118"/>
      <c r="AQ71" s="118"/>
      <c r="AR71" s="121"/>
      <c r="AS71" s="121"/>
      <c r="AT71" s="114"/>
      <c r="AU71" s="122"/>
      <c r="AV71" s="120"/>
      <c r="AW71" s="119" t="s">
        <v>707</v>
      </c>
      <c r="AX71" s="194">
        <f>IFERROR(IF(PAC!$X71="F01 - CAPTAÇÃO DE RECURSO",1,""),"")</f>
        <v>1</v>
      </c>
      <c r="AY71" s="194" t="str">
        <f>IFERROR(IF(PAC!$X71="F02 - LICITAÇÃO",1,""),"")</f>
        <v/>
      </c>
      <c r="AZ71" s="123" t="str">
        <f>IFERROR(IF(PAC!$X$6:$X$581="F03 - EXECUÇÃO DO OBJETO",1,""),"")</f>
        <v/>
      </c>
      <c r="BA71" s="123" t="str">
        <f>IFERROR(IF(PAC!$X$6:$X$581="F04 - CONCLUÍDA",1,""),"")</f>
        <v/>
      </c>
      <c r="BB71" s="191">
        <f>IF(PAC!$R71&gt;0,0,PAC!$Q71)</f>
        <v>6616162.4199999999</v>
      </c>
    </row>
    <row r="72" spans="1:54" s="2" customFormat="1" ht="170.25" hidden="1" customHeight="1" thickBot="1">
      <c r="A72" s="88">
        <f t="shared" si="1"/>
        <v>67</v>
      </c>
      <c r="B72" s="88">
        <v>2025</v>
      </c>
      <c r="C72" s="88" t="s">
        <v>605</v>
      </c>
      <c r="D72" s="88" t="s">
        <v>1010</v>
      </c>
      <c r="E72" s="102" t="s">
        <v>1726</v>
      </c>
      <c r="F72" s="88" t="s">
        <v>53</v>
      </c>
      <c r="G72" s="88" t="s">
        <v>612</v>
      </c>
      <c r="H72" s="40" t="s">
        <v>1244</v>
      </c>
      <c r="I72" s="88" t="s">
        <v>1238</v>
      </c>
      <c r="J72" s="88" t="s">
        <v>361</v>
      </c>
      <c r="K72" s="18"/>
      <c r="L72" s="18">
        <v>4787346.4310919996</v>
      </c>
      <c r="M72" s="18">
        <v>4787346.43</v>
      </c>
      <c r="N72" s="18"/>
      <c r="O72" s="18"/>
      <c r="P72" s="18"/>
      <c r="Q72" s="20">
        <f>SUM(PAC!$M72:$P72)</f>
        <v>4787346.43</v>
      </c>
      <c r="R72" s="20"/>
      <c r="S72" s="20">
        <f>IF(PAC!$R72&gt;0,PAC!$R72,PAC!$Q72)</f>
        <v>4787346.43</v>
      </c>
      <c r="T72" s="20"/>
      <c r="U72" s="103" t="s">
        <v>1570</v>
      </c>
      <c r="V72" s="103"/>
      <c r="W72" s="104">
        <v>36</v>
      </c>
      <c r="X72" s="104" t="s">
        <v>1419</v>
      </c>
      <c r="Y72" s="101" t="s">
        <v>2473</v>
      </c>
      <c r="Z72" s="87"/>
      <c r="AA72" s="105"/>
      <c r="AB72" s="40" t="s">
        <v>1456</v>
      </c>
      <c r="AC72" s="124" t="s">
        <v>2732</v>
      </c>
      <c r="AD72" s="106"/>
      <c r="AE72" s="102" t="s">
        <v>2164</v>
      </c>
      <c r="AF72" s="40" t="s">
        <v>1660</v>
      </c>
      <c r="AG72" s="40" t="s">
        <v>1718</v>
      </c>
      <c r="AH72" s="40" t="s">
        <v>1974</v>
      </c>
      <c r="AI72" s="40" t="s">
        <v>1721</v>
      </c>
      <c r="AJ72" s="87">
        <v>46296</v>
      </c>
      <c r="AK72" s="40" t="s">
        <v>1918</v>
      </c>
      <c r="AL72" s="40"/>
      <c r="AM72" s="40"/>
      <c r="AN72" s="87"/>
      <c r="AO72" s="87"/>
      <c r="AP72" s="87"/>
      <c r="AQ72" s="87"/>
      <c r="AR72" s="107"/>
      <c r="AS72" s="107"/>
      <c r="AT72" s="102" t="s">
        <v>2733</v>
      </c>
      <c r="AU72" s="108" t="s">
        <v>1720</v>
      </c>
      <c r="AV72" s="106"/>
      <c r="AW72" s="105" t="s">
        <v>707</v>
      </c>
      <c r="AX72" s="109">
        <f>IFERROR(IF(PAC!$X72="F01 - CAPTAÇÃO DE RECURSO",1,""),"")</f>
        <v>1</v>
      </c>
      <c r="AY72" s="109" t="str">
        <f>IFERROR(IF(PAC!$X72="F02 - LICITAÇÃO",1,""),"")</f>
        <v/>
      </c>
      <c r="AZ72" s="110" t="str">
        <f>IFERROR(IF(PAC!$X$6:$X$581="F03 - EXECUÇÃO DO OBJETO",1,""),"")</f>
        <v/>
      </c>
      <c r="BA72" s="110" t="str">
        <f>IFERROR(IF(PAC!$X$6:$X$581="F04 - CONCLUÍDA",1,""),"")</f>
        <v/>
      </c>
      <c r="BB72" s="111">
        <f>IF(PAC!$R72&gt;0,0,PAC!$Q72)</f>
        <v>4787346.43</v>
      </c>
    </row>
    <row r="73" spans="1:54" s="2" customFormat="1" ht="168.75" hidden="1" customHeight="1" thickBot="1">
      <c r="A73" s="112">
        <f t="shared" si="1"/>
        <v>68</v>
      </c>
      <c r="B73" s="112">
        <v>2025</v>
      </c>
      <c r="C73" s="112" t="s">
        <v>605</v>
      </c>
      <c r="D73" s="112" t="s">
        <v>1010</v>
      </c>
      <c r="E73" s="130" t="s">
        <v>1733</v>
      </c>
      <c r="F73" s="115" t="s">
        <v>53</v>
      </c>
      <c r="G73" s="115" t="s">
        <v>612</v>
      </c>
      <c r="H73" s="112" t="s">
        <v>1244</v>
      </c>
      <c r="I73" s="112" t="s">
        <v>1238</v>
      </c>
      <c r="J73" s="112" t="s">
        <v>420</v>
      </c>
      <c r="K73" s="31"/>
      <c r="L73" s="31">
        <v>8601356.0800000001</v>
      </c>
      <c r="M73" s="31">
        <v>8601356.0800000001</v>
      </c>
      <c r="N73" s="31"/>
      <c r="O73" s="31"/>
      <c r="P73" s="31"/>
      <c r="Q73" s="33">
        <f>SUM(PAC!$M73:$P73)</f>
        <v>8601356.0800000001</v>
      </c>
      <c r="R73" s="33"/>
      <c r="S73" s="33">
        <f>IF(PAC!$R73&gt;0,PAC!$R73,PAC!$Q73)</f>
        <v>8601356.0800000001</v>
      </c>
      <c r="T73" s="33"/>
      <c r="U73" s="116" t="s">
        <v>1570</v>
      </c>
      <c r="V73" s="116"/>
      <c r="W73" s="117">
        <v>36</v>
      </c>
      <c r="X73" s="117" t="s">
        <v>1419</v>
      </c>
      <c r="Y73" s="113" t="s">
        <v>2473</v>
      </c>
      <c r="Z73" s="118"/>
      <c r="AA73" s="119"/>
      <c r="AB73" s="115" t="s">
        <v>1456</v>
      </c>
      <c r="AC73" s="125" t="s">
        <v>2748</v>
      </c>
      <c r="AD73" s="120">
        <v>46261</v>
      </c>
      <c r="AE73" s="114" t="s">
        <v>2164</v>
      </c>
      <c r="AF73" s="115" t="s">
        <v>1645</v>
      </c>
      <c r="AG73" s="115" t="s">
        <v>1759</v>
      </c>
      <c r="AH73" s="115" t="s">
        <v>1974</v>
      </c>
      <c r="AI73" s="115" t="s">
        <v>1758</v>
      </c>
      <c r="AJ73" s="118">
        <v>46296</v>
      </c>
      <c r="AK73" s="115" t="s">
        <v>1911</v>
      </c>
      <c r="AL73" s="115"/>
      <c r="AM73" s="115"/>
      <c r="AN73" s="118"/>
      <c r="AO73" s="118"/>
      <c r="AP73" s="118"/>
      <c r="AQ73" s="118"/>
      <c r="AR73" s="121"/>
      <c r="AS73" s="121"/>
      <c r="AT73" s="127" t="s">
        <v>2747</v>
      </c>
      <c r="AU73" s="115" t="s">
        <v>962</v>
      </c>
      <c r="AV73" s="120"/>
      <c r="AW73" s="119" t="s">
        <v>707</v>
      </c>
      <c r="AX73" s="194">
        <f>IFERROR(IF(PAC!$X73="F01 - CAPTAÇÃO DE RECURSO",1,""),"")</f>
        <v>1</v>
      </c>
      <c r="AY73" s="194" t="str">
        <f>IFERROR(IF(PAC!$X73="F02 - LICITAÇÃO",1,""),"")</f>
        <v/>
      </c>
      <c r="AZ73" s="123" t="str">
        <f>IFERROR(IF(PAC!$X$6:$X$581="F03 - EXECUÇÃO DO OBJETO",1,""),"")</f>
        <v/>
      </c>
      <c r="BA73" s="123" t="str">
        <f>IFERROR(IF(PAC!$X$6:$X$581="F04 - CONCLUÍDA",1,""),"")</f>
        <v/>
      </c>
      <c r="BB73" s="191">
        <f>IF(PAC!$R73&gt;0,0,PAC!$Q73)</f>
        <v>8601356.0800000001</v>
      </c>
    </row>
    <row r="74" spans="1:54" s="2" customFormat="1" ht="169.5" hidden="1" customHeight="1" thickBot="1">
      <c r="A74" s="88">
        <f t="shared" si="1"/>
        <v>69</v>
      </c>
      <c r="B74" s="101">
        <v>2023</v>
      </c>
      <c r="C74" s="88" t="s">
        <v>605</v>
      </c>
      <c r="D74" s="88" t="s">
        <v>1010</v>
      </c>
      <c r="E74" s="102" t="s">
        <v>2327</v>
      </c>
      <c r="F74" s="88" t="s">
        <v>53</v>
      </c>
      <c r="G74" s="88" t="s">
        <v>612</v>
      </c>
      <c r="H74" s="40" t="s">
        <v>1244</v>
      </c>
      <c r="I74" s="88" t="s">
        <v>1238</v>
      </c>
      <c r="J74" s="88" t="s">
        <v>361</v>
      </c>
      <c r="K74" s="18"/>
      <c r="L74" s="18">
        <v>17996755.530000001</v>
      </c>
      <c r="M74" s="18">
        <v>114527564.42</v>
      </c>
      <c r="N74" s="18"/>
      <c r="O74" s="18"/>
      <c r="P74" s="18"/>
      <c r="Q74" s="20">
        <f>SUM(PAC!$M74:$P74)</f>
        <v>114527564.42</v>
      </c>
      <c r="R74" s="20">
        <v>59525759.100000001</v>
      </c>
      <c r="S74" s="20">
        <f>IF(PAC!$R74&gt;0,PAC!$R74,PAC!$Q74)</f>
        <v>59525759.100000001</v>
      </c>
      <c r="T74" s="20" t="s">
        <v>2427</v>
      </c>
      <c r="U74" s="103" t="s">
        <v>1570</v>
      </c>
      <c r="V74" s="103"/>
      <c r="W74" s="104">
        <v>19</v>
      </c>
      <c r="X74" s="104" t="s">
        <v>1418</v>
      </c>
      <c r="Y74" s="101" t="s">
        <v>2472</v>
      </c>
      <c r="Z74" s="87"/>
      <c r="AA74" s="105"/>
      <c r="AB74" s="40" t="s">
        <v>1467</v>
      </c>
      <c r="AC74" s="40" t="s">
        <v>2429</v>
      </c>
      <c r="AD74" s="106"/>
      <c r="AE74" s="102" t="s">
        <v>1856</v>
      </c>
      <c r="AF74" s="40" t="s">
        <v>667</v>
      </c>
      <c r="AG74" s="40" t="s">
        <v>658</v>
      </c>
      <c r="AH74" s="40" t="s">
        <v>977</v>
      </c>
      <c r="AI74" s="40"/>
      <c r="AJ74" s="87"/>
      <c r="AK74" s="40" t="s">
        <v>1925</v>
      </c>
      <c r="AL74" s="40" t="s">
        <v>1222</v>
      </c>
      <c r="AM74" s="40"/>
      <c r="AN74" s="87">
        <v>46119</v>
      </c>
      <c r="AO74" s="87">
        <v>46189</v>
      </c>
      <c r="AP74" s="87"/>
      <c r="AQ74" s="87"/>
      <c r="AR74" s="107"/>
      <c r="AS74" s="107"/>
      <c r="AT74" s="102" t="s">
        <v>2633</v>
      </c>
      <c r="AU74" s="108" t="s">
        <v>2428</v>
      </c>
      <c r="AV74" s="106"/>
      <c r="AW74" s="105" t="s">
        <v>707</v>
      </c>
      <c r="AX74" s="109" t="str">
        <f>IFERROR(IF(PAC!$X74="F01 - CAPTAÇÃO DE RECURSO",1,""),"")</f>
        <v/>
      </c>
      <c r="AY74" s="109">
        <f>IFERROR(IF(PAC!$X74="F02 - LICITAÇÃO",1,""),"")</f>
        <v>1</v>
      </c>
      <c r="AZ74" s="110" t="str">
        <f>IFERROR(IF(PAC!$X$6:$X$581="F03 - EXECUÇÃO DO OBJETO",1,""),"")</f>
        <v/>
      </c>
      <c r="BA74" s="110" t="str">
        <f>IFERROR(IF(PAC!$X$6:$X$581="F04 - CONCLUÍDA",1,""),"")</f>
        <v/>
      </c>
      <c r="BB74" s="111">
        <f>IF(PAC!$R74&gt;0,0,PAC!$Q74)</f>
        <v>0</v>
      </c>
    </row>
    <row r="75" spans="1:54" s="2" customFormat="1" ht="183" hidden="1" customHeight="1" thickBot="1">
      <c r="A75" s="112">
        <f t="shared" si="1"/>
        <v>70</v>
      </c>
      <c r="B75" s="113">
        <v>2023</v>
      </c>
      <c r="C75" s="112" t="s">
        <v>605</v>
      </c>
      <c r="D75" s="112" t="s">
        <v>1010</v>
      </c>
      <c r="E75" s="114" t="s">
        <v>1953</v>
      </c>
      <c r="F75" s="112" t="s">
        <v>53</v>
      </c>
      <c r="G75" s="112" t="s">
        <v>612</v>
      </c>
      <c r="H75" s="115" t="s">
        <v>1244</v>
      </c>
      <c r="I75" s="112" t="s">
        <v>1238</v>
      </c>
      <c r="J75" s="112" t="s">
        <v>361</v>
      </c>
      <c r="K75" s="31"/>
      <c r="L75" s="31">
        <v>97299327.340000004</v>
      </c>
      <c r="M75" s="31">
        <v>30187057.66</v>
      </c>
      <c r="N75" s="31"/>
      <c r="O75" s="31"/>
      <c r="P75" s="31"/>
      <c r="Q75" s="33">
        <f>SUM(PAC!$M75:$P75)</f>
        <v>30187057.66</v>
      </c>
      <c r="R75" s="33"/>
      <c r="S75" s="33">
        <f>IF(PAC!$R75&gt;0,PAC!$R75,PAC!$Q75)</f>
        <v>30187057.66</v>
      </c>
      <c r="T75" s="33" t="s">
        <v>1601</v>
      </c>
      <c r="U75" s="116" t="s">
        <v>1570</v>
      </c>
      <c r="V75" s="116"/>
      <c r="W75" s="117">
        <v>17</v>
      </c>
      <c r="X75" s="117" t="s">
        <v>1418</v>
      </c>
      <c r="Y75" s="113" t="s">
        <v>2472</v>
      </c>
      <c r="Z75" s="118"/>
      <c r="AA75" s="119"/>
      <c r="AB75" s="115" t="s">
        <v>1469</v>
      </c>
      <c r="AC75" s="115" t="s">
        <v>2591</v>
      </c>
      <c r="AD75" s="120"/>
      <c r="AE75" s="114" t="s">
        <v>2592</v>
      </c>
      <c r="AF75" s="115" t="s">
        <v>656</v>
      </c>
      <c r="AG75" s="115" t="s">
        <v>658</v>
      </c>
      <c r="AH75" s="115" t="s">
        <v>977</v>
      </c>
      <c r="AI75" s="115"/>
      <c r="AJ75" s="118"/>
      <c r="AK75" s="115" t="s">
        <v>1924</v>
      </c>
      <c r="AL75" s="115"/>
      <c r="AM75" s="115"/>
      <c r="AN75" s="118">
        <v>44992</v>
      </c>
      <c r="AO75" s="118">
        <v>46162</v>
      </c>
      <c r="AP75" s="118">
        <v>45825</v>
      </c>
      <c r="AQ75" s="118"/>
      <c r="AR75" s="121"/>
      <c r="AS75" s="121"/>
      <c r="AT75" s="114" t="s">
        <v>2630</v>
      </c>
      <c r="AU75" s="122" t="s">
        <v>2306</v>
      </c>
      <c r="AV75" s="120"/>
      <c r="AW75" s="119" t="s">
        <v>707</v>
      </c>
      <c r="AX75" s="194" t="str">
        <f>IFERROR(IF(PAC!$X75="F01 - CAPTAÇÃO DE RECURSO",1,""),"")</f>
        <v/>
      </c>
      <c r="AY75" s="194">
        <f>IFERROR(IF(PAC!$X75="F02 - LICITAÇÃO",1,""),"")</f>
        <v>1</v>
      </c>
      <c r="AZ75" s="123" t="str">
        <f>IFERROR(IF(PAC!$X$6:$X$581="F03 - EXECUÇÃO DO OBJETO",1,""),"")</f>
        <v/>
      </c>
      <c r="BA75" s="123" t="str">
        <f>IFERROR(IF(PAC!$X$6:$X$581="F04 - CONCLUÍDA",1,""),"")</f>
        <v/>
      </c>
      <c r="BB75" s="191">
        <f>IF(PAC!$R75&gt;0,0,PAC!$Q75)</f>
        <v>30187057.66</v>
      </c>
    </row>
    <row r="76" spans="1:54" s="2" customFormat="1" ht="140.25" hidden="1" customHeight="1" thickBot="1">
      <c r="A76" s="88">
        <f t="shared" si="1"/>
        <v>71</v>
      </c>
      <c r="B76" s="101">
        <v>2023</v>
      </c>
      <c r="C76" s="88" t="s">
        <v>605</v>
      </c>
      <c r="D76" s="88" t="s">
        <v>1010</v>
      </c>
      <c r="E76" s="102" t="s">
        <v>1377</v>
      </c>
      <c r="F76" s="88" t="s">
        <v>53</v>
      </c>
      <c r="G76" s="88" t="s">
        <v>503</v>
      </c>
      <c r="H76" s="40" t="s">
        <v>1244</v>
      </c>
      <c r="I76" s="88" t="s">
        <v>1238</v>
      </c>
      <c r="J76" s="88" t="s">
        <v>361</v>
      </c>
      <c r="K76" s="18"/>
      <c r="L76" s="18">
        <v>8408272.4800000004</v>
      </c>
      <c r="M76" s="18"/>
      <c r="N76" s="18">
        <v>442540.66</v>
      </c>
      <c r="O76" s="18"/>
      <c r="P76" s="18">
        <v>8408272.4800000004</v>
      </c>
      <c r="Q76" s="20">
        <f>SUM(PAC!$M76:$P76)</f>
        <v>8850813.1400000006</v>
      </c>
      <c r="R76" s="20">
        <v>2955772.49</v>
      </c>
      <c r="S76" s="20">
        <f>IF(PAC!$R76&gt;0,PAC!$R76,PAC!$Q76)</f>
        <v>2955772.49</v>
      </c>
      <c r="T76" s="20" t="s">
        <v>1587</v>
      </c>
      <c r="U76" s="103" t="s">
        <v>1573</v>
      </c>
      <c r="V76" s="103" t="s">
        <v>1764</v>
      </c>
      <c r="W76" s="104">
        <v>12</v>
      </c>
      <c r="X76" s="104" t="s">
        <v>1694</v>
      </c>
      <c r="Y76" s="101" t="s">
        <v>2470</v>
      </c>
      <c r="Z76" s="87">
        <v>46421</v>
      </c>
      <c r="AA76" s="105">
        <v>3.5</v>
      </c>
      <c r="AB76" s="40" t="s">
        <v>1472</v>
      </c>
      <c r="AC76" s="40" t="s">
        <v>1698</v>
      </c>
      <c r="AD76" s="106">
        <v>46421</v>
      </c>
      <c r="AE76" s="40" t="s">
        <v>1492</v>
      </c>
      <c r="AF76" s="40" t="s">
        <v>996</v>
      </c>
      <c r="AG76" s="40" t="s">
        <v>1277</v>
      </c>
      <c r="AH76" s="40"/>
      <c r="AI76" s="40"/>
      <c r="AJ76" s="87"/>
      <c r="AK76" s="40" t="s">
        <v>1155</v>
      </c>
      <c r="AL76" s="40" t="s">
        <v>1258</v>
      </c>
      <c r="AM76" s="40"/>
      <c r="AN76" s="87">
        <v>45966</v>
      </c>
      <c r="AO76" s="87">
        <v>45993</v>
      </c>
      <c r="AP76" s="87">
        <v>46037</v>
      </c>
      <c r="AQ76" s="87">
        <v>46052</v>
      </c>
      <c r="AR76" s="107">
        <v>46421</v>
      </c>
      <c r="AS76" s="107">
        <v>46421</v>
      </c>
      <c r="AT76" s="102" t="s">
        <v>2740</v>
      </c>
      <c r="AU76" s="108" t="s">
        <v>1987</v>
      </c>
      <c r="AV76" s="106"/>
      <c r="AW76" s="105"/>
      <c r="AX76" s="109" t="str">
        <f>IFERROR(IF(PAC!$X76="F01 - CAPTAÇÃO DE RECURSO",1,""),"")</f>
        <v/>
      </c>
      <c r="AY76" s="109" t="str">
        <f>IFERROR(IF(PAC!$X76="F02 - LICITAÇÃO",1,""),"")</f>
        <v/>
      </c>
      <c r="AZ76" s="110">
        <f>IFERROR(IF(PAC!$X$6:$X$581="F03 - EXECUÇÃO DO OBJETO",1,""),"")</f>
        <v>1</v>
      </c>
      <c r="BA76" s="110" t="str">
        <f>IFERROR(IF(PAC!$X$6:$X$581="F04 - CONCLUÍDA",1,""),"")</f>
        <v/>
      </c>
      <c r="BB76" s="111">
        <f>IF(PAC!$R76&gt;0,0,PAC!$Q76)</f>
        <v>0</v>
      </c>
    </row>
    <row r="77" spans="1:54" s="2" customFormat="1" ht="192.75" hidden="1" customHeight="1" thickBot="1">
      <c r="A77" s="112">
        <f t="shared" si="1"/>
        <v>72</v>
      </c>
      <c r="B77" s="113">
        <v>2023</v>
      </c>
      <c r="C77" s="112" t="s">
        <v>605</v>
      </c>
      <c r="D77" s="112" t="s">
        <v>1010</v>
      </c>
      <c r="E77" s="114" t="s">
        <v>1932</v>
      </c>
      <c r="F77" s="112" t="s">
        <v>53</v>
      </c>
      <c r="G77" s="112" t="s">
        <v>503</v>
      </c>
      <c r="H77" s="115" t="s">
        <v>1244</v>
      </c>
      <c r="I77" s="112" t="s">
        <v>1238</v>
      </c>
      <c r="J77" s="112" t="s">
        <v>361</v>
      </c>
      <c r="K77" s="31"/>
      <c r="L77" s="31">
        <v>5681949.5599999996</v>
      </c>
      <c r="M77" s="31"/>
      <c r="N77" s="31">
        <v>299049.98</v>
      </c>
      <c r="O77" s="31"/>
      <c r="P77" s="31">
        <v>5681949.5599999996</v>
      </c>
      <c r="Q77" s="33">
        <f>SUM(PAC!$M77:$P77)</f>
        <v>5980999.5399999991</v>
      </c>
      <c r="R77" s="33">
        <v>6089082.1799999997</v>
      </c>
      <c r="S77" s="33">
        <f>IF(PAC!$R77&gt;0,PAC!$R77,PAC!$Q77)</f>
        <v>6089082.1799999997</v>
      </c>
      <c r="T77" s="33" t="s">
        <v>1813</v>
      </c>
      <c r="U77" s="116" t="s">
        <v>1573</v>
      </c>
      <c r="V77" s="116" t="s">
        <v>1764</v>
      </c>
      <c r="W77" s="117">
        <v>15</v>
      </c>
      <c r="X77" s="117" t="s">
        <v>1694</v>
      </c>
      <c r="Y77" s="113" t="s">
        <v>2470</v>
      </c>
      <c r="Z77" s="118">
        <v>46417</v>
      </c>
      <c r="AA77" s="119">
        <v>1</v>
      </c>
      <c r="AB77" s="115" t="s">
        <v>1472</v>
      </c>
      <c r="AC77" s="115" t="s">
        <v>1488</v>
      </c>
      <c r="AD77" s="120"/>
      <c r="AE77" s="115" t="s">
        <v>1492</v>
      </c>
      <c r="AF77" s="115" t="s">
        <v>996</v>
      </c>
      <c r="AG77" s="115" t="s">
        <v>1277</v>
      </c>
      <c r="AH77" s="115"/>
      <c r="AI77" s="115"/>
      <c r="AJ77" s="118"/>
      <c r="AK77" s="115" t="s">
        <v>1137</v>
      </c>
      <c r="AL77" s="115" t="s">
        <v>1259</v>
      </c>
      <c r="AM77" s="115"/>
      <c r="AN77" s="118">
        <v>45966</v>
      </c>
      <c r="AO77" s="118">
        <v>45993</v>
      </c>
      <c r="AP77" s="118">
        <v>46037</v>
      </c>
      <c r="AQ77" s="118">
        <v>46052</v>
      </c>
      <c r="AR77" s="121">
        <v>46417</v>
      </c>
      <c r="AS77" s="121">
        <v>46417</v>
      </c>
      <c r="AT77" s="114" t="s">
        <v>2773</v>
      </c>
      <c r="AU77" s="122" t="s">
        <v>1988</v>
      </c>
      <c r="AV77" s="120"/>
      <c r="AW77" s="119"/>
      <c r="AX77" s="194" t="str">
        <f>IFERROR(IF(PAC!$X77="F01 - CAPTAÇÃO DE RECURSO",1,""),"")</f>
        <v/>
      </c>
      <c r="AY77" s="194" t="str">
        <f>IFERROR(IF(PAC!$X77="F02 - LICITAÇÃO",1,""),"")</f>
        <v/>
      </c>
      <c r="AZ77" s="123">
        <f>IFERROR(IF(PAC!$X$6:$X$581="F03 - EXECUÇÃO DO OBJETO",1,""),"")</f>
        <v>1</v>
      </c>
      <c r="BA77" s="123" t="str">
        <f>IFERROR(IF(PAC!$X$6:$X$581="F04 - CONCLUÍDA",1,""),"")</f>
        <v/>
      </c>
      <c r="BB77" s="191">
        <f>IF(PAC!$R77&gt;0,0,PAC!$Q77)</f>
        <v>0</v>
      </c>
    </row>
    <row r="78" spans="1:54" s="2" customFormat="1" ht="84.75" hidden="1" customHeight="1" thickBot="1">
      <c r="A78" s="88">
        <f t="shared" si="1"/>
        <v>73</v>
      </c>
      <c r="B78" s="101">
        <v>2023</v>
      </c>
      <c r="C78" s="88" t="s">
        <v>605</v>
      </c>
      <c r="D78" s="88" t="s">
        <v>1010</v>
      </c>
      <c r="E78" s="102" t="s">
        <v>1378</v>
      </c>
      <c r="F78" s="88" t="s">
        <v>53</v>
      </c>
      <c r="G78" s="88" t="s">
        <v>503</v>
      </c>
      <c r="H78" s="40" t="s">
        <v>1244</v>
      </c>
      <c r="I78" s="88" t="s">
        <v>1238</v>
      </c>
      <c r="J78" s="88" t="s">
        <v>361</v>
      </c>
      <c r="K78" s="18"/>
      <c r="L78" s="18">
        <v>5013733.16</v>
      </c>
      <c r="M78" s="18"/>
      <c r="N78" s="18">
        <v>263880.69</v>
      </c>
      <c r="O78" s="18"/>
      <c r="P78" s="18">
        <v>5013733.16</v>
      </c>
      <c r="Q78" s="20">
        <f>SUM(PAC!$M78:$P78)</f>
        <v>5277613.8500000006</v>
      </c>
      <c r="R78" s="20">
        <v>1724089.37</v>
      </c>
      <c r="S78" s="20">
        <f>IF(PAC!$R78&gt;0,PAC!$R78,PAC!$Q78)</f>
        <v>1724089.37</v>
      </c>
      <c r="T78" s="20" t="s">
        <v>1587</v>
      </c>
      <c r="U78" s="103" t="s">
        <v>1573</v>
      </c>
      <c r="V78" s="103" t="s">
        <v>1764</v>
      </c>
      <c r="W78" s="104">
        <v>10</v>
      </c>
      <c r="X78" s="104" t="s">
        <v>1694</v>
      </c>
      <c r="Y78" s="101" t="s">
        <v>2470</v>
      </c>
      <c r="Z78" s="87">
        <v>46421</v>
      </c>
      <c r="AA78" s="105">
        <v>6.5</v>
      </c>
      <c r="AB78" s="40" t="s">
        <v>1472</v>
      </c>
      <c r="AC78" s="40" t="s">
        <v>1698</v>
      </c>
      <c r="AD78" s="106">
        <v>46421</v>
      </c>
      <c r="AE78" s="40" t="s">
        <v>2035</v>
      </c>
      <c r="AF78" s="40" t="s">
        <v>996</v>
      </c>
      <c r="AG78" s="40" t="s">
        <v>1277</v>
      </c>
      <c r="AH78" s="40"/>
      <c r="AI78" s="40"/>
      <c r="AJ78" s="87"/>
      <c r="AK78" s="40" t="s">
        <v>1115</v>
      </c>
      <c r="AL78" s="40" t="s">
        <v>1260</v>
      </c>
      <c r="AM78" s="40"/>
      <c r="AN78" s="87">
        <v>45966</v>
      </c>
      <c r="AO78" s="87">
        <v>45993</v>
      </c>
      <c r="AP78" s="87">
        <v>46037</v>
      </c>
      <c r="AQ78" s="87">
        <v>46052</v>
      </c>
      <c r="AR78" s="107">
        <v>46421</v>
      </c>
      <c r="AS78" s="107">
        <v>46421</v>
      </c>
      <c r="AT78" s="102" t="s">
        <v>2741</v>
      </c>
      <c r="AU78" s="108" t="s">
        <v>1989</v>
      </c>
      <c r="AV78" s="106"/>
      <c r="AW78" s="105"/>
      <c r="AX78" s="109" t="str">
        <f>IFERROR(IF(PAC!$X78="F01 - CAPTAÇÃO DE RECURSO",1,""),"")</f>
        <v/>
      </c>
      <c r="AY78" s="109" t="str">
        <f>IFERROR(IF(PAC!$X78="F02 - LICITAÇÃO",1,""),"")</f>
        <v/>
      </c>
      <c r="AZ78" s="110">
        <f>IFERROR(IF(PAC!$X$6:$X$581="F03 - EXECUÇÃO DO OBJETO",1,""),"")</f>
        <v>1</v>
      </c>
      <c r="BA78" s="110" t="str">
        <f>IFERROR(IF(PAC!$X$6:$X$581="F04 - CONCLUÍDA",1,""),"")</f>
        <v/>
      </c>
      <c r="BB78" s="111">
        <f>IF(PAC!$R78&gt;0,0,PAC!$Q78)</f>
        <v>0</v>
      </c>
    </row>
    <row r="79" spans="1:54" s="2" customFormat="1" ht="105.75" hidden="1" customHeight="1" thickBot="1">
      <c r="A79" s="112">
        <f t="shared" si="1"/>
        <v>74</v>
      </c>
      <c r="B79" s="113">
        <v>2023</v>
      </c>
      <c r="C79" s="112" t="s">
        <v>605</v>
      </c>
      <c r="D79" s="112" t="s">
        <v>1010</v>
      </c>
      <c r="E79" s="114" t="s">
        <v>1379</v>
      </c>
      <c r="F79" s="112" t="s">
        <v>53</v>
      </c>
      <c r="G79" s="112" t="s">
        <v>503</v>
      </c>
      <c r="H79" s="115" t="s">
        <v>1244</v>
      </c>
      <c r="I79" s="112" t="s">
        <v>1238</v>
      </c>
      <c r="J79" s="112" t="s">
        <v>361</v>
      </c>
      <c r="K79" s="31"/>
      <c r="L79" s="31">
        <v>2638556.15</v>
      </c>
      <c r="M79" s="31"/>
      <c r="N79" s="31">
        <v>138871.38</v>
      </c>
      <c r="O79" s="31"/>
      <c r="P79" s="31">
        <v>2638556.15</v>
      </c>
      <c r="Q79" s="33">
        <f>SUM(PAC!$M79:$P79)</f>
        <v>2777427.53</v>
      </c>
      <c r="R79" s="33">
        <v>4803481.1100000003</v>
      </c>
      <c r="S79" s="33">
        <f>IF(PAC!$R79&gt;0,PAC!$R79,PAC!$Q79)</f>
        <v>4803481.1100000003</v>
      </c>
      <c r="T79" s="33" t="s">
        <v>1813</v>
      </c>
      <c r="U79" s="116" t="s">
        <v>1573</v>
      </c>
      <c r="V79" s="116" t="s">
        <v>1764</v>
      </c>
      <c r="W79" s="117">
        <v>9</v>
      </c>
      <c r="X79" s="117" t="s">
        <v>1694</v>
      </c>
      <c r="Y79" s="113" t="s">
        <v>2470</v>
      </c>
      <c r="Z79" s="118">
        <v>46417</v>
      </c>
      <c r="AA79" s="119">
        <v>4</v>
      </c>
      <c r="AB79" s="115" t="s">
        <v>1472</v>
      </c>
      <c r="AC79" s="115" t="s">
        <v>1698</v>
      </c>
      <c r="AD79" s="120">
        <v>46417</v>
      </c>
      <c r="AE79" s="115" t="s">
        <v>1420</v>
      </c>
      <c r="AF79" s="115" t="s">
        <v>996</v>
      </c>
      <c r="AG79" s="115" t="s">
        <v>1277</v>
      </c>
      <c r="AH79" s="115"/>
      <c r="AI79" s="115"/>
      <c r="AJ79" s="118"/>
      <c r="AK79" s="115" t="s">
        <v>1140</v>
      </c>
      <c r="AL79" s="115" t="s">
        <v>1261</v>
      </c>
      <c r="AM79" s="115"/>
      <c r="AN79" s="118">
        <v>45966</v>
      </c>
      <c r="AO79" s="118">
        <v>45993</v>
      </c>
      <c r="AP79" s="118">
        <v>46037</v>
      </c>
      <c r="AQ79" s="118">
        <v>46052</v>
      </c>
      <c r="AR79" s="121">
        <v>46417</v>
      </c>
      <c r="AS79" s="121">
        <v>46417</v>
      </c>
      <c r="AT79" s="114" t="s">
        <v>2774</v>
      </c>
      <c r="AU79" s="122" t="s">
        <v>1990</v>
      </c>
      <c r="AV79" s="120"/>
      <c r="AW79" s="119"/>
      <c r="AX79" s="194" t="str">
        <f>IFERROR(IF(PAC!$X79="F01 - CAPTAÇÃO DE RECURSO",1,""),"")</f>
        <v/>
      </c>
      <c r="AY79" s="194" t="str">
        <f>IFERROR(IF(PAC!$X79="F02 - LICITAÇÃO",1,""),"")</f>
        <v/>
      </c>
      <c r="AZ79" s="123">
        <f>IFERROR(IF(PAC!$X$6:$X$581="F03 - EXECUÇÃO DO OBJETO",1,""),"")</f>
        <v>1</v>
      </c>
      <c r="BA79" s="123" t="str">
        <f>IFERROR(IF(PAC!$X$6:$X$581="F04 - CONCLUÍDA",1,""),"")</f>
        <v/>
      </c>
      <c r="BB79" s="191">
        <f>IF(PAC!$R79&gt;0,0,PAC!$Q79)</f>
        <v>0</v>
      </c>
    </row>
    <row r="80" spans="1:54" s="2" customFormat="1" ht="101.25" hidden="1" customHeight="1" thickBot="1">
      <c r="A80" s="88">
        <f t="shared" si="1"/>
        <v>75</v>
      </c>
      <c r="B80" s="101">
        <v>2023</v>
      </c>
      <c r="C80" s="88" t="s">
        <v>605</v>
      </c>
      <c r="D80" s="88" t="s">
        <v>1010</v>
      </c>
      <c r="E80" s="102" t="s">
        <v>1380</v>
      </c>
      <c r="F80" s="88" t="s">
        <v>53</v>
      </c>
      <c r="G80" s="88" t="s">
        <v>503</v>
      </c>
      <c r="H80" s="40" t="s">
        <v>1244</v>
      </c>
      <c r="I80" s="88" t="s">
        <v>1238</v>
      </c>
      <c r="J80" s="88" t="s">
        <v>361</v>
      </c>
      <c r="K80" s="18"/>
      <c r="L80" s="18">
        <v>2534418</v>
      </c>
      <c r="M80" s="18"/>
      <c r="N80" s="18">
        <v>133390.42000000001</v>
      </c>
      <c r="O80" s="18"/>
      <c r="P80" s="18">
        <v>2534418</v>
      </c>
      <c r="Q80" s="20">
        <f>SUM(PAC!$M80:$P80)</f>
        <v>2667808.42</v>
      </c>
      <c r="R80" s="20">
        <v>1442346.31</v>
      </c>
      <c r="S80" s="20">
        <f>IF(PAC!$R80&gt;0,PAC!$R80,PAC!$Q80)</f>
        <v>1442346.31</v>
      </c>
      <c r="T80" s="20" t="s">
        <v>1813</v>
      </c>
      <c r="U80" s="103" t="s">
        <v>1573</v>
      </c>
      <c r="V80" s="103" t="s">
        <v>1764</v>
      </c>
      <c r="W80" s="104">
        <v>8</v>
      </c>
      <c r="X80" s="104" t="s">
        <v>1694</v>
      </c>
      <c r="Y80" s="101" t="s">
        <v>2470</v>
      </c>
      <c r="Z80" s="87">
        <v>46417</v>
      </c>
      <c r="AA80" s="105">
        <v>20</v>
      </c>
      <c r="AB80" s="40" t="s">
        <v>1472</v>
      </c>
      <c r="AC80" s="40" t="s">
        <v>1698</v>
      </c>
      <c r="AD80" s="106">
        <v>46417</v>
      </c>
      <c r="AE80" s="40" t="s">
        <v>2035</v>
      </c>
      <c r="AF80" s="40" t="s">
        <v>996</v>
      </c>
      <c r="AG80" s="40" t="s">
        <v>1277</v>
      </c>
      <c r="AH80" s="40"/>
      <c r="AI80" s="40"/>
      <c r="AJ80" s="87"/>
      <c r="AK80" s="40" t="s">
        <v>1141</v>
      </c>
      <c r="AL80" s="40" t="s">
        <v>1262</v>
      </c>
      <c r="AM80" s="40"/>
      <c r="AN80" s="87">
        <v>45966</v>
      </c>
      <c r="AO80" s="87">
        <v>45993</v>
      </c>
      <c r="AP80" s="87">
        <v>46037</v>
      </c>
      <c r="AQ80" s="87">
        <v>46052</v>
      </c>
      <c r="AR80" s="107">
        <v>46417</v>
      </c>
      <c r="AS80" s="107">
        <v>46417</v>
      </c>
      <c r="AT80" s="102" t="s">
        <v>2775</v>
      </c>
      <c r="AU80" s="108" t="s">
        <v>1990</v>
      </c>
      <c r="AV80" s="106"/>
      <c r="AW80" s="105"/>
      <c r="AX80" s="109" t="str">
        <f>IFERROR(IF(PAC!$X80="F01 - CAPTAÇÃO DE RECURSO",1,""),"")</f>
        <v/>
      </c>
      <c r="AY80" s="109" t="str">
        <f>IFERROR(IF(PAC!$X80="F02 - LICITAÇÃO",1,""),"")</f>
        <v/>
      </c>
      <c r="AZ80" s="110">
        <f>IFERROR(IF(PAC!$X$6:$X$581="F03 - EXECUÇÃO DO OBJETO",1,""),"")</f>
        <v>1</v>
      </c>
      <c r="BA80" s="110" t="str">
        <f>IFERROR(IF(PAC!$X$6:$X$581="F04 - CONCLUÍDA",1,""),"")</f>
        <v/>
      </c>
      <c r="BB80" s="111">
        <f>IF(PAC!$R80&gt;0,0,PAC!$Q80)</f>
        <v>0</v>
      </c>
    </row>
    <row r="81" spans="1:54" s="2" customFormat="1" ht="82.5" hidden="1" customHeight="1" thickBot="1">
      <c r="A81" s="112">
        <f t="shared" si="1"/>
        <v>76</v>
      </c>
      <c r="B81" s="113">
        <v>2023</v>
      </c>
      <c r="C81" s="112" t="s">
        <v>605</v>
      </c>
      <c r="D81" s="112" t="s">
        <v>1010</v>
      </c>
      <c r="E81" s="114" t="s">
        <v>1381</v>
      </c>
      <c r="F81" s="112" t="s">
        <v>53</v>
      </c>
      <c r="G81" s="112" t="s">
        <v>503</v>
      </c>
      <c r="H81" s="115" t="s">
        <v>1244</v>
      </c>
      <c r="I81" s="112" t="s">
        <v>1238</v>
      </c>
      <c r="J81" s="112" t="s">
        <v>361</v>
      </c>
      <c r="K81" s="31"/>
      <c r="L81" s="31">
        <v>2243804.5299999998</v>
      </c>
      <c r="M81" s="31"/>
      <c r="N81" s="31">
        <v>118094.97</v>
      </c>
      <c r="O81" s="31"/>
      <c r="P81" s="31">
        <v>2243804.5299999998</v>
      </c>
      <c r="Q81" s="33">
        <f>SUM(PAC!$M81:$P81)</f>
        <v>2361899.5</v>
      </c>
      <c r="R81" s="33">
        <v>881126</v>
      </c>
      <c r="S81" s="33">
        <f>IF(PAC!$R81&gt;0,PAC!$R81,PAC!$Q81)</f>
        <v>881126</v>
      </c>
      <c r="T81" s="33" t="s">
        <v>1587</v>
      </c>
      <c r="U81" s="116" t="s">
        <v>1573</v>
      </c>
      <c r="V81" s="116" t="s">
        <v>1764</v>
      </c>
      <c r="W81" s="117">
        <v>10</v>
      </c>
      <c r="X81" s="117" t="s">
        <v>1694</v>
      </c>
      <c r="Y81" s="113" t="s">
        <v>2470</v>
      </c>
      <c r="Z81" s="118">
        <v>46421</v>
      </c>
      <c r="AA81" s="119">
        <v>3.5</v>
      </c>
      <c r="AB81" s="115" t="s">
        <v>1472</v>
      </c>
      <c r="AC81" s="115" t="s">
        <v>1698</v>
      </c>
      <c r="AD81" s="120">
        <v>46421</v>
      </c>
      <c r="AE81" s="115" t="s">
        <v>2035</v>
      </c>
      <c r="AF81" s="115" t="s">
        <v>996</v>
      </c>
      <c r="AG81" s="115" t="s">
        <v>1277</v>
      </c>
      <c r="AH81" s="115"/>
      <c r="AI81" s="115"/>
      <c r="AJ81" s="118"/>
      <c r="AK81" s="115" t="s">
        <v>1134</v>
      </c>
      <c r="AL81" s="115" t="s">
        <v>1263</v>
      </c>
      <c r="AM81" s="115"/>
      <c r="AN81" s="118">
        <v>45966</v>
      </c>
      <c r="AO81" s="118">
        <v>45993</v>
      </c>
      <c r="AP81" s="118">
        <v>46037</v>
      </c>
      <c r="AQ81" s="118">
        <v>46052</v>
      </c>
      <c r="AR81" s="121">
        <v>46421</v>
      </c>
      <c r="AS81" s="121">
        <v>46421</v>
      </c>
      <c r="AT81" s="114" t="s">
        <v>2742</v>
      </c>
      <c r="AU81" s="122" t="s">
        <v>1989</v>
      </c>
      <c r="AV81" s="120"/>
      <c r="AW81" s="119"/>
      <c r="AX81" s="194" t="str">
        <f>IFERROR(IF(PAC!$X81="F01 - CAPTAÇÃO DE RECURSO",1,""),"")</f>
        <v/>
      </c>
      <c r="AY81" s="194" t="str">
        <f>IFERROR(IF(PAC!$X81="F02 - LICITAÇÃO",1,""),"")</f>
        <v/>
      </c>
      <c r="AZ81" s="123">
        <f>IFERROR(IF(PAC!$X$6:$X$581="F03 - EXECUÇÃO DO OBJETO",1,""),"")</f>
        <v>1</v>
      </c>
      <c r="BA81" s="123" t="str">
        <f>IFERROR(IF(PAC!$X$6:$X$581="F04 - CONCLUÍDA",1,""),"")</f>
        <v/>
      </c>
      <c r="BB81" s="191">
        <f>IF(PAC!$R81&gt;0,0,PAC!$Q81)</f>
        <v>0</v>
      </c>
    </row>
    <row r="82" spans="1:54" s="2" customFormat="1" ht="188.25" hidden="1" customHeight="1" thickBot="1">
      <c r="A82" s="88">
        <f t="shared" si="1"/>
        <v>77</v>
      </c>
      <c r="B82" s="101">
        <v>2023</v>
      </c>
      <c r="C82" s="88" t="s">
        <v>605</v>
      </c>
      <c r="D82" s="88" t="s">
        <v>1010</v>
      </c>
      <c r="E82" s="102" t="s">
        <v>1382</v>
      </c>
      <c r="F82" s="88" t="s">
        <v>53</v>
      </c>
      <c r="G82" s="88" t="s">
        <v>503</v>
      </c>
      <c r="H82" s="40" t="s">
        <v>1244</v>
      </c>
      <c r="I82" s="88" t="s">
        <v>1238</v>
      </c>
      <c r="J82" s="88" t="s">
        <v>361</v>
      </c>
      <c r="K82" s="18"/>
      <c r="L82" s="18">
        <v>2065144.23</v>
      </c>
      <c r="M82" s="18"/>
      <c r="N82" s="18">
        <v>108691.8</v>
      </c>
      <c r="O82" s="18"/>
      <c r="P82" s="18">
        <v>2065144.23</v>
      </c>
      <c r="Q82" s="20">
        <f>SUM(PAC!$M82:$P82)</f>
        <v>2173836.0299999998</v>
      </c>
      <c r="R82" s="20">
        <v>1653372.57</v>
      </c>
      <c r="S82" s="20">
        <f>IF(PAC!$R82&gt;0,PAC!$R82,PAC!$Q82)</f>
        <v>1653372.57</v>
      </c>
      <c r="T82" s="20" t="s">
        <v>1587</v>
      </c>
      <c r="U82" s="103" t="s">
        <v>1573</v>
      </c>
      <c r="V82" s="103" t="s">
        <v>1764</v>
      </c>
      <c r="W82" s="104">
        <v>10</v>
      </c>
      <c r="X82" s="104" t="s">
        <v>1694</v>
      </c>
      <c r="Y82" s="101" t="s">
        <v>2470</v>
      </c>
      <c r="Z82" s="87">
        <v>46421</v>
      </c>
      <c r="AA82" s="105">
        <v>3.1</v>
      </c>
      <c r="AB82" s="40" t="s">
        <v>1472</v>
      </c>
      <c r="AC82" s="40" t="s">
        <v>1698</v>
      </c>
      <c r="AD82" s="106">
        <v>46421</v>
      </c>
      <c r="AE82" s="40" t="s">
        <v>1492</v>
      </c>
      <c r="AF82" s="40" t="s">
        <v>996</v>
      </c>
      <c r="AG82" s="40" t="s">
        <v>1277</v>
      </c>
      <c r="AH82" s="40"/>
      <c r="AI82" s="40"/>
      <c r="AJ82" s="87"/>
      <c r="AK82" s="40" t="s">
        <v>1116</v>
      </c>
      <c r="AL82" s="40" t="s">
        <v>1265</v>
      </c>
      <c r="AM82" s="40"/>
      <c r="AN82" s="87">
        <v>45966</v>
      </c>
      <c r="AO82" s="87">
        <v>45993</v>
      </c>
      <c r="AP82" s="87">
        <v>46037</v>
      </c>
      <c r="AQ82" s="87">
        <v>46052</v>
      </c>
      <c r="AR82" s="107">
        <v>46421</v>
      </c>
      <c r="AS82" s="107">
        <v>46421</v>
      </c>
      <c r="AT82" s="102" t="s">
        <v>2743</v>
      </c>
      <c r="AU82" s="108" t="s">
        <v>1989</v>
      </c>
      <c r="AV82" s="106"/>
      <c r="AW82" s="105"/>
      <c r="AX82" s="109" t="str">
        <f>IFERROR(IF(PAC!$X82="F01 - CAPTAÇÃO DE RECURSO",1,""),"")</f>
        <v/>
      </c>
      <c r="AY82" s="109" t="str">
        <f>IFERROR(IF(PAC!$X82="F02 - LICITAÇÃO",1,""),"")</f>
        <v/>
      </c>
      <c r="AZ82" s="110">
        <f>IFERROR(IF(PAC!$X$6:$X$581="F03 - EXECUÇÃO DO OBJETO",1,""),"")</f>
        <v>1</v>
      </c>
      <c r="BA82" s="110" t="str">
        <f>IFERROR(IF(PAC!$X$6:$X$581="F04 - CONCLUÍDA",1,""),"")</f>
        <v/>
      </c>
      <c r="BB82" s="111">
        <f>IF(PAC!$R82&gt;0,0,PAC!$Q82)</f>
        <v>0</v>
      </c>
    </row>
    <row r="83" spans="1:54" s="2" customFormat="1" ht="99" hidden="1" customHeight="1" thickBot="1">
      <c r="A83" s="112">
        <f t="shared" si="1"/>
        <v>78</v>
      </c>
      <c r="B83" s="113">
        <v>2023</v>
      </c>
      <c r="C83" s="112" t="s">
        <v>605</v>
      </c>
      <c r="D83" s="112" t="s">
        <v>1010</v>
      </c>
      <c r="E83" s="114" t="s">
        <v>1383</v>
      </c>
      <c r="F83" s="112" t="s">
        <v>53</v>
      </c>
      <c r="G83" s="112" t="s">
        <v>503</v>
      </c>
      <c r="H83" s="115" t="s">
        <v>1244</v>
      </c>
      <c r="I83" s="112" t="s">
        <v>1238</v>
      </c>
      <c r="J83" s="112" t="s">
        <v>361</v>
      </c>
      <c r="K83" s="31"/>
      <c r="L83" s="31">
        <v>1308299.82</v>
      </c>
      <c r="M83" s="31"/>
      <c r="N83" s="31">
        <v>68857.89</v>
      </c>
      <c r="O83" s="31"/>
      <c r="P83" s="31">
        <v>1308299.82</v>
      </c>
      <c r="Q83" s="33">
        <f>SUM(PAC!$M83:$P83)</f>
        <v>1377157.71</v>
      </c>
      <c r="R83" s="33">
        <v>917721.66</v>
      </c>
      <c r="S83" s="33">
        <f>IF(PAC!$R83&gt;0,PAC!$R83,PAC!$Q83)</f>
        <v>917721.66</v>
      </c>
      <c r="T83" s="33" t="s">
        <v>1587</v>
      </c>
      <c r="U83" s="116" t="s">
        <v>1573</v>
      </c>
      <c r="V83" s="116" t="s">
        <v>1764</v>
      </c>
      <c r="W83" s="117">
        <v>10</v>
      </c>
      <c r="X83" s="117" t="s">
        <v>1694</v>
      </c>
      <c r="Y83" s="113" t="s">
        <v>2470</v>
      </c>
      <c r="Z83" s="118">
        <v>46421</v>
      </c>
      <c r="AA83" s="119">
        <v>3.5</v>
      </c>
      <c r="AB83" s="115" t="s">
        <v>1472</v>
      </c>
      <c r="AC83" s="115" t="s">
        <v>1698</v>
      </c>
      <c r="AD83" s="120">
        <v>46421</v>
      </c>
      <c r="AE83" s="115" t="s">
        <v>1492</v>
      </c>
      <c r="AF83" s="115" t="s">
        <v>996</v>
      </c>
      <c r="AG83" s="115" t="s">
        <v>1277</v>
      </c>
      <c r="AH83" s="115"/>
      <c r="AI83" s="115"/>
      <c r="AJ83" s="118"/>
      <c r="AK83" s="115" t="s">
        <v>1117</v>
      </c>
      <c r="AL83" s="115" t="s">
        <v>1264</v>
      </c>
      <c r="AM83" s="115"/>
      <c r="AN83" s="118">
        <v>45966</v>
      </c>
      <c r="AO83" s="118">
        <v>45993</v>
      </c>
      <c r="AP83" s="118">
        <v>46037</v>
      </c>
      <c r="AQ83" s="118">
        <v>46052</v>
      </c>
      <c r="AR83" s="121">
        <v>46421</v>
      </c>
      <c r="AS83" s="121">
        <v>46421</v>
      </c>
      <c r="AT83" s="114" t="s">
        <v>2742</v>
      </c>
      <c r="AU83" s="122" t="s">
        <v>1989</v>
      </c>
      <c r="AV83" s="120"/>
      <c r="AW83" s="119"/>
      <c r="AX83" s="194" t="str">
        <f>IFERROR(IF(PAC!$X83="F01 - CAPTAÇÃO DE RECURSO",1,""),"")</f>
        <v/>
      </c>
      <c r="AY83" s="194" t="str">
        <f>IFERROR(IF(PAC!$X83="F02 - LICITAÇÃO",1,""),"")</f>
        <v/>
      </c>
      <c r="AZ83" s="123">
        <f>IFERROR(IF(PAC!$X$6:$X$581="F03 - EXECUÇÃO DO OBJETO",1,""),"")</f>
        <v>1</v>
      </c>
      <c r="BA83" s="123" t="str">
        <f>IFERROR(IF(PAC!$X$6:$X$581="F04 - CONCLUÍDA",1,""),"")</f>
        <v/>
      </c>
      <c r="BB83" s="191">
        <f>IF(PAC!$R83&gt;0,0,PAC!$Q83)</f>
        <v>0</v>
      </c>
    </row>
    <row r="84" spans="1:54" s="2" customFormat="1" ht="93" hidden="1" customHeight="1" thickBot="1">
      <c r="A84" s="88">
        <f t="shared" si="1"/>
        <v>79</v>
      </c>
      <c r="B84" s="101">
        <v>2023</v>
      </c>
      <c r="C84" s="88" t="s">
        <v>605</v>
      </c>
      <c r="D84" s="88" t="s">
        <v>1010</v>
      </c>
      <c r="E84" s="102" t="s">
        <v>1366</v>
      </c>
      <c r="F84" s="88" t="s">
        <v>53</v>
      </c>
      <c r="G84" s="88" t="s">
        <v>503</v>
      </c>
      <c r="H84" s="40" t="s">
        <v>1244</v>
      </c>
      <c r="I84" s="88" t="s">
        <v>1238</v>
      </c>
      <c r="J84" s="88" t="s">
        <v>92</v>
      </c>
      <c r="K84" s="18"/>
      <c r="L84" s="18">
        <v>1851314.58</v>
      </c>
      <c r="M84" s="18">
        <v>1851314.58</v>
      </c>
      <c r="N84" s="18"/>
      <c r="O84" s="18"/>
      <c r="P84" s="18"/>
      <c r="Q84" s="20">
        <f>SUM(PAC!$M84:$P84)</f>
        <v>1851314.58</v>
      </c>
      <c r="R84" s="20">
        <v>3991375.19</v>
      </c>
      <c r="S84" s="20">
        <f>IF(PAC!$R84&gt;0,PAC!$R84,PAC!$Q84)</f>
        <v>3991375.19</v>
      </c>
      <c r="T84" s="20" t="s">
        <v>1590</v>
      </c>
      <c r="U84" s="103" t="s">
        <v>1570</v>
      </c>
      <c r="V84" s="103"/>
      <c r="W84" s="104">
        <v>12</v>
      </c>
      <c r="X84" s="104" t="s">
        <v>1694</v>
      </c>
      <c r="Y84" s="101" t="s">
        <v>2470</v>
      </c>
      <c r="Z84" s="87">
        <v>46433</v>
      </c>
      <c r="AA84" s="105">
        <v>45</v>
      </c>
      <c r="AB84" s="40" t="s">
        <v>1472</v>
      </c>
      <c r="AC84" s="40" t="s">
        <v>1698</v>
      </c>
      <c r="AD84" s="106">
        <v>46433</v>
      </c>
      <c r="AE84" s="40" t="s">
        <v>1737</v>
      </c>
      <c r="AF84" s="40" t="s">
        <v>648</v>
      </c>
      <c r="AG84" s="40" t="s">
        <v>511</v>
      </c>
      <c r="AH84" s="40" t="s">
        <v>977</v>
      </c>
      <c r="AI84" s="40"/>
      <c r="AJ84" s="87"/>
      <c r="AK84" s="40" t="s">
        <v>1213</v>
      </c>
      <c r="AL84" s="40" t="s">
        <v>1212</v>
      </c>
      <c r="AM84" s="40"/>
      <c r="AN84" s="87">
        <v>45882</v>
      </c>
      <c r="AO84" s="87">
        <v>45947</v>
      </c>
      <c r="AP84" s="87">
        <v>45992</v>
      </c>
      <c r="AQ84" s="87">
        <v>46002</v>
      </c>
      <c r="AR84" s="107">
        <v>46433</v>
      </c>
      <c r="AS84" s="107">
        <v>46433</v>
      </c>
      <c r="AT84" s="102" t="s">
        <v>2776</v>
      </c>
      <c r="AU84" s="108" t="s">
        <v>1736</v>
      </c>
      <c r="AV84" s="106"/>
      <c r="AW84" s="105"/>
      <c r="AX84" s="109" t="str">
        <f>IFERROR(IF(PAC!$X84="F01 - CAPTAÇÃO DE RECURSO",1,""),"")</f>
        <v/>
      </c>
      <c r="AY84" s="109" t="str">
        <f>IFERROR(IF(PAC!$X84="F02 - LICITAÇÃO",1,""),"")</f>
        <v/>
      </c>
      <c r="AZ84" s="110">
        <f>IFERROR(IF(PAC!$X$6:$X$581="F03 - EXECUÇÃO DO OBJETO",1,""),"")</f>
        <v>1</v>
      </c>
      <c r="BA84" s="110" t="str">
        <f>IFERROR(IF(PAC!$X$6:$X$581="F04 - CONCLUÍDA",1,""),"")</f>
        <v/>
      </c>
      <c r="BB84" s="111">
        <f>IF(PAC!$R84&gt;0,0,PAC!$Q84)</f>
        <v>0</v>
      </c>
    </row>
    <row r="85" spans="1:54" s="2" customFormat="1" ht="87.75" hidden="1" customHeight="1" thickBot="1">
      <c r="A85" s="112">
        <f t="shared" si="1"/>
        <v>80</v>
      </c>
      <c r="B85" s="113">
        <v>2023</v>
      </c>
      <c r="C85" s="112" t="s">
        <v>605</v>
      </c>
      <c r="D85" s="112" t="s">
        <v>1010</v>
      </c>
      <c r="E85" s="114" t="s">
        <v>1367</v>
      </c>
      <c r="F85" s="112" t="s">
        <v>53</v>
      </c>
      <c r="G85" s="112" t="s">
        <v>503</v>
      </c>
      <c r="H85" s="115" t="s">
        <v>1244</v>
      </c>
      <c r="I85" s="112" t="s">
        <v>1238</v>
      </c>
      <c r="J85" s="112" t="s">
        <v>94</v>
      </c>
      <c r="K85" s="31"/>
      <c r="L85" s="31">
        <v>2112974.5499999998</v>
      </c>
      <c r="M85" s="31">
        <v>2112974.5499999998</v>
      </c>
      <c r="N85" s="31"/>
      <c r="O85" s="31"/>
      <c r="P85" s="31"/>
      <c r="Q85" s="33">
        <f>SUM(PAC!$M85:$P85)</f>
        <v>2112974.5499999998</v>
      </c>
      <c r="R85" s="33">
        <v>4388669.0199999996</v>
      </c>
      <c r="S85" s="33">
        <f>IF(PAC!$R85&gt;0,PAC!$R85,PAC!$Q85)</f>
        <v>4388669.0199999996</v>
      </c>
      <c r="T85" s="33" t="s">
        <v>1875</v>
      </c>
      <c r="U85" s="116" t="s">
        <v>1570</v>
      </c>
      <c r="V85" s="116"/>
      <c r="W85" s="117">
        <v>7</v>
      </c>
      <c r="X85" s="117" t="s">
        <v>1694</v>
      </c>
      <c r="Y85" s="113" t="s">
        <v>2470</v>
      </c>
      <c r="Z85" s="118">
        <v>46548</v>
      </c>
      <c r="AA85" s="119">
        <v>3</v>
      </c>
      <c r="AB85" s="115" t="s">
        <v>1472</v>
      </c>
      <c r="AC85" s="115" t="s">
        <v>1488</v>
      </c>
      <c r="AD85" s="120"/>
      <c r="AE85" s="115" t="s">
        <v>1698</v>
      </c>
      <c r="AF85" s="115" t="s">
        <v>648</v>
      </c>
      <c r="AG85" s="115" t="s">
        <v>511</v>
      </c>
      <c r="AH85" s="115" t="s">
        <v>977</v>
      </c>
      <c r="AI85" s="115"/>
      <c r="AJ85" s="118"/>
      <c r="AK85" s="115" t="s">
        <v>1180</v>
      </c>
      <c r="AL85" s="115" t="s">
        <v>1204</v>
      </c>
      <c r="AM85" s="115"/>
      <c r="AN85" s="118">
        <v>45955</v>
      </c>
      <c r="AO85" s="118">
        <v>46035</v>
      </c>
      <c r="AP85" s="118">
        <v>46088</v>
      </c>
      <c r="AQ85" s="118">
        <v>46120</v>
      </c>
      <c r="AR85" s="121">
        <v>46548</v>
      </c>
      <c r="AS85" s="121">
        <v>46548</v>
      </c>
      <c r="AT85" s="114" t="s">
        <v>2593</v>
      </c>
      <c r="AU85" s="122" t="s">
        <v>1986</v>
      </c>
      <c r="AV85" s="120"/>
      <c r="AW85" s="119"/>
      <c r="AX85" s="194" t="str">
        <f>IFERROR(IF(PAC!$X85="F01 - CAPTAÇÃO DE RECURSO",1,""),"")</f>
        <v/>
      </c>
      <c r="AY85" s="194" t="str">
        <f>IFERROR(IF(PAC!$X85="F02 - LICITAÇÃO",1,""),"")</f>
        <v/>
      </c>
      <c r="AZ85" s="123">
        <f>IFERROR(IF(PAC!$X$6:$X$581="F03 - EXECUÇÃO DO OBJETO",1,""),"")</f>
        <v>1</v>
      </c>
      <c r="BA85" s="123" t="str">
        <f>IFERROR(IF(PAC!$X$6:$X$581="F04 - CONCLUÍDA",1,""),"")</f>
        <v/>
      </c>
      <c r="BB85" s="191">
        <f>IF(PAC!$R85&gt;0,0,PAC!$Q85)</f>
        <v>0</v>
      </c>
    </row>
    <row r="86" spans="1:54" s="2" customFormat="1" ht="84" hidden="1" customHeight="1" thickBot="1">
      <c r="A86" s="88">
        <f t="shared" si="1"/>
        <v>81</v>
      </c>
      <c r="B86" s="101">
        <v>2023</v>
      </c>
      <c r="C86" s="88" t="s">
        <v>605</v>
      </c>
      <c r="D86" s="88" t="s">
        <v>1010</v>
      </c>
      <c r="E86" s="102" t="s">
        <v>1329</v>
      </c>
      <c r="F86" s="88" t="s">
        <v>53</v>
      </c>
      <c r="G86" s="88" t="s">
        <v>503</v>
      </c>
      <c r="H86" s="40" t="s">
        <v>1244</v>
      </c>
      <c r="I86" s="88" t="s">
        <v>1238</v>
      </c>
      <c r="J86" s="88" t="s">
        <v>361</v>
      </c>
      <c r="K86" s="18"/>
      <c r="L86" s="18">
        <v>4303340</v>
      </c>
      <c r="M86" s="18">
        <v>4303340</v>
      </c>
      <c r="N86" s="18"/>
      <c r="O86" s="18"/>
      <c r="P86" s="18"/>
      <c r="Q86" s="20">
        <f>SUM(PAC!$M86:$P86)</f>
        <v>4303340</v>
      </c>
      <c r="R86" s="20">
        <v>5012395.63</v>
      </c>
      <c r="S86" s="20">
        <f>IF(PAC!$R86&gt;0,PAC!$R86,PAC!$Q86)</f>
        <v>5012395.63</v>
      </c>
      <c r="T86" s="20" t="s">
        <v>1589</v>
      </c>
      <c r="U86" s="103" t="s">
        <v>1570</v>
      </c>
      <c r="V86" s="103"/>
      <c r="W86" s="104">
        <v>15</v>
      </c>
      <c r="X86" s="104" t="s">
        <v>1694</v>
      </c>
      <c r="Y86" s="101" t="s">
        <v>2470</v>
      </c>
      <c r="Z86" s="87">
        <v>46507</v>
      </c>
      <c r="AA86" s="105">
        <v>3.5</v>
      </c>
      <c r="AB86" s="40" t="s">
        <v>1472</v>
      </c>
      <c r="AC86" s="40" t="s">
        <v>1698</v>
      </c>
      <c r="AD86" s="106">
        <v>46507</v>
      </c>
      <c r="AE86" s="40" t="s">
        <v>1698</v>
      </c>
      <c r="AF86" s="40" t="s">
        <v>646</v>
      </c>
      <c r="AG86" s="40" t="s">
        <v>509</v>
      </c>
      <c r="AH86" s="40" t="s">
        <v>977</v>
      </c>
      <c r="AI86" s="40"/>
      <c r="AJ86" s="87"/>
      <c r="AK86" s="40" t="s">
        <v>1132</v>
      </c>
      <c r="AL86" s="40" t="s">
        <v>1064</v>
      </c>
      <c r="AM86" s="40"/>
      <c r="AN86" s="87">
        <v>45878</v>
      </c>
      <c r="AO86" s="87">
        <v>45946</v>
      </c>
      <c r="AP86" s="87">
        <v>45986</v>
      </c>
      <c r="AQ86" s="87">
        <v>46050</v>
      </c>
      <c r="AR86" s="107">
        <v>46507</v>
      </c>
      <c r="AS86" s="107">
        <v>46507</v>
      </c>
      <c r="AT86" s="102" t="s">
        <v>2584</v>
      </c>
      <c r="AU86" s="108" t="s">
        <v>1991</v>
      </c>
      <c r="AV86" s="106"/>
      <c r="AW86" s="105"/>
      <c r="AX86" s="109" t="str">
        <f>IFERROR(IF(PAC!$X86="F01 - CAPTAÇÃO DE RECURSO",1,""),"")</f>
        <v/>
      </c>
      <c r="AY86" s="109" t="str">
        <f>IFERROR(IF(PAC!$X86="F02 - LICITAÇÃO",1,""),"")</f>
        <v/>
      </c>
      <c r="AZ86" s="110">
        <f>IFERROR(IF(PAC!$X$6:$X$581="F03 - EXECUÇÃO DO OBJETO",1,""),"")</f>
        <v>1</v>
      </c>
      <c r="BA86" s="110" t="str">
        <f>IFERROR(IF(PAC!$X$6:$X$581="F04 - CONCLUÍDA",1,""),"")</f>
        <v/>
      </c>
      <c r="BB86" s="111">
        <f>IF(PAC!$R86&gt;0,0,PAC!$Q86)</f>
        <v>0</v>
      </c>
    </row>
    <row r="87" spans="1:54" s="1" customFormat="1" ht="162" hidden="1" customHeight="1" thickBot="1">
      <c r="A87" s="112">
        <f t="shared" si="1"/>
        <v>82</v>
      </c>
      <c r="B87" s="113">
        <v>2023</v>
      </c>
      <c r="C87" s="112" t="s">
        <v>605</v>
      </c>
      <c r="D87" s="112" t="s">
        <v>1010</v>
      </c>
      <c r="E87" s="114" t="s">
        <v>1330</v>
      </c>
      <c r="F87" s="112" t="s">
        <v>53</v>
      </c>
      <c r="G87" s="112" t="s">
        <v>503</v>
      </c>
      <c r="H87" s="115" t="s">
        <v>1244</v>
      </c>
      <c r="I87" s="112" t="s">
        <v>1238</v>
      </c>
      <c r="J87" s="112" t="s">
        <v>361</v>
      </c>
      <c r="K87" s="31"/>
      <c r="L87" s="31">
        <v>3467691.4210000001</v>
      </c>
      <c r="M87" s="31">
        <v>3467691.4210000001</v>
      </c>
      <c r="N87" s="31"/>
      <c r="O87" s="31"/>
      <c r="P87" s="31"/>
      <c r="Q87" s="33">
        <f>SUM(PAC!$M87:$P87)</f>
        <v>3467691.4210000001</v>
      </c>
      <c r="R87" s="33">
        <v>1084676.6299999999</v>
      </c>
      <c r="S87" s="33">
        <f>IF(PAC!$R87&gt;0,PAC!$R87,PAC!$Q87)</f>
        <v>1084676.6299999999</v>
      </c>
      <c r="T87" s="33" t="s">
        <v>1589</v>
      </c>
      <c r="U87" s="116" t="s">
        <v>1570</v>
      </c>
      <c r="V87" s="116"/>
      <c r="W87" s="117">
        <v>8</v>
      </c>
      <c r="X87" s="117" t="s">
        <v>1694</v>
      </c>
      <c r="Y87" s="113" t="s">
        <v>2470</v>
      </c>
      <c r="Z87" s="118">
        <v>46507</v>
      </c>
      <c r="AA87" s="119">
        <v>44.42</v>
      </c>
      <c r="AB87" s="115" t="s">
        <v>1472</v>
      </c>
      <c r="AC87" s="115" t="s">
        <v>1698</v>
      </c>
      <c r="AD87" s="120">
        <v>46507</v>
      </c>
      <c r="AE87" s="115" t="s">
        <v>1698</v>
      </c>
      <c r="AF87" s="115" t="s">
        <v>646</v>
      </c>
      <c r="AG87" s="115" t="s">
        <v>509</v>
      </c>
      <c r="AH87" s="115" t="s">
        <v>977</v>
      </c>
      <c r="AI87" s="115"/>
      <c r="AJ87" s="118"/>
      <c r="AK87" s="115" t="s">
        <v>1159</v>
      </c>
      <c r="AL87" s="115" t="s">
        <v>1085</v>
      </c>
      <c r="AM87" s="115"/>
      <c r="AN87" s="118">
        <v>45878</v>
      </c>
      <c r="AO87" s="118">
        <v>45946</v>
      </c>
      <c r="AP87" s="118">
        <v>45986</v>
      </c>
      <c r="AQ87" s="118">
        <v>46050</v>
      </c>
      <c r="AR87" s="121">
        <v>46507</v>
      </c>
      <c r="AS87" s="121">
        <v>46507</v>
      </c>
      <c r="AT87" s="114" t="s">
        <v>2585</v>
      </c>
      <c r="AU87" s="122" t="s">
        <v>1991</v>
      </c>
      <c r="AV87" s="120"/>
      <c r="AW87" s="119"/>
      <c r="AX87" s="194" t="str">
        <f>IFERROR(IF(PAC!$X87="F01 - CAPTAÇÃO DE RECURSO",1,""),"")</f>
        <v/>
      </c>
      <c r="AY87" s="194" t="str">
        <f>IFERROR(IF(PAC!$X87="F02 - LICITAÇÃO",1,""),"")</f>
        <v/>
      </c>
      <c r="AZ87" s="123">
        <f>IFERROR(IF(PAC!$X$6:$X$581="F03 - EXECUÇÃO DO OBJETO",1,""),"")</f>
        <v>1</v>
      </c>
      <c r="BA87" s="123" t="str">
        <f>IFERROR(IF(PAC!$X$6:$X$581="F04 - CONCLUÍDA",1,""),"")</f>
        <v/>
      </c>
      <c r="BB87" s="191">
        <f>IF(PAC!$R87&gt;0,0,PAC!$Q87)</f>
        <v>0</v>
      </c>
    </row>
    <row r="88" spans="1:54" s="1" customFormat="1" ht="95.25" hidden="1" customHeight="1" thickBot="1">
      <c r="A88" s="88">
        <f t="shared" si="1"/>
        <v>83</v>
      </c>
      <c r="B88" s="101">
        <v>2023</v>
      </c>
      <c r="C88" s="88" t="s">
        <v>605</v>
      </c>
      <c r="D88" s="88" t="s">
        <v>1010</v>
      </c>
      <c r="E88" s="102" t="s">
        <v>1331</v>
      </c>
      <c r="F88" s="88" t="s">
        <v>53</v>
      </c>
      <c r="G88" s="88" t="s">
        <v>503</v>
      </c>
      <c r="H88" s="40" t="s">
        <v>1244</v>
      </c>
      <c r="I88" s="88" t="s">
        <v>1238</v>
      </c>
      <c r="J88" s="88" t="s">
        <v>361</v>
      </c>
      <c r="K88" s="18"/>
      <c r="L88" s="18">
        <v>887672.74</v>
      </c>
      <c r="M88" s="18">
        <v>887672.74</v>
      </c>
      <c r="N88" s="18"/>
      <c r="O88" s="18"/>
      <c r="P88" s="18"/>
      <c r="Q88" s="20">
        <f>SUM(PAC!$M88:$P88)</f>
        <v>887672.74</v>
      </c>
      <c r="R88" s="20">
        <v>582631.24</v>
      </c>
      <c r="S88" s="20">
        <f>IF(PAC!$R88&gt;0,PAC!$R88,PAC!$Q88)</f>
        <v>582631.24</v>
      </c>
      <c r="T88" s="20" t="s">
        <v>1583</v>
      </c>
      <c r="U88" s="103" t="s">
        <v>1570</v>
      </c>
      <c r="V88" s="103"/>
      <c r="W88" s="104">
        <v>7</v>
      </c>
      <c r="X88" s="104" t="s">
        <v>1490</v>
      </c>
      <c r="Y88" s="101" t="s">
        <v>2469</v>
      </c>
      <c r="Z88" s="87">
        <v>46158</v>
      </c>
      <c r="AA88" s="105">
        <v>100</v>
      </c>
      <c r="AB88" s="40" t="s">
        <v>1473</v>
      </c>
      <c r="AC88" s="40" t="s">
        <v>1696</v>
      </c>
      <c r="AD88" s="106"/>
      <c r="AE88" s="40"/>
      <c r="AF88" s="40" t="s">
        <v>646</v>
      </c>
      <c r="AG88" s="40" t="s">
        <v>509</v>
      </c>
      <c r="AH88" s="40" t="s">
        <v>977</v>
      </c>
      <c r="AI88" s="40"/>
      <c r="AJ88" s="87"/>
      <c r="AK88" s="40" t="s">
        <v>1131</v>
      </c>
      <c r="AL88" s="40" t="s">
        <v>1061</v>
      </c>
      <c r="AM88" s="40"/>
      <c r="AN88" s="87">
        <v>45715</v>
      </c>
      <c r="AO88" s="87">
        <v>45762</v>
      </c>
      <c r="AP88" s="87">
        <v>45812</v>
      </c>
      <c r="AQ88" s="87">
        <v>45901</v>
      </c>
      <c r="AR88" s="107">
        <v>46158</v>
      </c>
      <c r="AS88" s="107">
        <v>46158</v>
      </c>
      <c r="AT88" s="128" t="s">
        <v>2737</v>
      </c>
      <c r="AU88" s="108" t="s">
        <v>2066</v>
      </c>
      <c r="AV88" s="106"/>
      <c r="AW88" s="105"/>
      <c r="AX88" s="109" t="str">
        <f>IFERROR(IF(PAC!$X88="F01 - CAPTAÇÃO DE RECURSO",1,""),"")</f>
        <v/>
      </c>
      <c r="AY88" s="109" t="str">
        <f>IFERROR(IF(PAC!$X88="F02 - LICITAÇÃO",1,""),"")</f>
        <v/>
      </c>
      <c r="AZ88" s="110" t="str">
        <f>IFERROR(IF(PAC!$X$6:$X$581="F03 - EXECUÇÃO DO OBJETO",1,""),"")</f>
        <v/>
      </c>
      <c r="BA88" s="110">
        <f>IFERROR(IF(PAC!$X$6:$X$581="F04 - CONCLUÍDA",1,""),"")</f>
        <v>1</v>
      </c>
      <c r="BB88" s="111">
        <f>IF(PAC!$R88&gt;0,0,PAC!$Q88)</f>
        <v>0</v>
      </c>
    </row>
    <row r="89" spans="1:54" s="1" customFormat="1" ht="117" hidden="1" customHeight="1" thickBot="1">
      <c r="A89" s="112">
        <f t="shared" si="1"/>
        <v>84</v>
      </c>
      <c r="B89" s="113">
        <v>2023</v>
      </c>
      <c r="C89" s="112" t="s">
        <v>605</v>
      </c>
      <c r="D89" s="112" t="s">
        <v>1010</v>
      </c>
      <c r="E89" s="114" t="s">
        <v>1332</v>
      </c>
      <c r="F89" s="112" t="s">
        <v>53</v>
      </c>
      <c r="G89" s="112" t="s">
        <v>503</v>
      </c>
      <c r="H89" s="115" t="s">
        <v>1244</v>
      </c>
      <c r="I89" s="112" t="s">
        <v>1238</v>
      </c>
      <c r="J89" s="112" t="s">
        <v>361</v>
      </c>
      <c r="K89" s="31"/>
      <c r="L89" s="31">
        <v>5064376.93</v>
      </c>
      <c r="M89" s="31">
        <v>5064376.93</v>
      </c>
      <c r="N89" s="31"/>
      <c r="O89" s="31"/>
      <c r="P89" s="31"/>
      <c r="Q89" s="33">
        <f>SUM(PAC!$M89:$P89)</f>
        <v>5064376.93</v>
      </c>
      <c r="R89" s="33">
        <v>3352854.71</v>
      </c>
      <c r="S89" s="33">
        <f>IF(PAC!$R89&gt;0,PAC!$R89,PAC!$Q89)</f>
        <v>3352854.71</v>
      </c>
      <c r="T89" s="33" t="s">
        <v>1890</v>
      </c>
      <c r="U89" s="116" t="s">
        <v>1570</v>
      </c>
      <c r="V89" s="116"/>
      <c r="W89" s="117">
        <v>13</v>
      </c>
      <c r="X89" s="117" t="s">
        <v>1694</v>
      </c>
      <c r="Y89" s="113" t="s">
        <v>2470</v>
      </c>
      <c r="Z89" s="118">
        <v>46486</v>
      </c>
      <c r="AA89" s="119">
        <v>3</v>
      </c>
      <c r="AB89" s="115" t="s">
        <v>1472</v>
      </c>
      <c r="AC89" s="115" t="s">
        <v>1698</v>
      </c>
      <c r="AD89" s="120"/>
      <c r="AE89" s="115" t="s">
        <v>1698</v>
      </c>
      <c r="AF89" s="115" t="s">
        <v>646</v>
      </c>
      <c r="AG89" s="115" t="s">
        <v>509</v>
      </c>
      <c r="AH89" s="115" t="s">
        <v>977</v>
      </c>
      <c r="AI89" s="115"/>
      <c r="AJ89" s="118"/>
      <c r="AK89" s="115" t="s">
        <v>1149</v>
      </c>
      <c r="AL89" s="115" t="s">
        <v>1036</v>
      </c>
      <c r="AM89" s="115"/>
      <c r="AN89" s="118">
        <v>45946</v>
      </c>
      <c r="AO89" s="118">
        <v>46027</v>
      </c>
      <c r="AP89" s="118">
        <v>46092</v>
      </c>
      <c r="AQ89" s="118">
        <v>46121</v>
      </c>
      <c r="AR89" s="121">
        <v>46486</v>
      </c>
      <c r="AS89" s="121">
        <v>46486</v>
      </c>
      <c r="AT89" s="127" t="s">
        <v>2586</v>
      </c>
      <c r="AU89" s="122" t="s">
        <v>2005</v>
      </c>
      <c r="AV89" s="120"/>
      <c r="AW89" s="119"/>
      <c r="AX89" s="194" t="str">
        <f>IFERROR(IF(PAC!$X89="F01 - CAPTAÇÃO DE RECURSO",1,""),"")</f>
        <v/>
      </c>
      <c r="AY89" s="194" t="str">
        <f>IFERROR(IF(PAC!$X89="F02 - LICITAÇÃO",1,""),"")</f>
        <v/>
      </c>
      <c r="AZ89" s="123">
        <f>IFERROR(IF(PAC!$X$6:$X$581="F03 - EXECUÇÃO DO OBJETO",1,""),"")</f>
        <v>1</v>
      </c>
      <c r="BA89" s="123" t="str">
        <f>IFERROR(IF(PAC!$X$6:$X$581="F04 - CONCLUÍDA",1,""),"")</f>
        <v/>
      </c>
      <c r="BB89" s="191">
        <f>IF(PAC!$R89&gt;0,0,PAC!$Q89)</f>
        <v>0</v>
      </c>
    </row>
    <row r="90" spans="1:54" s="1" customFormat="1" ht="153.75" hidden="1" customHeight="1" thickBot="1">
      <c r="A90" s="88">
        <f t="shared" si="1"/>
        <v>85</v>
      </c>
      <c r="B90" s="101">
        <v>2023</v>
      </c>
      <c r="C90" s="88" t="s">
        <v>605</v>
      </c>
      <c r="D90" s="88" t="s">
        <v>1010</v>
      </c>
      <c r="E90" s="102" t="s">
        <v>1333</v>
      </c>
      <c r="F90" s="88" t="s">
        <v>53</v>
      </c>
      <c r="G90" s="88" t="s">
        <v>503</v>
      </c>
      <c r="H90" s="40" t="s">
        <v>1244</v>
      </c>
      <c r="I90" s="88" t="s">
        <v>1238</v>
      </c>
      <c r="J90" s="88" t="s">
        <v>361</v>
      </c>
      <c r="K90" s="18"/>
      <c r="L90" s="18">
        <v>1737214.3</v>
      </c>
      <c r="M90" s="18">
        <v>1737214.3</v>
      </c>
      <c r="N90" s="18"/>
      <c r="O90" s="18"/>
      <c r="P90" s="18"/>
      <c r="Q90" s="20">
        <f>SUM(PAC!$M90:$P90)</f>
        <v>1737214.3</v>
      </c>
      <c r="R90" s="20">
        <v>1256096.46</v>
      </c>
      <c r="S90" s="20">
        <f>IF(PAC!$R90&gt;0,PAC!$R90,PAC!$Q90)</f>
        <v>1256096.46</v>
      </c>
      <c r="T90" s="20" t="s">
        <v>1584</v>
      </c>
      <c r="U90" s="103" t="s">
        <v>1570</v>
      </c>
      <c r="V90" s="103"/>
      <c r="W90" s="104">
        <v>11</v>
      </c>
      <c r="X90" s="104" t="s">
        <v>1694</v>
      </c>
      <c r="Y90" s="101" t="s">
        <v>2470</v>
      </c>
      <c r="Z90" s="87">
        <v>46329</v>
      </c>
      <c r="AA90" s="105">
        <v>64.38</v>
      </c>
      <c r="AB90" s="40" t="s">
        <v>1472</v>
      </c>
      <c r="AC90" s="40" t="s">
        <v>1492</v>
      </c>
      <c r="AD90" s="106">
        <v>46329</v>
      </c>
      <c r="AE90" s="40" t="s">
        <v>1492</v>
      </c>
      <c r="AF90" s="40" t="s">
        <v>646</v>
      </c>
      <c r="AG90" s="40" t="s">
        <v>509</v>
      </c>
      <c r="AH90" s="40" t="s">
        <v>977</v>
      </c>
      <c r="AI90" s="40"/>
      <c r="AJ90" s="87"/>
      <c r="AK90" s="40" t="s">
        <v>1171</v>
      </c>
      <c r="AL90" s="40" t="s">
        <v>1029</v>
      </c>
      <c r="AM90" s="40"/>
      <c r="AN90" s="87">
        <v>45715</v>
      </c>
      <c r="AO90" s="87">
        <v>45762</v>
      </c>
      <c r="AP90" s="87">
        <v>45812</v>
      </c>
      <c r="AQ90" s="87">
        <v>45901</v>
      </c>
      <c r="AR90" s="107">
        <v>46329</v>
      </c>
      <c r="AS90" s="107">
        <v>46329</v>
      </c>
      <c r="AT90" s="102" t="s">
        <v>2727</v>
      </c>
      <c r="AU90" s="108" t="s">
        <v>1997</v>
      </c>
      <c r="AV90" s="106"/>
      <c r="AW90" s="105"/>
      <c r="AX90" s="109" t="str">
        <f>IFERROR(IF(PAC!$X90="F01 - CAPTAÇÃO DE RECURSO",1,""),"")</f>
        <v/>
      </c>
      <c r="AY90" s="109" t="str">
        <f>IFERROR(IF(PAC!$X90="F02 - LICITAÇÃO",1,""),"")</f>
        <v/>
      </c>
      <c r="AZ90" s="110">
        <f>IFERROR(IF(PAC!$X$6:$X$581="F03 - EXECUÇÃO DO OBJETO",1,""),"")</f>
        <v>1</v>
      </c>
      <c r="BA90" s="110" t="str">
        <f>IFERROR(IF(PAC!$X$6:$X$581="F04 - CONCLUÍDA",1,""),"")</f>
        <v/>
      </c>
      <c r="BB90" s="111">
        <f>IF(PAC!$R90&gt;0,0,PAC!$Q90)</f>
        <v>0</v>
      </c>
    </row>
    <row r="91" spans="1:54" s="1" customFormat="1" ht="93.75" hidden="1" customHeight="1" thickBot="1">
      <c r="A91" s="112">
        <f t="shared" si="1"/>
        <v>86</v>
      </c>
      <c r="B91" s="113">
        <v>2023</v>
      </c>
      <c r="C91" s="112" t="s">
        <v>605</v>
      </c>
      <c r="D91" s="112" t="s">
        <v>1010</v>
      </c>
      <c r="E91" s="114" t="s">
        <v>1334</v>
      </c>
      <c r="F91" s="112" t="s">
        <v>53</v>
      </c>
      <c r="G91" s="112" t="s">
        <v>503</v>
      </c>
      <c r="H91" s="115" t="s">
        <v>1244</v>
      </c>
      <c r="I91" s="112" t="s">
        <v>1238</v>
      </c>
      <c r="J91" s="112" t="s">
        <v>361</v>
      </c>
      <c r="K91" s="31"/>
      <c r="L91" s="31">
        <v>4185649.63</v>
      </c>
      <c r="M91" s="31">
        <v>4185649.63</v>
      </c>
      <c r="N91" s="31"/>
      <c r="O91" s="31"/>
      <c r="P91" s="31"/>
      <c r="Q91" s="33">
        <f>SUM(PAC!$M91:$P91)</f>
        <v>4185649.63</v>
      </c>
      <c r="R91" s="33">
        <v>6905022.54</v>
      </c>
      <c r="S91" s="33">
        <f>IF(PAC!$R91&gt;0,PAC!$R91,PAC!$Q91)</f>
        <v>6905022.54</v>
      </c>
      <c r="T91" s="33" t="s">
        <v>1583</v>
      </c>
      <c r="U91" s="116" t="s">
        <v>1570</v>
      </c>
      <c r="V91" s="116"/>
      <c r="W91" s="117">
        <v>20</v>
      </c>
      <c r="X91" s="117" t="s">
        <v>1694</v>
      </c>
      <c r="Y91" s="113" t="s">
        <v>2470</v>
      </c>
      <c r="Z91" s="118">
        <v>46510</v>
      </c>
      <c r="AA91" s="119">
        <v>15</v>
      </c>
      <c r="AB91" s="115" t="s">
        <v>1472</v>
      </c>
      <c r="AC91" s="115" t="s">
        <v>1296</v>
      </c>
      <c r="AD91" s="120">
        <v>46510</v>
      </c>
      <c r="AE91" s="115" t="s">
        <v>1492</v>
      </c>
      <c r="AF91" s="115" t="s">
        <v>646</v>
      </c>
      <c r="AG91" s="115" t="s">
        <v>509</v>
      </c>
      <c r="AH91" s="115" t="s">
        <v>977</v>
      </c>
      <c r="AI91" s="115"/>
      <c r="AJ91" s="118"/>
      <c r="AK91" s="115" t="s">
        <v>1144</v>
      </c>
      <c r="AL91" s="115" t="s">
        <v>1066</v>
      </c>
      <c r="AM91" s="115"/>
      <c r="AN91" s="118">
        <v>45715</v>
      </c>
      <c r="AO91" s="118">
        <v>45762</v>
      </c>
      <c r="AP91" s="118">
        <v>45812</v>
      </c>
      <c r="AQ91" s="118">
        <v>45901</v>
      </c>
      <c r="AR91" s="121">
        <v>46510</v>
      </c>
      <c r="AS91" s="121">
        <v>46510</v>
      </c>
      <c r="AT91" s="114" t="s">
        <v>2738</v>
      </c>
      <c r="AU91" s="122" t="s">
        <v>1992</v>
      </c>
      <c r="AV91" s="120"/>
      <c r="AW91" s="119"/>
      <c r="AX91" s="194" t="str">
        <f>IFERROR(IF(PAC!$X91="F01 - CAPTAÇÃO DE RECURSO",1,""),"")</f>
        <v/>
      </c>
      <c r="AY91" s="194" t="str">
        <f>IFERROR(IF(PAC!$X91="F02 - LICITAÇÃO",1,""),"")</f>
        <v/>
      </c>
      <c r="AZ91" s="123">
        <f>IFERROR(IF(PAC!$X$6:$X$581="F03 - EXECUÇÃO DO OBJETO",1,""),"")</f>
        <v>1</v>
      </c>
      <c r="BA91" s="123" t="str">
        <f>IFERROR(IF(PAC!$X$6:$X$581="F04 - CONCLUÍDA",1,""),"")</f>
        <v/>
      </c>
      <c r="BB91" s="191">
        <f>IF(PAC!$R91&gt;0,0,PAC!$Q91)</f>
        <v>0</v>
      </c>
    </row>
    <row r="92" spans="1:54" s="1" customFormat="1" ht="122.25" hidden="1" customHeight="1" thickBot="1">
      <c r="A92" s="88">
        <f t="shared" si="1"/>
        <v>87</v>
      </c>
      <c r="B92" s="101">
        <v>2023</v>
      </c>
      <c r="C92" s="88" t="s">
        <v>605</v>
      </c>
      <c r="D92" s="88" t="s">
        <v>1010</v>
      </c>
      <c r="E92" s="102" t="s">
        <v>1667</v>
      </c>
      <c r="F92" s="88" t="s">
        <v>53</v>
      </c>
      <c r="G92" s="88" t="s">
        <v>503</v>
      </c>
      <c r="H92" s="40" t="s">
        <v>1244</v>
      </c>
      <c r="I92" s="88" t="s">
        <v>1238</v>
      </c>
      <c r="J92" s="88" t="s">
        <v>361</v>
      </c>
      <c r="K92" s="18"/>
      <c r="L92" s="18">
        <v>1048046.63</v>
      </c>
      <c r="M92" s="18">
        <v>1048046.63</v>
      </c>
      <c r="N92" s="18"/>
      <c r="O92" s="18"/>
      <c r="P92" s="18"/>
      <c r="Q92" s="20">
        <f>SUM(PAC!$M92:$P92)</f>
        <v>1048046.63</v>
      </c>
      <c r="R92" s="20">
        <v>1007391.14</v>
      </c>
      <c r="S92" s="20">
        <f>IF(PAC!$R92&gt;0,PAC!$R92,PAC!$Q92)</f>
        <v>1007391.14</v>
      </c>
      <c r="T92" s="20" t="s">
        <v>1584</v>
      </c>
      <c r="U92" s="103" t="s">
        <v>1570</v>
      </c>
      <c r="V92" s="103"/>
      <c r="W92" s="104">
        <v>10</v>
      </c>
      <c r="X92" s="104" t="s">
        <v>1694</v>
      </c>
      <c r="Y92" s="101" t="s">
        <v>2470</v>
      </c>
      <c r="Z92" s="87">
        <v>46329</v>
      </c>
      <c r="AA92" s="105">
        <v>33.770000000000003</v>
      </c>
      <c r="AB92" s="40" t="s">
        <v>1472</v>
      </c>
      <c r="AC92" s="40" t="s">
        <v>2582</v>
      </c>
      <c r="AD92" s="106">
        <v>46329</v>
      </c>
      <c r="AE92" s="40" t="s">
        <v>1492</v>
      </c>
      <c r="AF92" s="40" t="s">
        <v>646</v>
      </c>
      <c r="AG92" s="40" t="s">
        <v>509</v>
      </c>
      <c r="AH92" s="40" t="s">
        <v>977</v>
      </c>
      <c r="AI92" s="40"/>
      <c r="AJ92" s="87"/>
      <c r="AK92" s="40" t="s">
        <v>1142</v>
      </c>
      <c r="AL92" s="40" t="s">
        <v>1048</v>
      </c>
      <c r="AM92" s="40"/>
      <c r="AN92" s="87">
        <v>45715</v>
      </c>
      <c r="AO92" s="87">
        <v>45762</v>
      </c>
      <c r="AP92" s="87">
        <v>45812</v>
      </c>
      <c r="AQ92" s="87">
        <v>45901</v>
      </c>
      <c r="AR92" s="107">
        <v>46329</v>
      </c>
      <c r="AS92" s="107">
        <v>46329</v>
      </c>
      <c r="AT92" s="102" t="s">
        <v>2735</v>
      </c>
      <c r="AU92" s="108" t="s">
        <v>1997</v>
      </c>
      <c r="AV92" s="106"/>
      <c r="AW92" s="105"/>
      <c r="AX92" s="109" t="str">
        <f>IFERROR(IF(PAC!$X92="F01 - CAPTAÇÃO DE RECURSO",1,""),"")</f>
        <v/>
      </c>
      <c r="AY92" s="109" t="str">
        <f>IFERROR(IF(PAC!$X92="F02 - LICITAÇÃO",1,""),"")</f>
        <v/>
      </c>
      <c r="AZ92" s="110">
        <f>IFERROR(IF(PAC!$X$6:$X$581="F03 - EXECUÇÃO DO OBJETO",1,""),"")</f>
        <v>1</v>
      </c>
      <c r="BA92" s="110" t="str">
        <f>IFERROR(IF(PAC!$X$6:$X$581="F04 - CONCLUÍDA",1,""),"")</f>
        <v/>
      </c>
      <c r="BB92" s="111">
        <f>IF(PAC!$R92&gt;0,0,PAC!$Q92)</f>
        <v>0</v>
      </c>
    </row>
    <row r="93" spans="1:54" s="1" customFormat="1" ht="174.75" hidden="1" customHeight="1" thickBot="1">
      <c r="A93" s="112">
        <f t="shared" si="1"/>
        <v>88</v>
      </c>
      <c r="B93" s="113">
        <v>2023</v>
      </c>
      <c r="C93" s="112" t="s">
        <v>605</v>
      </c>
      <c r="D93" s="112" t="s">
        <v>1010</v>
      </c>
      <c r="E93" s="114" t="s">
        <v>1335</v>
      </c>
      <c r="F93" s="112" t="s">
        <v>53</v>
      </c>
      <c r="G93" s="112" t="s">
        <v>503</v>
      </c>
      <c r="H93" s="115" t="s">
        <v>1244</v>
      </c>
      <c r="I93" s="112" t="s">
        <v>1238</v>
      </c>
      <c r="J93" s="112" t="s">
        <v>361</v>
      </c>
      <c r="K93" s="31"/>
      <c r="L93" s="31">
        <v>800452.91</v>
      </c>
      <c r="M93" s="31">
        <v>800452.91</v>
      </c>
      <c r="N93" s="31"/>
      <c r="O93" s="31"/>
      <c r="P93" s="31"/>
      <c r="Q93" s="33">
        <f>SUM(PAC!$M93:$P93)</f>
        <v>800452.91</v>
      </c>
      <c r="R93" s="33">
        <v>633856.19999999995</v>
      </c>
      <c r="S93" s="33">
        <f>IF(PAC!$R93&gt;0,PAC!$R93,PAC!$Q93)</f>
        <v>633856.19999999995</v>
      </c>
      <c r="T93" s="33" t="s">
        <v>1583</v>
      </c>
      <c r="U93" s="116" t="s">
        <v>1570</v>
      </c>
      <c r="V93" s="116"/>
      <c r="W93" s="117">
        <v>8</v>
      </c>
      <c r="X93" s="117" t="s">
        <v>1490</v>
      </c>
      <c r="Y93" s="113" t="s">
        <v>2469</v>
      </c>
      <c r="Z93" s="118">
        <v>46158</v>
      </c>
      <c r="AA93" s="119">
        <v>100</v>
      </c>
      <c r="AB93" s="115" t="s">
        <v>1473</v>
      </c>
      <c r="AC93" s="115" t="s">
        <v>1696</v>
      </c>
      <c r="AD93" s="120"/>
      <c r="AE93" s="115"/>
      <c r="AF93" s="115" t="s">
        <v>646</v>
      </c>
      <c r="AG93" s="115" t="s">
        <v>509</v>
      </c>
      <c r="AH93" s="115" t="s">
        <v>977</v>
      </c>
      <c r="AI93" s="115"/>
      <c r="AJ93" s="118"/>
      <c r="AK93" s="115" t="s">
        <v>1130</v>
      </c>
      <c r="AL93" s="115" t="s">
        <v>1060</v>
      </c>
      <c r="AM93" s="115"/>
      <c r="AN93" s="118">
        <v>45715</v>
      </c>
      <c r="AO93" s="118">
        <v>45762</v>
      </c>
      <c r="AP93" s="118">
        <v>45812</v>
      </c>
      <c r="AQ93" s="118">
        <v>45901</v>
      </c>
      <c r="AR93" s="121">
        <v>46158</v>
      </c>
      <c r="AS93" s="121">
        <v>46158</v>
      </c>
      <c r="AT93" s="114" t="s">
        <v>2238</v>
      </c>
      <c r="AU93" s="122" t="s">
        <v>2066</v>
      </c>
      <c r="AV93" s="120"/>
      <c r="AW93" s="119"/>
      <c r="AX93" s="194" t="str">
        <f>IFERROR(IF(PAC!$X93="F01 - CAPTAÇÃO DE RECURSO",1,""),"")</f>
        <v/>
      </c>
      <c r="AY93" s="194" t="str">
        <f>IFERROR(IF(PAC!$X93="F02 - LICITAÇÃO",1,""),"")</f>
        <v/>
      </c>
      <c r="AZ93" s="123" t="str">
        <f>IFERROR(IF(PAC!$X$6:$X$581="F03 - EXECUÇÃO DO OBJETO",1,""),"")</f>
        <v/>
      </c>
      <c r="BA93" s="123">
        <f>IFERROR(IF(PAC!$X$6:$X$581="F04 - CONCLUÍDA",1,""),"")</f>
        <v>1</v>
      </c>
      <c r="BB93" s="191">
        <f>IF(PAC!$R93&gt;0,0,PAC!$Q93)</f>
        <v>0</v>
      </c>
    </row>
    <row r="94" spans="1:54" s="1" customFormat="1" ht="165.75" hidden="1" customHeight="1" thickBot="1">
      <c r="A94" s="88">
        <f t="shared" si="1"/>
        <v>89</v>
      </c>
      <c r="B94" s="101">
        <v>2023</v>
      </c>
      <c r="C94" s="88" t="s">
        <v>605</v>
      </c>
      <c r="D94" s="88" t="s">
        <v>1010</v>
      </c>
      <c r="E94" s="102" t="s">
        <v>1336</v>
      </c>
      <c r="F94" s="88" t="s">
        <v>53</v>
      </c>
      <c r="G94" s="88" t="s">
        <v>503</v>
      </c>
      <c r="H94" s="40" t="s">
        <v>1244</v>
      </c>
      <c r="I94" s="88" t="s">
        <v>1238</v>
      </c>
      <c r="J94" s="88" t="s">
        <v>361</v>
      </c>
      <c r="K94" s="18"/>
      <c r="L94" s="18">
        <v>852441.65</v>
      </c>
      <c r="M94" s="18">
        <v>852441.65</v>
      </c>
      <c r="N94" s="18"/>
      <c r="O94" s="18"/>
      <c r="P94" s="18"/>
      <c r="Q94" s="20">
        <f>SUM(PAC!$M94:$P94)</f>
        <v>852441.65</v>
      </c>
      <c r="R94" s="20">
        <v>1734440.47</v>
      </c>
      <c r="S94" s="20">
        <f>IF(PAC!$R94&gt;0,PAC!$R94,PAC!$Q94)</f>
        <v>1734440.47</v>
      </c>
      <c r="T94" s="20" t="s">
        <v>1589</v>
      </c>
      <c r="U94" s="103" t="s">
        <v>1570</v>
      </c>
      <c r="V94" s="103"/>
      <c r="W94" s="104">
        <v>10</v>
      </c>
      <c r="X94" s="104" t="s">
        <v>1694</v>
      </c>
      <c r="Y94" s="101" t="s">
        <v>2470</v>
      </c>
      <c r="Z94" s="87">
        <v>46507</v>
      </c>
      <c r="AA94" s="105">
        <v>3.5</v>
      </c>
      <c r="AB94" s="40" t="s">
        <v>1472</v>
      </c>
      <c r="AC94" s="40" t="s">
        <v>1698</v>
      </c>
      <c r="AD94" s="106">
        <v>46507</v>
      </c>
      <c r="AE94" s="40" t="s">
        <v>1698</v>
      </c>
      <c r="AF94" s="40" t="s">
        <v>646</v>
      </c>
      <c r="AG94" s="40" t="s">
        <v>509</v>
      </c>
      <c r="AH94" s="40" t="s">
        <v>977</v>
      </c>
      <c r="AI94" s="40"/>
      <c r="AJ94" s="87"/>
      <c r="AK94" s="40" t="s">
        <v>1158</v>
      </c>
      <c r="AL94" s="40" t="s">
        <v>1266</v>
      </c>
      <c r="AM94" s="40"/>
      <c r="AN94" s="87">
        <v>45878</v>
      </c>
      <c r="AO94" s="87">
        <v>45946</v>
      </c>
      <c r="AP94" s="87">
        <v>45986</v>
      </c>
      <c r="AQ94" s="87">
        <v>46050</v>
      </c>
      <c r="AR94" s="107">
        <v>46507</v>
      </c>
      <c r="AS94" s="107">
        <v>46507</v>
      </c>
      <c r="AT94" s="102" t="s">
        <v>2587</v>
      </c>
      <c r="AU94" s="108" t="s">
        <v>1991</v>
      </c>
      <c r="AV94" s="106"/>
      <c r="AW94" s="105"/>
      <c r="AX94" s="109" t="str">
        <f>IFERROR(IF(PAC!$X94="F01 - CAPTAÇÃO DE RECURSO",1,""),"")</f>
        <v/>
      </c>
      <c r="AY94" s="109" t="str">
        <f>IFERROR(IF(PAC!$X94="F02 - LICITAÇÃO",1,""),"")</f>
        <v/>
      </c>
      <c r="AZ94" s="110">
        <f>IFERROR(IF(PAC!$X$6:$X$581="F03 - EXECUÇÃO DO OBJETO",1,""),"")</f>
        <v>1</v>
      </c>
      <c r="BA94" s="110" t="str">
        <f>IFERROR(IF(PAC!$X$6:$X$581="F04 - CONCLUÍDA",1,""),"")</f>
        <v/>
      </c>
      <c r="BB94" s="111">
        <f>IF(PAC!$R94&gt;0,0,PAC!$Q94)</f>
        <v>0</v>
      </c>
    </row>
    <row r="95" spans="1:54" s="1" customFormat="1" ht="186" hidden="1" customHeight="1" thickBot="1">
      <c r="A95" s="112">
        <f t="shared" si="1"/>
        <v>90</v>
      </c>
      <c r="B95" s="113">
        <v>2023</v>
      </c>
      <c r="C95" s="112" t="s">
        <v>605</v>
      </c>
      <c r="D95" s="112" t="s">
        <v>1010</v>
      </c>
      <c r="E95" s="114" t="s">
        <v>1337</v>
      </c>
      <c r="F95" s="112" t="s">
        <v>53</v>
      </c>
      <c r="G95" s="112" t="s">
        <v>503</v>
      </c>
      <c r="H95" s="115" t="s">
        <v>1244</v>
      </c>
      <c r="I95" s="112" t="s">
        <v>1238</v>
      </c>
      <c r="J95" s="112" t="s">
        <v>361</v>
      </c>
      <c r="K95" s="31"/>
      <c r="L95" s="31">
        <v>6514271.4199999999</v>
      </c>
      <c r="M95" s="31">
        <v>6514271.4199999999</v>
      </c>
      <c r="N95" s="31"/>
      <c r="O95" s="31"/>
      <c r="P95" s="31"/>
      <c r="Q95" s="33">
        <f>SUM(PAC!$M95:$P95)</f>
        <v>6514271.4199999999</v>
      </c>
      <c r="R95" s="33">
        <v>4550964.74</v>
      </c>
      <c r="S95" s="33">
        <f>IF(PAC!$R95&gt;0,PAC!$R95,PAC!$Q95)</f>
        <v>4550964.74</v>
      </c>
      <c r="T95" s="33" t="s">
        <v>1584</v>
      </c>
      <c r="U95" s="116" t="s">
        <v>1570</v>
      </c>
      <c r="V95" s="116"/>
      <c r="W95" s="117">
        <v>14</v>
      </c>
      <c r="X95" s="117" t="s">
        <v>1694</v>
      </c>
      <c r="Y95" s="113" t="s">
        <v>2470</v>
      </c>
      <c r="Z95" s="118">
        <v>46329</v>
      </c>
      <c r="AA95" s="119">
        <v>58.78</v>
      </c>
      <c r="AB95" s="115" t="s">
        <v>1472</v>
      </c>
      <c r="AC95" s="115" t="s">
        <v>1698</v>
      </c>
      <c r="AD95" s="120">
        <v>46329</v>
      </c>
      <c r="AE95" s="115" t="s">
        <v>1492</v>
      </c>
      <c r="AF95" s="115" t="s">
        <v>646</v>
      </c>
      <c r="AG95" s="115" t="s">
        <v>509</v>
      </c>
      <c r="AH95" s="115" t="s">
        <v>977</v>
      </c>
      <c r="AI95" s="115"/>
      <c r="AJ95" s="118"/>
      <c r="AK95" s="115" t="s">
        <v>1156</v>
      </c>
      <c r="AL95" s="115" t="s">
        <v>1077</v>
      </c>
      <c r="AM95" s="115"/>
      <c r="AN95" s="118">
        <v>45715</v>
      </c>
      <c r="AO95" s="118">
        <v>45762</v>
      </c>
      <c r="AP95" s="118">
        <v>45812</v>
      </c>
      <c r="AQ95" s="118">
        <v>45901</v>
      </c>
      <c r="AR95" s="121">
        <v>46329</v>
      </c>
      <c r="AS95" s="121">
        <v>46329</v>
      </c>
      <c r="AT95" s="114" t="s">
        <v>2736</v>
      </c>
      <c r="AU95" s="122" t="s">
        <v>1997</v>
      </c>
      <c r="AV95" s="120"/>
      <c r="AW95" s="119"/>
      <c r="AX95" s="194" t="str">
        <f>IFERROR(IF(PAC!$X95="F01 - CAPTAÇÃO DE RECURSO",1,""),"")</f>
        <v/>
      </c>
      <c r="AY95" s="194" t="str">
        <f>IFERROR(IF(PAC!$X95="F02 - LICITAÇÃO",1,""),"")</f>
        <v/>
      </c>
      <c r="AZ95" s="123">
        <f>IFERROR(IF(PAC!$X$6:$X$581="F03 - EXECUÇÃO DO OBJETO",1,""),"")</f>
        <v>1</v>
      </c>
      <c r="BA95" s="123" t="str">
        <f>IFERROR(IF(PAC!$X$6:$X$581="F04 - CONCLUÍDA",1,""),"")</f>
        <v/>
      </c>
      <c r="BB95" s="191">
        <f>IF(PAC!$R95&gt;0,0,PAC!$Q95)</f>
        <v>0</v>
      </c>
    </row>
    <row r="96" spans="1:54" s="1" customFormat="1" ht="188.25" hidden="1" customHeight="1" thickBot="1">
      <c r="A96" s="88">
        <f t="shared" si="1"/>
        <v>91</v>
      </c>
      <c r="B96" s="101">
        <v>2023</v>
      </c>
      <c r="C96" s="88" t="s">
        <v>605</v>
      </c>
      <c r="D96" s="88" t="s">
        <v>1010</v>
      </c>
      <c r="E96" s="102" t="s">
        <v>1338</v>
      </c>
      <c r="F96" s="88" t="s">
        <v>53</v>
      </c>
      <c r="G96" s="88" t="s">
        <v>503</v>
      </c>
      <c r="H96" s="40" t="s">
        <v>1244</v>
      </c>
      <c r="I96" s="88" t="s">
        <v>1238</v>
      </c>
      <c r="J96" s="88" t="s">
        <v>361</v>
      </c>
      <c r="K96" s="18"/>
      <c r="L96" s="18">
        <v>1452260.94</v>
      </c>
      <c r="M96" s="18">
        <v>1452260.94</v>
      </c>
      <c r="N96" s="18"/>
      <c r="O96" s="18"/>
      <c r="P96" s="18"/>
      <c r="Q96" s="20">
        <f>SUM(PAC!$M96:$P96)</f>
        <v>1452260.94</v>
      </c>
      <c r="R96" s="20">
        <v>1359782.5</v>
      </c>
      <c r="S96" s="20">
        <f>IF(PAC!$R96&gt;0,PAC!$R96,PAC!$Q96)</f>
        <v>1359782.5</v>
      </c>
      <c r="T96" s="20" t="s">
        <v>1620</v>
      </c>
      <c r="U96" s="103" t="s">
        <v>1570</v>
      </c>
      <c r="V96" s="103"/>
      <c r="W96" s="104">
        <v>6</v>
      </c>
      <c r="X96" s="104" t="s">
        <v>1694</v>
      </c>
      <c r="Y96" s="101" t="s">
        <v>2470</v>
      </c>
      <c r="Z96" s="87">
        <v>46476</v>
      </c>
      <c r="AA96" s="105">
        <v>2.5</v>
      </c>
      <c r="AB96" s="40" t="s">
        <v>1472</v>
      </c>
      <c r="AC96" s="40" t="s">
        <v>1488</v>
      </c>
      <c r="AD96" s="106"/>
      <c r="AE96" s="40" t="s">
        <v>1811</v>
      </c>
      <c r="AF96" s="40" t="s">
        <v>646</v>
      </c>
      <c r="AG96" s="40" t="s">
        <v>509</v>
      </c>
      <c r="AH96" s="40" t="s">
        <v>977</v>
      </c>
      <c r="AI96" s="40"/>
      <c r="AJ96" s="87"/>
      <c r="AK96" s="40" t="s">
        <v>1135</v>
      </c>
      <c r="AL96" s="40" t="s">
        <v>1078</v>
      </c>
      <c r="AM96" s="40"/>
      <c r="AN96" s="87">
        <v>45897</v>
      </c>
      <c r="AO96" s="87">
        <v>45964</v>
      </c>
      <c r="AP96" s="87">
        <v>46011</v>
      </c>
      <c r="AQ96" s="87">
        <v>46050</v>
      </c>
      <c r="AR96" s="107">
        <v>46476</v>
      </c>
      <c r="AS96" s="107">
        <v>46476</v>
      </c>
      <c r="AT96" s="102" t="s">
        <v>2263</v>
      </c>
      <c r="AU96" s="108" t="s">
        <v>2003</v>
      </c>
      <c r="AV96" s="106"/>
      <c r="AW96" s="105"/>
      <c r="AX96" s="109" t="str">
        <f>IFERROR(IF(PAC!$X96="F01 - CAPTAÇÃO DE RECURSO",1,""),"")</f>
        <v/>
      </c>
      <c r="AY96" s="109" t="str">
        <f>IFERROR(IF(PAC!$X96="F02 - LICITAÇÃO",1,""),"")</f>
        <v/>
      </c>
      <c r="AZ96" s="110">
        <f>IFERROR(IF(PAC!$X$6:$X$581="F03 - EXECUÇÃO DO OBJETO",1,""),"")</f>
        <v>1</v>
      </c>
      <c r="BA96" s="110" t="str">
        <f>IFERROR(IF(PAC!$X$6:$X$581="F04 - CONCLUÍDA",1,""),"")</f>
        <v/>
      </c>
      <c r="BB96" s="111">
        <f>IF(PAC!$R96&gt;0,0,PAC!$Q96)</f>
        <v>0</v>
      </c>
    </row>
    <row r="97" spans="1:54" s="1" customFormat="1" ht="124.5" hidden="1" customHeight="1" thickBot="1">
      <c r="A97" s="112">
        <f t="shared" si="1"/>
        <v>92</v>
      </c>
      <c r="B97" s="113">
        <v>2023</v>
      </c>
      <c r="C97" s="112" t="s">
        <v>605</v>
      </c>
      <c r="D97" s="112" t="s">
        <v>1010</v>
      </c>
      <c r="E97" s="114" t="s">
        <v>1339</v>
      </c>
      <c r="F97" s="112" t="s">
        <v>53</v>
      </c>
      <c r="G97" s="112" t="s">
        <v>503</v>
      </c>
      <c r="H97" s="115" t="s">
        <v>1244</v>
      </c>
      <c r="I97" s="112" t="s">
        <v>1238</v>
      </c>
      <c r="J97" s="112" t="s">
        <v>361</v>
      </c>
      <c r="K97" s="31"/>
      <c r="L97" s="31">
        <v>1793636.85</v>
      </c>
      <c r="M97" s="31">
        <v>1793636.85</v>
      </c>
      <c r="N97" s="31"/>
      <c r="O97" s="31"/>
      <c r="P97" s="31"/>
      <c r="Q97" s="33">
        <f>SUM(PAC!$M97:$P97)</f>
        <v>1793636.85</v>
      </c>
      <c r="R97" s="33">
        <v>3371545.18</v>
      </c>
      <c r="S97" s="33">
        <f>IF(PAC!$R97&gt;0,PAC!$R97,PAC!$Q97)</f>
        <v>3371545.18</v>
      </c>
      <c r="T97" s="33" t="s">
        <v>1589</v>
      </c>
      <c r="U97" s="116" t="s">
        <v>1570</v>
      </c>
      <c r="V97" s="116"/>
      <c r="W97" s="117">
        <v>14</v>
      </c>
      <c r="X97" s="117" t="s">
        <v>1694</v>
      </c>
      <c r="Y97" s="113" t="s">
        <v>2470</v>
      </c>
      <c r="Z97" s="118">
        <v>46507</v>
      </c>
      <c r="AA97" s="119">
        <v>3.1</v>
      </c>
      <c r="AB97" s="115" t="s">
        <v>1472</v>
      </c>
      <c r="AC97" s="115" t="s">
        <v>1698</v>
      </c>
      <c r="AD97" s="120">
        <v>46507</v>
      </c>
      <c r="AE97" s="115" t="s">
        <v>1698</v>
      </c>
      <c r="AF97" s="115" t="s">
        <v>646</v>
      </c>
      <c r="AG97" s="115" t="s">
        <v>509</v>
      </c>
      <c r="AH97" s="115" t="s">
        <v>977</v>
      </c>
      <c r="AI97" s="115"/>
      <c r="AJ97" s="118"/>
      <c r="AK97" s="115" t="s">
        <v>1217</v>
      </c>
      <c r="AL97" s="115" t="s">
        <v>1267</v>
      </c>
      <c r="AM97" s="115"/>
      <c r="AN97" s="118">
        <v>45878</v>
      </c>
      <c r="AO97" s="118">
        <v>45946</v>
      </c>
      <c r="AP97" s="118">
        <v>45986</v>
      </c>
      <c r="AQ97" s="118">
        <v>46050</v>
      </c>
      <c r="AR97" s="121">
        <v>46507</v>
      </c>
      <c r="AS97" s="121">
        <v>46507</v>
      </c>
      <c r="AT97" s="114" t="s">
        <v>2588</v>
      </c>
      <c r="AU97" s="122" t="s">
        <v>1991</v>
      </c>
      <c r="AV97" s="120"/>
      <c r="AW97" s="119"/>
      <c r="AX97" s="194" t="str">
        <f>IFERROR(IF(PAC!$X97="F01 - CAPTAÇÃO DE RECURSO",1,""),"")</f>
        <v/>
      </c>
      <c r="AY97" s="194" t="str">
        <f>IFERROR(IF(PAC!$X97="F02 - LICITAÇÃO",1,""),"")</f>
        <v/>
      </c>
      <c r="AZ97" s="123">
        <f>IFERROR(IF(PAC!$X$6:$X$581="F03 - EXECUÇÃO DO OBJETO",1,""),"")</f>
        <v>1</v>
      </c>
      <c r="BA97" s="123" t="str">
        <f>IFERROR(IF(PAC!$X$6:$X$581="F04 - CONCLUÍDA",1,""),"")</f>
        <v/>
      </c>
      <c r="BB97" s="191">
        <f>IF(PAC!$R97&gt;0,0,PAC!$Q97)</f>
        <v>0</v>
      </c>
    </row>
    <row r="98" spans="1:54" s="1" customFormat="1" ht="158.25" hidden="1" customHeight="1" thickBot="1">
      <c r="A98" s="88">
        <f t="shared" si="1"/>
        <v>93</v>
      </c>
      <c r="B98" s="101">
        <v>2023</v>
      </c>
      <c r="C98" s="88" t="s">
        <v>605</v>
      </c>
      <c r="D98" s="88" t="s">
        <v>1010</v>
      </c>
      <c r="E98" s="102" t="s">
        <v>1340</v>
      </c>
      <c r="F98" s="88" t="s">
        <v>53</v>
      </c>
      <c r="G98" s="88" t="s">
        <v>503</v>
      </c>
      <c r="H98" s="40" t="s">
        <v>1244</v>
      </c>
      <c r="I98" s="88" t="s">
        <v>1238</v>
      </c>
      <c r="J98" s="88" t="s">
        <v>361</v>
      </c>
      <c r="K98" s="18"/>
      <c r="L98" s="18">
        <v>1616314.19</v>
      </c>
      <c r="M98" s="18">
        <v>1616314.19</v>
      </c>
      <c r="N98" s="18"/>
      <c r="O98" s="18"/>
      <c r="P98" s="18"/>
      <c r="Q98" s="20">
        <f>SUM(PAC!$M98:$P98)</f>
        <v>1616314.19</v>
      </c>
      <c r="R98" s="20">
        <v>1432645.14</v>
      </c>
      <c r="S98" s="20">
        <f>IF(PAC!$R98&gt;0,PAC!$R98,PAC!$Q98)</f>
        <v>1432645.14</v>
      </c>
      <c r="T98" s="20" t="s">
        <v>1620</v>
      </c>
      <c r="U98" s="103" t="s">
        <v>1570</v>
      </c>
      <c r="V98" s="103"/>
      <c r="W98" s="104">
        <v>6</v>
      </c>
      <c r="X98" s="104" t="s">
        <v>1694</v>
      </c>
      <c r="Y98" s="101" t="s">
        <v>2470</v>
      </c>
      <c r="Z98" s="87">
        <v>46476</v>
      </c>
      <c r="AA98" s="105">
        <v>2.5</v>
      </c>
      <c r="AB98" s="40" t="s">
        <v>1472</v>
      </c>
      <c r="AC98" s="40" t="s">
        <v>1488</v>
      </c>
      <c r="AD98" s="106"/>
      <c r="AE98" s="40" t="s">
        <v>1811</v>
      </c>
      <c r="AF98" s="40" t="s">
        <v>646</v>
      </c>
      <c r="AG98" s="40" t="s">
        <v>509</v>
      </c>
      <c r="AH98" s="40" t="s">
        <v>977</v>
      </c>
      <c r="AI98" s="40"/>
      <c r="AJ98" s="87"/>
      <c r="AK98" s="40" t="s">
        <v>1133</v>
      </c>
      <c r="AL98" s="40" t="s">
        <v>1067</v>
      </c>
      <c r="AM98" s="40"/>
      <c r="AN98" s="87">
        <v>45897</v>
      </c>
      <c r="AO98" s="87">
        <v>45964</v>
      </c>
      <c r="AP98" s="87">
        <v>46011</v>
      </c>
      <c r="AQ98" s="87">
        <v>46050</v>
      </c>
      <c r="AR98" s="107">
        <v>46476</v>
      </c>
      <c r="AS98" s="107">
        <v>46476</v>
      </c>
      <c r="AT98" s="102" t="s">
        <v>2262</v>
      </c>
      <c r="AU98" s="108" t="s">
        <v>2004</v>
      </c>
      <c r="AV98" s="106"/>
      <c r="AW98" s="105"/>
      <c r="AX98" s="109" t="str">
        <f>IFERROR(IF(PAC!$X98="F01 - CAPTAÇÃO DE RECURSO",1,""),"")</f>
        <v/>
      </c>
      <c r="AY98" s="109" t="str">
        <f>IFERROR(IF(PAC!$X98="F02 - LICITAÇÃO",1,""),"")</f>
        <v/>
      </c>
      <c r="AZ98" s="110">
        <f>IFERROR(IF(PAC!$X$6:$X$581="F03 - EXECUÇÃO DO OBJETO",1,""),"")</f>
        <v>1</v>
      </c>
      <c r="BA98" s="110" t="str">
        <f>IFERROR(IF(PAC!$X$6:$X$581="F04 - CONCLUÍDA",1,""),"")</f>
        <v/>
      </c>
      <c r="BB98" s="111">
        <f>IF(PAC!$R98&gt;0,0,PAC!$Q98)</f>
        <v>0</v>
      </c>
    </row>
    <row r="99" spans="1:54" s="1" customFormat="1" ht="69.75" hidden="1" customHeight="1" thickBot="1">
      <c r="A99" s="112">
        <f t="shared" si="1"/>
        <v>94</v>
      </c>
      <c r="B99" s="113">
        <v>2023</v>
      </c>
      <c r="C99" s="112" t="s">
        <v>605</v>
      </c>
      <c r="D99" s="112" t="s">
        <v>1010</v>
      </c>
      <c r="E99" s="114" t="s">
        <v>1341</v>
      </c>
      <c r="F99" s="112" t="s">
        <v>53</v>
      </c>
      <c r="G99" s="112" t="s">
        <v>503</v>
      </c>
      <c r="H99" s="115" t="s">
        <v>1244</v>
      </c>
      <c r="I99" s="112" t="s">
        <v>1238</v>
      </c>
      <c r="J99" s="112" t="s">
        <v>361</v>
      </c>
      <c r="K99" s="31"/>
      <c r="L99" s="31">
        <v>626014.43000000005</v>
      </c>
      <c r="M99" s="31">
        <v>626014.43000000005</v>
      </c>
      <c r="N99" s="31"/>
      <c r="O99" s="31"/>
      <c r="P99" s="31"/>
      <c r="Q99" s="33">
        <f>SUM(PAC!$M99:$P99)</f>
        <v>626014.43000000005</v>
      </c>
      <c r="R99" s="33">
        <v>410637.61</v>
      </c>
      <c r="S99" s="33">
        <f>IF(PAC!$R99&gt;0,PAC!$R99,PAC!$Q99)</f>
        <v>410637.61</v>
      </c>
      <c r="T99" s="33" t="s">
        <v>1890</v>
      </c>
      <c r="U99" s="116" t="s">
        <v>1570</v>
      </c>
      <c r="V99" s="116"/>
      <c r="W99" s="117">
        <v>4</v>
      </c>
      <c r="X99" s="117" t="s">
        <v>1694</v>
      </c>
      <c r="Y99" s="113" t="s">
        <v>2470</v>
      </c>
      <c r="Z99" s="118">
        <v>46486</v>
      </c>
      <c r="AA99" s="119">
        <v>1</v>
      </c>
      <c r="AB99" s="115" t="s">
        <v>1472</v>
      </c>
      <c r="AC99" s="115" t="s">
        <v>1488</v>
      </c>
      <c r="AD99" s="120"/>
      <c r="AE99" s="115" t="s">
        <v>1975</v>
      </c>
      <c r="AF99" s="115" t="s">
        <v>646</v>
      </c>
      <c r="AG99" s="115" t="s">
        <v>509</v>
      </c>
      <c r="AH99" s="115" t="s">
        <v>977</v>
      </c>
      <c r="AI99" s="115"/>
      <c r="AJ99" s="118"/>
      <c r="AK99" s="115" t="s">
        <v>1148</v>
      </c>
      <c r="AL99" s="115" t="s">
        <v>1268</v>
      </c>
      <c r="AM99" s="115"/>
      <c r="AN99" s="118">
        <v>45946</v>
      </c>
      <c r="AO99" s="118">
        <v>46027</v>
      </c>
      <c r="AP99" s="118">
        <v>46092</v>
      </c>
      <c r="AQ99" s="118">
        <v>46121</v>
      </c>
      <c r="AR99" s="121">
        <v>46486</v>
      </c>
      <c r="AS99" s="121">
        <v>46486</v>
      </c>
      <c r="AT99" s="114" t="s">
        <v>2239</v>
      </c>
      <c r="AU99" s="122" t="s">
        <v>2005</v>
      </c>
      <c r="AV99" s="120"/>
      <c r="AW99" s="119"/>
      <c r="AX99" s="194" t="str">
        <f>IFERROR(IF(PAC!$X99="F01 - CAPTAÇÃO DE RECURSO",1,""),"")</f>
        <v/>
      </c>
      <c r="AY99" s="194" t="str">
        <f>IFERROR(IF(PAC!$X99="F02 - LICITAÇÃO",1,""),"")</f>
        <v/>
      </c>
      <c r="AZ99" s="123">
        <f>IFERROR(IF(PAC!$X$6:$X$581="F03 - EXECUÇÃO DO OBJETO",1,""),"")</f>
        <v>1</v>
      </c>
      <c r="BA99" s="123" t="str">
        <f>IFERROR(IF(PAC!$X$6:$X$581="F04 - CONCLUÍDA",1,""),"")</f>
        <v/>
      </c>
      <c r="BB99" s="191">
        <f>IF(PAC!$R99&gt;0,0,PAC!$Q99)</f>
        <v>0</v>
      </c>
    </row>
    <row r="100" spans="1:54" s="1" customFormat="1" ht="180.75" hidden="1" customHeight="1" thickBot="1">
      <c r="A100" s="88">
        <f t="shared" si="1"/>
        <v>95</v>
      </c>
      <c r="B100" s="101">
        <v>2023</v>
      </c>
      <c r="C100" s="88" t="s">
        <v>605</v>
      </c>
      <c r="D100" s="88" t="s">
        <v>1010</v>
      </c>
      <c r="E100" s="102" t="s">
        <v>1342</v>
      </c>
      <c r="F100" s="88" t="s">
        <v>53</v>
      </c>
      <c r="G100" s="88" t="s">
        <v>503</v>
      </c>
      <c r="H100" s="40" t="s">
        <v>1244</v>
      </c>
      <c r="I100" s="88" t="s">
        <v>1238</v>
      </c>
      <c r="J100" s="88" t="s">
        <v>361</v>
      </c>
      <c r="K100" s="18"/>
      <c r="L100" s="18">
        <v>1733145.57</v>
      </c>
      <c r="M100" s="18">
        <v>1733145.57</v>
      </c>
      <c r="N100" s="18"/>
      <c r="O100" s="18"/>
      <c r="P100" s="18"/>
      <c r="Q100" s="20">
        <f>SUM(PAC!$M100:$P100)</f>
        <v>1733145.57</v>
      </c>
      <c r="R100" s="20">
        <v>1572818.29</v>
      </c>
      <c r="S100" s="20">
        <f>IF(PAC!$R100&gt;0,PAC!$R100,PAC!$Q100)</f>
        <v>1572818.29</v>
      </c>
      <c r="T100" s="20" t="s">
        <v>1584</v>
      </c>
      <c r="U100" s="103" t="s">
        <v>1570</v>
      </c>
      <c r="V100" s="103"/>
      <c r="W100" s="104">
        <v>10</v>
      </c>
      <c r="X100" s="104" t="s">
        <v>1694</v>
      </c>
      <c r="Y100" s="101" t="s">
        <v>2470</v>
      </c>
      <c r="Z100" s="87">
        <v>46329</v>
      </c>
      <c r="AA100" s="105">
        <v>64.33</v>
      </c>
      <c r="AB100" s="40" t="s">
        <v>1472</v>
      </c>
      <c r="AC100" s="40" t="s">
        <v>1698</v>
      </c>
      <c r="AD100" s="106">
        <v>46329</v>
      </c>
      <c r="AE100" s="40" t="s">
        <v>1492</v>
      </c>
      <c r="AF100" s="40" t="s">
        <v>646</v>
      </c>
      <c r="AG100" s="40" t="s">
        <v>509</v>
      </c>
      <c r="AH100" s="40" t="s">
        <v>977</v>
      </c>
      <c r="AI100" s="40"/>
      <c r="AJ100" s="87"/>
      <c r="AK100" s="40" t="s">
        <v>1172</v>
      </c>
      <c r="AL100" s="40" t="s">
        <v>1269</v>
      </c>
      <c r="AM100" s="40"/>
      <c r="AN100" s="87">
        <v>45715</v>
      </c>
      <c r="AO100" s="87">
        <v>45762</v>
      </c>
      <c r="AP100" s="87">
        <v>45812</v>
      </c>
      <c r="AQ100" s="87">
        <v>45901</v>
      </c>
      <c r="AR100" s="107">
        <v>46329</v>
      </c>
      <c r="AS100" s="107">
        <v>46329</v>
      </c>
      <c r="AT100" s="102" t="s">
        <v>2734</v>
      </c>
      <c r="AU100" s="108" t="s">
        <v>1997</v>
      </c>
      <c r="AV100" s="106"/>
      <c r="AW100" s="105"/>
      <c r="AX100" s="109" t="str">
        <f>IFERROR(IF(PAC!$X100="F01 - CAPTAÇÃO DE RECURSO",1,""),"")</f>
        <v/>
      </c>
      <c r="AY100" s="109" t="str">
        <f>IFERROR(IF(PAC!$X100="F02 - LICITAÇÃO",1,""),"")</f>
        <v/>
      </c>
      <c r="AZ100" s="110">
        <f>IFERROR(IF(PAC!$X$6:$X$581="F03 - EXECUÇÃO DO OBJETO",1,""),"")</f>
        <v>1</v>
      </c>
      <c r="BA100" s="110" t="str">
        <f>IFERROR(IF(PAC!$X$6:$X$581="F04 - CONCLUÍDA",1,""),"")</f>
        <v/>
      </c>
      <c r="BB100" s="111">
        <f>IF(PAC!$R100&gt;0,0,PAC!$Q100)</f>
        <v>0</v>
      </c>
    </row>
    <row r="101" spans="1:54" s="1" customFormat="1" ht="154.5" hidden="1" customHeight="1" thickBot="1">
      <c r="A101" s="112">
        <f t="shared" si="1"/>
        <v>96</v>
      </c>
      <c r="B101" s="113">
        <v>2023</v>
      </c>
      <c r="C101" s="112" t="s">
        <v>605</v>
      </c>
      <c r="D101" s="112" t="s">
        <v>1010</v>
      </c>
      <c r="E101" s="114" t="s">
        <v>1343</v>
      </c>
      <c r="F101" s="112" t="s">
        <v>53</v>
      </c>
      <c r="G101" s="112" t="s">
        <v>503</v>
      </c>
      <c r="H101" s="115" t="s">
        <v>1244</v>
      </c>
      <c r="I101" s="112" t="s">
        <v>1238</v>
      </c>
      <c r="J101" s="112" t="s">
        <v>361</v>
      </c>
      <c r="K101" s="31"/>
      <c r="L101" s="31">
        <v>1450240</v>
      </c>
      <c r="M101" s="31">
        <v>1450240</v>
      </c>
      <c r="N101" s="31"/>
      <c r="O101" s="31"/>
      <c r="P101" s="31"/>
      <c r="Q101" s="33">
        <f>SUM(PAC!$M101:$P101)</f>
        <v>1450240</v>
      </c>
      <c r="R101" s="33">
        <v>1504355.24</v>
      </c>
      <c r="S101" s="33">
        <f>IF(PAC!$R101&gt;0,PAC!$R101,PAC!$Q101)</f>
        <v>1504355.24</v>
      </c>
      <c r="T101" s="33" t="s">
        <v>1890</v>
      </c>
      <c r="U101" s="116" t="s">
        <v>1570</v>
      </c>
      <c r="V101" s="116"/>
      <c r="W101" s="117">
        <v>6</v>
      </c>
      <c r="X101" s="117" t="s">
        <v>1694</v>
      </c>
      <c r="Y101" s="113" t="s">
        <v>2470</v>
      </c>
      <c r="Z101" s="118">
        <v>46486</v>
      </c>
      <c r="AA101" s="119">
        <v>1</v>
      </c>
      <c r="AB101" s="115" t="s">
        <v>1472</v>
      </c>
      <c r="AC101" s="115" t="s">
        <v>1488</v>
      </c>
      <c r="AD101" s="120"/>
      <c r="AE101" s="115" t="s">
        <v>1975</v>
      </c>
      <c r="AF101" s="115" t="s">
        <v>646</v>
      </c>
      <c r="AG101" s="115" t="s">
        <v>509</v>
      </c>
      <c r="AH101" s="115" t="s">
        <v>977</v>
      </c>
      <c r="AI101" s="115"/>
      <c r="AJ101" s="118"/>
      <c r="AK101" s="115" t="s">
        <v>1181</v>
      </c>
      <c r="AL101" s="115" t="s">
        <v>1063</v>
      </c>
      <c r="AM101" s="115"/>
      <c r="AN101" s="118">
        <v>45946</v>
      </c>
      <c r="AO101" s="118">
        <v>46027</v>
      </c>
      <c r="AP101" s="118">
        <v>46092</v>
      </c>
      <c r="AQ101" s="118">
        <v>46121</v>
      </c>
      <c r="AR101" s="121">
        <v>46486</v>
      </c>
      <c r="AS101" s="121">
        <v>46486</v>
      </c>
      <c r="AT101" s="114" t="s">
        <v>2240</v>
      </c>
      <c r="AU101" s="122" t="s">
        <v>2005</v>
      </c>
      <c r="AV101" s="120"/>
      <c r="AW101" s="119"/>
      <c r="AX101" s="194" t="str">
        <f>IFERROR(IF(PAC!$X101="F01 - CAPTAÇÃO DE RECURSO",1,""),"")</f>
        <v/>
      </c>
      <c r="AY101" s="194" t="str">
        <f>IFERROR(IF(PAC!$X101="F02 - LICITAÇÃO",1,""),"")</f>
        <v/>
      </c>
      <c r="AZ101" s="123">
        <f>IFERROR(IF(PAC!$X$6:$X$581="F03 - EXECUÇÃO DO OBJETO",1,""),"")</f>
        <v>1</v>
      </c>
      <c r="BA101" s="123" t="str">
        <f>IFERROR(IF(PAC!$X$6:$X$581="F04 - CONCLUÍDA",1,""),"")</f>
        <v/>
      </c>
      <c r="BB101" s="191">
        <f>IF(PAC!$R101&gt;0,0,PAC!$Q101)</f>
        <v>0</v>
      </c>
    </row>
    <row r="102" spans="1:54" s="1" customFormat="1" ht="173.25" hidden="1" customHeight="1" thickBot="1">
      <c r="A102" s="88">
        <f t="shared" si="1"/>
        <v>97</v>
      </c>
      <c r="B102" s="101">
        <v>2023</v>
      </c>
      <c r="C102" s="88" t="s">
        <v>605</v>
      </c>
      <c r="D102" s="88" t="s">
        <v>1010</v>
      </c>
      <c r="E102" s="102" t="s">
        <v>1344</v>
      </c>
      <c r="F102" s="88" t="s">
        <v>53</v>
      </c>
      <c r="G102" s="88" t="s">
        <v>503</v>
      </c>
      <c r="H102" s="40" t="s">
        <v>1244</v>
      </c>
      <c r="I102" s="88" t="s">
        <v>1238</v>
      </c>
      <c r="J102" s="88" t="s">
        <v>361</v>
      </c>
      <c r="K102" s="18"/>
      <c r="L102" s="18">
        <v>3516928.43</v>
      </c>
      <c r="M102" s="18">
        <v>3516928.43</v>
      </c>
      <c r="N102" s="18"/>
      <c r="O102" s="18"/>
      <c r="P102" s="18"/>
      <c r="Q102" s="20">
        <f>SUM(PAC!$M102:$P102)</f>
        <v>3516928.43</v>
      </c>
      <c r="R102" s="20">
        <v>1683980.15</v>
      </c>
      <c r="S102" s="20">
        <f>IF(PAC!$R102&gt;0,PAC!$R102,PAC!$Q102)</f>
        <v>1683980.15</v>
      </c>
      <c r="T102" s="20" t="s">
        <v>1583</v>
      </c>
      <c r="U102" s="103" t="s">
        <v>1570</v>
      </c>
      <c r="V102" s="103"/>
      <c r="W102" s="104">
        <v>10</v>
      </c>
      <c r="X102" s="104" t="s">
        <v>1694</v>
      </c>
      <c r="Y102" s="101" t="s">
        <v>2470</v>
      </c>
      <c r="Z102" s="87">
        <v>46510</v>
      </c>
      <c r="AA102" s="105">
        <v>12.1</v>
      </c>
      <c r="AB102" s="40" t="s">
        <v>1472</v>
      </c>
      <c r="AC102" s="40" t="s">
        <v>1657</v>
      </c>
      <c r="AD102" s="106">
        <v>46510</v>
      </c>
      <c r="AE102" s="40" t="s">
        <v>1420</v>
      </c>
      <c r="AF102" s="40" t="s">
        <v>646</v>
      </c>
      <c r="AG102" s="40" t="s">
        <v>509</v>
      </c>
      <c r="AH102" s="40" t="s">
        <v>977</v>
      </c>
      <c r="AI102" s="40"/>
      <c r="AJ102" s="87"/>
      <c r="AK102" s="40" t="s">
        <v>1218</v>
      </c>
      <c r="AL102" s="40" t="s">
        <v>1069</v>
      </c>
      <c r="AM102" s="40"/>
      <c r="AN102" s="87">
        <v>45715</v>
      </c>
      <c r="AO102" s="87">
        <v>45762</v>
      </c>
      <c r="AP102" s="87">
        <v>45812</v>
      </c>
      <c r="AQ102" s="87">
        <v>45901</v>
      </c>
      <c r="AR102" s="107">
        <v>46510</v>
      </c>
      <c r="AS102" s="107">
        <v>46510</v>
      </c>
      <c r="AT102" s="102" t="s">
        <v>2739</v>
      </c>
      <c r="AU102" s="108" t="s">
        <v>1992</v>
      </c>
      <c r="AV102" s="106"/>
      <c r="AW102" s="105"/>
      <c r="AX102" s="109" t="str">
        <f>IFERROR(IF(PAC!$X102="F01 - CAPTAÇÃO DE RECURSO",1,""),"")</f>
        <v/>
      </c>
      <c r="AY102" s="109" t="str">
        <f>IFERROR(IF(PAC!$X102="F02 - LICITAÇÃO",1,""),"")</f>
        <v/>
      </c>
      <c r="AZ102" s="110">
        <f>IFERROR(IF(PAC!$X$6:$X$581="F03 - EXECUÇÃO DO OBJETO",1,""),"")</f>
        <v>1</v>
      </c>
      <c r="BA102" s="110" t="str">
        <f>IFERROR(IF(PAC!$X$6:$X$581="F04 - CONCLUÍDA",1,""),"")</f>
        <v/>
      </c>
      <c r="BB102" s="111">
        <f>IF(PAC!$R102&gt;0,0,PAC!$Q102)</f>
        <v>0</v>
      </c>
    </row>
    <row r="103" spans="1:54" s="1" customFormat="1" ht="207" hidden="1" customHeight="1" thickBot="1">
      <c r="A103" s="112">
        <f t="shared" si="1"/>
        <v>98</v>
      </c>
      <c r="B103" s="113">
        <v>2023</v>
      </c>
      <c r="C103" s="112" t="s">
        <v>605</v>
      </c>
      <c r="D103" s="112" t="s">
        <v>1010</v>
      </c>
      <c r="E103" s="114" t="s">
        <v>1345</v>
      </c>
      <c r="F103" s="112" t="s">
        <v>53</v>
      </c>
      <c r="G103" s="112" t="s">
        <v>503</v>
      </c>
      <c r="H103" s="115" t="s">
        <v>1244</v>
      </c>
      <c r="I103" s="112" t="s">
        <v>1238</v>
      </c>
      <c r="J103" s="112" t="s">
        <v>361</v>
      </c>
      <c r="K103" s="31"/>
      <c r="L103" s="31">
        <v>5943872.5</v>
      </c>
      <c r="M103" s="31">
        <v>5943872.5</v>
      </c>
      <c r="N103" s="31"/>
      <c r="O103" s="31"/>
      <c r="P103" s="31"/>
      <c r="Q103" s="33">
        <f>SUM(PAC!$M103:$P103)</f>
        <v>5943872.5</v>
      </c>
      <c r="R103" s="33">
        <v>3654743.06</v>
      </c>
      <c r="S103" s="33">
        <f>IF(PAC!$R103&gt;0,PAC!$R103,PAC!$Q103)</f>
        <v>3654743.06</v>
      </c>
      <c r="T103" s="33" t="s">
        <v>1890</v>
      </c>
      <c r="U103" s="116" t="s">
        <v>1570</v>
      </c>
      <c r="V103" s="116"/>
      <c r="W103" s="117">
        <v>15</v>
      </c>
      <c r="X103" s="117" t="s">
        <v>1694</v>
      </c>
      <c r="Y103" s="113" t="s">
        <v>2470</v>
      </c>
      <c r="Z103" s="118">
        <v>46486</v>
      </c>
      <c r="AA103" s="119">
        <v>1</v>
      </c>
      <c r="AB103" s="115" t="s">
        <v>1472</v>
      </c>
      <c r="AC103" s="115" t="s">
        <v>1488</v>
      </c>
      <c r="AD103" s="120"/>
      <c r="AE103" s="115" t="s">
        <v>1812</v>
      </c>
      <c r="AF103" s="115" t="s">
        <v>646</v>
      </c>
      <c r="AG103" s="115" t="s">
        <v>509</v>
      </c>
      <c r="AH103" s="115" t="s">
        <v>977</v>
      </c>
      <c r="AI103" s="115"/>
      <c r="AJ103" s="118"/>
      <c r="AK103" s="115" t="s">
        <v>1164</v>
      </c>
      <c r="AL103" s="115" t="s">
        <v>1087</v>
      </c>
      <c r="AM103" s="115"/>
      <c r="AN103" s="118">
        <v>45946</v>
      </c>
      <c r="AO103" s="118">
        <v>46027</v>
      </c>
      <c r="AP103" s="118">
        <v>46092</v>
      </c>
      <c r="AQ103" s="118">
        <v>46121</v>
      </c>
      <c r="AR103" s="121">
        <v>46486</v>
      </c>
      <c r="AS103" s="121">
        <v>46486</v>
      </c>
      <c r="AT103" s="114" t="s">
        <v>2241</v>
      </c>
      <c r="AU103" s="122" t="s">
        <v>2005</v>
      </c>
      <c r="AV103" s="120"/>
      <c r="AW103" s="119"/>
      <c r="AX103" s="194" t="str">
        <f>IFERROR(IF(PAC!$X103="F01 - CAPTAÇÃO DE RECURSO",1,""),"")</f>
        <v/>
      </c>
      <c r="AY103" s="194" t="str">
        <f>IFERROR(IF(PAC!$X103="F02 - LICITAÇÃO",1,""),"")</f>
        <v/>
      </c>
      <c r="AZ103" s="123">
        <f>IFERROR(IF(PAC!$X$6:$X$581="F03 - EXECUÇÃO DO OBJETO",1,""),"")</f>
        <v>1</v>
      </c>
      <c r="BA103" s="123" t="str">
        <f>IFERROR(IF(PAC!$X$6:$X$581="F04 - CONCLUÍDA",1,""),"")</f>
        <v/>
      </c>
      <c r="BB103" s="191">
        <f>IF(PAC!$R103&gt;0,0,PAC!$Q103)</f>
        <v>0</v>
      </c>
    </row>
    <row r="104" spans="1:54" s="1" customFormat="1" ht="111" hidden="1" customHeight="1" thickBot="1">
      <c r="A104" s="88">
        <f t="shared" si="1"/>
        <v>99</v>
      </c>
      <c r="B104" s="101">
        <v>2023</v>
      </c>
      <c r="C104" s="88" t="s">
        <v>605</v>
      </c>
      <c r="D104" s="88" t="s">
        <v>1010</v>
      </c>
      <c r="E104" s="102" t="s">
        <v>1555</v>
      </c>
      <c r="F104" s="88" t="s">
        <v>53</v>
      </c>
      <c r="G104" s="88" t="s">
        <v>503</v>
      </c>
      <c r="H104" s="40" t="s">
        <v>1244</v>
      </c>
      <c r="I104" s="88" t="s">
        <v>1238</v>
      </c>
      <c r="J104" s="88" t="s">
        <v>361</v>
      </c>
      <c r="K104" s="18"/>
      <c r="L104" s="18">
        <v>6657325.8200000003</v>
      </c>
      <c r="M104" s="18">
        <v>6657325.8200000003</v>
      </c>
      <c r="N104" s="18"/>
      <c r="O104" s="18"/>
      <c r="P104" s="18"/>
      <c r="Q104" s="20">
        <f>SUM(PAC!$M104:$P104)</f>
        <v>6657325.8200000003</v>
      </c>
      <c r="R104" s="20">
        <v>14559546.42</v>
      </c>
      <c r="S104" s="20">
        <f>IF(PAC!$R104&gt;0,PAC!$R104,PAC!$Q104)</f>
        <v>14559546.42</v>
      </c>
      <c r="T104" s="20" t="s">
        <v>2277</v>
      </c>
      <c r="U104" s="103" t="s">
        <v>1570</v>
      </c>
      <c r="V104" s="103"/>
      <c r="W104" s="104">
        <v>16</v>
      </c>
      <c r="X104" s="104" t="s">
        <v>1418</v>
      </c>
      <c r="Y104" s="101" t="s">
        <v>2472</v>
      </c>
      <c r="Z104" s="87"/>
      <c r="AA104" s="105"/>
      <c r="AB104" s="40" t="s">
        <v>1466</v>
      </c>
      <c r="AC104" s="40" t="s">
        <v>2382</v>
      </c>
      <c r="AD104" s="106"/>
      <c r="AE104" s="102" t="s">
        <v>2383</v>
      </c>
      <c r="AF104" s="40" t="s">
        <v>646</v>
      </c>
      <c r="AG104" s="40" t="s">
        <v>509</v>
      </c>
      <c r="AH104" s="40" t="s">
        <v>977</v>
      </c>
      <c r="AI104" s="40"/>
      <c r="AJ104" s="87"/>
      <c r="AK104" s="40" t="s">
        <v>1154</v>
      </c>
      <c r="AL104" s="40" t="s">
        <v>1068</v>
      </c>
      <c r="AM104" s="40"/>
      <c r="AN104" s="87">
        <v>46058</v>
      </c>
      <c r="AO104" s="87">
        <v>46134</v>
      </c>
      <c r="AP104" s="87"/>
      <c r="AQ104" s="87"/>
      <c r="AR104" s="107"/>
      <c r="AS104" s="107"/>
      <c r="AT104" s="102" t="s">
        <v>2468</v>
      </c>
      <c r="AU104" s="108" t="s">
        <v>2279</v>
      </c>
      <c r="AV104" s="106"/>
      <c r="AW104" s="105"/>
      <c r="AX104" s="109" t="str">
        <f>IFERROR(IF(PAC!$X104="F01 - CAPTAÇÃO DE RECURSO",1,""),"")</f>
        <v/>
      </c>
      <c r="AY104" s="109">
        <f>IFERROR(IF(PAC!$X104="F02 - LICITAÇÃO",1,""),"")</f>
        <v>1</v>
      </c>
      <c r="AZ104" s="110" t="str">
        <f>IFERROR(IF(PAC!$X$6:$X$581="F03 - EXECUÇÃO DO OBJETO",1,""),"")</f>
        <v/>
      </c>
      <c r="BA104" s="110" t="str">
        <f>IFERROR(IF(PAC!$X$6:$X$581="F04 - CONCLUÍDA",1,""),"")</f>
        <v/>
      </c>
      <c r="BB104" s="111">
        <f>IF(PAC!$R104&gt;0,0,PAC!$Q104)</f>
        <v>0</v>
      </c>
    </row>
    <row r="105" spans="1:54" s="1" customFormat="1" ht="137.25" hidden="1" customHeight="1" thickBot="1">
      <c r="A105" s="112">
        <f t="shared" si="1"/>
        <v>100</v>
      </c>
      <c r="B105" s="113">
        <v>2023</v>
      </c>
      <c r="C105" s="112" t="s">
        <v>605</v>
      </c>
      <c r="D105" s="112" t="s">
        <v>1010</v>
      </c>
      <c r="E105" s="114" t="s">
        <v>1346</v>
      </c>
      <c r="F105" s="112" t="s">
        <v>53</v>
      </c>
      <c r="G105" s="112" t="s">
        <v>503</v>
      </c>
      <c r="H105" s="115" t="s">
        <v>1244</v>
      </c>
      <c r="I105" s="112" t="s">
        <v>1238</v>
      </c>
      <c r="J105" s="112" t="s">
        <v>361</v>
      </c>
      <c r="K105" s="31"/>
      <c r="L105" s="31">
        <v>4631446.5</v>
      </c>
      <c r="M105" s="31">
        <v>4631446.5</v>
      </c>
      <c r="N105" s="31"/>
      <c r="O105" s="31"/>
      <c r="P105" s="31"/>
      <c r="Q105" s="33">
        <f>SUM(PAC!$M105:$P105)</f>
        <v>4631446.5</v>
      </c>
      <c r="R105" s="33">
        <v>6380323.3700000001</v>
      </c>
      <c r="S105" s="33">
        <f>IF(PAC!$R105&gt;0,PAC!$R105,PAC!$Q105)</f>
        <v>6380323.3700000001</v>
      </c>
      <c r="T105" s="33" t="s">
        <v>1620</v>
      </c>
      <c r="U105" s="116" t="s">
        <v>1570</v>
      </c>
      <c r="V105" s="116"/>
      <c r="W105" s="117">
        <v>14</v>
      </c>
      <c r="X105" s="117" t="s">
        <v>1694</v>
      </c>
      <c r="Y105" s="113" t="s">
        <v>2470</v>
      </c>
      <c r="Z105" s="118">
        <v>46476</v>
      </c>
      <c r="AA105" s="119">
        <v>21</v>
      </c>
      <c r="AB105" s="115" t="s">
        <v>1472</v>
      </c>
      <c r="AC105" s="115" t="s">
        <v>1698</v>
      </c>
      <c r="AD105" s="120"/>
      <c r="AE105" s="115" t="s">
        <v>1698</v>
      </c>
      <c r="AF105" s="115" t="s">
        <v>646</v>
      </c>
      <c r="AG105" s="115" t="s">
        <v>509</v>
      </c>
      <c r="AH105" s="115" t="s">
        <v>977</v>
      </c>
      <c r="AI105" s="115"/>
      <c r="AJ105" s="118"/>
      <c r="AK105" s="115" t="s">
        <v>1120</v>
      </c>
      <c r="AL105" s="115" t="s">
        <v>1086</v>
      </c>
      <c r="AM105" s="115"/>
      <c r="AN105" s="118">
        <v>45897</v>
      </c>
      <c r="AO105" s="118">
        <v>45964</v>
      </c>
      <c r="AP105" s="118">
        <v>46011</v>
      </c>
      <c r="AQ105" s="118">
        <v>46050</v>
      </c>
      <c r="AR105" s="121">
        <v>46476</v>
      </c>
      <c r="AS105" s="121">
        <v>46476</v>
      </c>
      <c r="AT105" s="114" t="s">
        <v>2589</v>
      </c>
      <c r="AU105" s="122" t="s">
        <v>2004</v>
      </c>
      <c r="AV105" s="120"/>
      <c r="AW105" s="119"/>
      <c r="AX105" s="194" t="str">
        <f>IFERROR(IF(PAC!$X105="F01 - CAPTAÇÃO DE RECURSO",1,""),"")</f>
        <v/>
      </c>
      <c r="AY105" s="194" t="str">
        <f>IFERROR(IF(PAC!$X105="F02 - LICITAÇÃO",1,""),"")</f>
        <v/>
      </c>
      <c r="AZ105" s="123">
        <f>IFERROR(IF(PAC!$X$6:$X$581="F03 - EXECUÇÃO DO OBJETO",1,""),"")</f>
        <v>1</v>
      </c>
      <c r="BA105" s="123" t="str">
        <f>IFERROR(IF(PAC!$X$6:$X$581="F04 - CONCLUÍDA",1,""),"")</f>
        <v/>
      </c>
      <c r="BB105" s="191">
        <f>IF(PAC!$R105&gt;0,0,PAC!$Q105)</f>
        <v>0</v>
      </c>
    </row>
    <row r="106" spans="1:54" s="1" customFormat="1" ht="102" hidden="1" customHeight="1" thickBot="1">
      <c r="A106" s="88">
        <f t="shared" si="1"/>
        <v>101</v>
      </c>
      <c r="B106" s="101">
        <v>2023</v>
      </c>
      <c r="C106" s="88" t="s">
        <v>605</v>
      </c>
      <c r="D106" s="88" t="s">
        <v>1010</v>
      </c>
      <c r="E106" s="102" t="s">
        <v>1347</v>
      </c>
      <c r="F106" s="88" t="s">
        <v>53</v>
      </c>
      <c r="G106" s="88" t="s">
        <v>503</v>
      </c>
      <c r="H106" s="40" t="s">
        <v>1244</v>
      </c>
      <c r="I106" s="88" t="s">
        <v>1238</v>
      </c>
      <c r="J106" s="88" t="s">
        <v>361</v>
      </c>
      <c r="K106" s="18"/>
      <c r="L106" s="18">
        <v>4946217.38</v>
      </c>
      <c r="M106" s="18">
        <v>4946217.38</v>
      </c>
      <c r="N106" s="18"/>
      <c r="O106" s="18"/>
      <c r="P106" s="18"/>
      <c r="Q106" s="20">
        <f>SUM(PAC!$M106:$P106)</f>
        <v>4946217.38</v>
      </c>
      <c r="R106" s="20">
        <v>4676380.28</v>
      </c>
      <c r="S106" s="20">
        <f>IF(PAC!$R106&gt;0,PAC!$R106,PAC!$Q106)</f>
        <v>4676380.28</v>
      </c>
      <c r="T106" s="20" t="s">
        <v>1890</v>
      </c>
      <c r="U106" s="103" t="s">
        <v>1570</v>
      </c>
      <c r="V106" s="103"/>
      <c r="W106" s="104">
        <v>13</v>
      </c>
      <c r="X106" s="104" t="s">
        <v>1694</v>
      </c>
      <c r="Y106" s="101" t="s">
        <v>2470</v>
      </c>
      <c r="Z106" s="87">
        <v>46486</v>
      </c>
      <c r="AA106" s="105">
        <v>11.61</v>
      </c>
      <c r="AB106" s="40" t="s">
        <v>1472</v>
      </c>
      <c r="AC106" s="40" t="s">
        <v>1698</v>
      </c>
      <c r="AD106" s="106"/>
      <c r="AE106" s="40" t="s">
        <v>1811</v>
      </c>
      <c r="AF106" s="40" t="s">
        <v>646</v>
      </c>
      <c r="AG106" s="40" t="s">
        <v>509</v>
      </c>
      <c r="AH106" s="40" t="s">
        <v>977</v>
      </c>
      <c r="AI106" s="40"/>
      <c r="AJ106" s="87"/>
      <c r="AK106" s="40" t="s">
        <v>1165</v>
      </c>
      <c r="AL106" s="40" t="s">
        <v>1088</v>
      </c>
      <c r="AM106" s="40"/>
      <c r="AN106" s="87">
        <v>45946</v>
      </c>
      <c r="AO106" s="87">
        <v>46027</v>
      </c>
      <c r="AP106" s="87">
        <v>46092</v>
      </c>
      <c r="AQ106" s="87">
        <v>46121</v>
      </c>
      <c r="AR106" s="107">
        <v>46486</v>
      </c>
      <c r="AS106" s="107">
        <v>46486</v>
      </c>
      <c r="AT106" s="102" t="s">
        <v>2590</v>
      </c>
      <c r="AU106" s="108" t="s">
        <v>2005</v>
      </c>
      <c r="AV106" s="106"/>
      <c r="AW106" s="105"/>
      <c r="AX106" s="109" t="str">
        <f>IFERROR(IF(PAC!$X106="F01 - CAPTAÇÃO DE RECURSO",1,""),"")</f>
        <v/>
      </c>
      <c r="AY106" s="109" t="str">
        <f>IFERROR(IF(PAC!$X106="F02 - LICITAÇÃO",1,""),"")</f>
        <v/>
      </c>
      <c r="AZ106" s="110">
        <f>IFERROR(IF(PAC!$X$6:$X$581="F03 - EXECUÇÃO DO OBJETO",1,""),"")</f>
        <v>1</v>
      </c>
      <c r="BA106" s="110" t="str">
        <f>IFERROR(IF(PAC!$X$6:$X$581="F04 - CONCLUÍDA",1,""),"")</f>
        <v/>
      </c>
      <c r="BB106" s="111">
        <f>IF(PAC!$R106&gt;0,0,PAC!$Q106)</f>
        <v>0</v>
      </c>
    </row>
    <row r="107" spans="1:54" s="1" customFormat="1" ht="124.5" hidden="1" customHeight="1" thickBot="1">
      <c r="A107" s="112">
        <f t="shared" si="1"/>
        <v>102</v>
      </c>
      <c r="B107" s="113">
        <v>2023</v>
      </c>
      <c r="C107" s="112" t="s">
        <v>605</v>
      </c>
      <c r="D107" s="112" t="s">
        <v>1010</v>
      </c>
      <c r="E107" s="114" t="s">
        <v>1348</v>
      </c>
      <c r="F107" s="112" t="s">
        <v>53</v>
      </c>
      <c r="G107" s="112" t="s">
        <v>503</v>
      </c>
      <c r="H107" s="115" t="s">
        <v>1244</v>
      </c>
      <c r="I107" s="112" t="s">
        <v>1238</v>
      </c>
      <c r="J107" s="112" t="s">
        <v>361</v>
      </c>
      <c r="K107" s="31"/>
      <c r="L107" s="31">
        <v>1450240</v>
      </c>
      <c r="M107" s="31">
        <v>1450240</v>
      </c>
      <c r="N107" s="31"/>
      <c r="O107" s="31"/>
      <c r="P107" s="31"/>
      <c r="Q107" s="33">
        <f>SUM(PAC!$M107:$P107)</f>
        <v>1450240</v>
      </c>
      <c r="R107" s="33">
        <v>2501249.94</v>
      </c>
      <c r="S107" s="33">
        <f>IF(PAC!$R107&gt;0,PAC!$R107,PAC!$Q107)</f>
        <v>2501249.94</v>
      </c>
      <c r="T107" s="33" t="s">
        <v>1587</v>
      </c>
      <c r="U107" s="116" t="s">
        <v>1570</v>
      </c>
      <c r="V107" s="116"/>
      <c r="W107" s="117">
        <v>6</v>
      </c>
      <c r="X107" s="117" t="s">
        <v>1694</v>
      </c>
      <c r="Y107" s="113" t="s">
        <v>2470</v>
      </c>
      <c r="Z107" s="118">
        <v>46569</v>
      </c>
      <c r="AA107" s="119">
        <v>24.95</v>
      </c>
      <c r="AB107" s="115" t="s">
        <v>1472</v>
      </c>
      <c r="AC107" s="115" t="s">
        <v>1698</v>
      </c>
      <c r="AD107" s="120">
        <v>46569</v>
      </c>
      <c r="AE107" s="115" t="s">
        <v>1492</v>
      </c>
      <c r="AF107" s="115" t="s">
        <v>647</v>
      </c>
      <c r="AG107" s="115" t="s">
        <v>510</v>
      </c>
      <c r="AH107" s="115" t="s">
        <v>977</v>
      </c>
      <c r="AI107" s="115"/>
      <c r="AJ107" s="118"/>
      <c r="AK107" s="115" t="s">
        <v>1136</v>
      </c>
      <c r="AL107" s="115" t="s">
        <v>1191</v>
      </c>
      <c r="AM107" s="115"/>
      <c r="AN107" s="118">
        <v>45787</v>
      </c>
      <c r="AO107" s="118">
        <v>45835</v>
      </c>
      <c r="AP107" s="118">
        <v>45911</v>
      </c>
      <c r="AQ107" s="118">
        <v>45931</v>
      </c>
      <c r="AR107" s="121">
        <v>46569</v>
      </c>
      <c r="AS107" s="121">
        <v>46569</v>
      </c>
      <c r="AT107" s="127" t="s">
        <v>2770</v>
      </c>
      <c r="AU107" s="122" t="s">
        <v>1998</v>
      </c>
      <c r="AV107" s="120"/>
      <c r="AW107" s="119"/>
      <c r="AX107" s="194" t="str">
        <f>IFERROR(IF(PAC!$X107="F01 - CAPTAÇÃO DE RECURSO",1,""),"")</f>
        <v/>
      </c>
      <c r="AY107" s="194" t="str">
        <f>IFERROR(IF(PAC!$X107="F02 - LICITAÇÃO",1,""),"")</f>
        <v/>
      </c>
      <c r="AZ107" s="123">
        <f>IFERROR(IF(PAC!$X$6:$X$581="F03 - EXECUÇÃO DO OBJETO",1,""),"")</f>
        <v>1</v>
      </c>
      <c r="BA107" s="123" t="str">
        <f>IFERROR(IF(PAC!$X$6:$X$581="F04 - CONCLUÍDA",1,""),"")</f>
        <v/>
      </c>
      <c r="BB107" s="191">
        <f>IF(PAC!$R107&gt;0,0,PAC!$Q107)</f>
        <v>0</v>
      </c>
    </row>
    <row r="108" spans="1:54" s="1" customFormat="1" ht="158.25" hidden="1" customHeight="1" thickBot="1">
      <c r="A108" s="88">
        <f t="shared" si="1"/>
        <v>103</v>
      </c>
      <c r="B108" s="101">
        <v>2023</v>
      </c>
      <c r="C108" s="88" t="s">
        <v>605</v>
      </c>
      <c r="D108" s="88" t="s">
        <v>1010</v>
      </c>
      <c r="E108" s="102" t="s">
        <v>1349</v>
      </c>
      <c r="F108" s="88" t="s">
        <v>53</v>
      </c>
      <c r="G108" s="88" t="s">
        <v>503</v>
      </c>
      <c r="H108" s="40" t="s">
        <v>1244</v>
      </c>
      <c r="I108" s="88" t="s">
        <v>1238</v>
      </c>
      <c r="J108" s="88" t="s">
        <v>361</v>
      </c>
      <c r="K108" s="18"/>
      <c r="L108" s="18">
        <v>1428683.24</v>
      </c>
      <c r="M108" s="18">
        <v>1428683.24</v>
      </c>
      <c r="N108" s="18"/>
      <c r="O108" s="18"/>
      <c r="P108" s="18"/>
      <c r="Q108" s="20">
        <f>SUM(PAC!$M108:$P108)</f>
        <v>1428683.24</v>
      </c>
      <c r="R108" s="20">
        <v>937293.53</v>
      </c>
      <c r="S108" s="20">
        <f>IF(PAC!$R108&gt;0,PAC!$R108,PAC!$Q108)</f>
        <v>937293.53</v>
      </c>
      <c r="T108" s="20" t="s">
        <v>1863</v>
      </c>
      <c r="U108" s="103" t="s">
        <v>1570</v>
      </c>
      <c r="V108" s="103"/>
      <c r="W108" s="104">
        <v>6</v>
      </c>
      <c r="X108" s="104" t="s">
        <v>1694</v>
      </c>
      <c r="Y108" s="101" t="s">
        <v>2470</v>
      </c>
      <c r="Z108" s="87">
        <v>46431</v>
      </c>
      <c r="AA108" s="105">
        <v>3</v>
      </c>
      <c r="AB108" s="40" t="s">
        <v>1472</v>
      </c>
      <c r="AC108" s="40" t="s">
        <v>1698</v>
      </c>
      <c r="AD108" s="106"/>
      <c r="AE108" s="40" t="s">
        <v>1812</v>
      </c>
      <c r="AF108" s="40" t="s">
        <v>647</v>
      </c>
      <c r="AG108" s="40" t="s">
        <v>510</v>
      </c>
      <c r="AH108" s="40" t="s">
        <v>977</v>
      </c>
      <c r="AI108" s="40"/>
      <c r="AJ108" s="87"/>
      <c r="AK108" s="40" t="s">
        <v>1129</v>
      </c>
      <c r="AL108" s="40" t="s">
        <v>1091</v>
      </c>
      <c r="AM108" s="40"/>
      <c r="AN108" s="87">
        <v>45945</v>
      </c>
      <c r="AO108" s="87">
        <v>46014</v>
      </c>
      <c r="AP108" s="87">
        <v>46065</v>
      </c>
      <c r="AQ108" s="87">
        <v>46125</v>
      </c>
      <c r="AR108" s="107">
        <v>46431</v>
      </c>
      <c r="AS108" s="107">
        <v>46431</v>
      </c>
      <c r="AT108" s="102" t="s">
        <v>2355</v>
      </c>
      <c r="AU108" s="108" t="s">
        <v>2006</v>
      </c>
      <c r="AV108" s="106"/>
      <c r="AW108" s="105"/>
      <c r="AX108" s="109" t="str">
        <f>IFERROR(IF(PAC!$X108="F01 - CAPTAÇÃO DE RECURSO",1,""),"")</f>
        <v/>
      </c>
      <c r="AY108" s="109" t="str">
        <f>IFERROR(IF(PAC!$X108="F02 - LICITAÇÃO",1,""),"")</f>
        <v/>
      </c>
      <c r="AZ108" s="110">
        <f>IFERROR(IF(PAC!$X$6:$X$581="F03 - EXECUÇÃO DO OBJETO",1,""),"")</f>
        <v>1</v>
      </c>
      <c r="BA108" s="110" t="str">
        <f>IFERROR(IF(PAC!$X$6:$X$581="F04 - CONCLUÍDA",1,""),"")</f>
        <v/>
      </c>
      <c r="BB108" s="111">
        <f>IF(PAC!$R108&gt;0,0,PAC!$Q108)</f>
        <v>0</v>
      </c>
    </row>
    <row r="109" spans="1:54" s="1" customFormat="1" ht="165.75" hidden="1" customHeight="1" thickBot="1">
      <c r="A109" s="112">
        <f t="shared" si="1"/>
        <v>104</v>
      </c>
      <c r="B109" s="113">
        <v>2023</v>
      </c>
      <c r="C109" s="112" t="s">
        <v>605</v>
      </c>
      <c r="D109" s="112" t="s">
        <v>1010</v>
      </c>
      <c r="E109" s="114" t="s">
        <v>1350</v>
      </c>
      <c r="F109" s="112" t="s">
        <v>53</v>
      </c>
      <c r="G109" s="112" t="s">
        <v>503</v>
      </c>
      <c r="H109" s="115" t="s">
        <v>1244</v>
      </c>
      <c r="I109" s="112" t="s">
        <v>1238</v>
      </c>
      <c r="J109" s="112" t="s">
        <v>361</v>
      </c>
      <c r="K109" s="31"/>
      <c r="L109" s="31">
        <v>2484066.7200000002</v>
      </c>
      <c r="M109" s="31">
        <v>2484066.7200000002</v>
      </c>
      <c r="N109" s="31"/>
      <c r="O109" s="31"/>
      <c r="P109" s="31"/>
      <c r="Q109" s="33">
        <f>SUM(PAC!$M109:$P109)</f>
        <v>2484066.7200000002</v>
      </c>
      <c r="R109" s="33">
        <v>2486321.5</v>
      </c>
      <c r="S109" s="33">
        <f>IF(PAC!$R109&gt;0,PAC!$R109,PAC!$Q109)</f>
        <v>2486321.5</v>
      </c>
      <c r="T109" s="33" t="s">
        <v>1587</v>
      </c>
      <c r="U109" s="116" t="s">
        <v>1570</v>
      </c>
      <c r="V109" s="116"/>
      <c r="W109" s="117">
        <v>12</v>
      </c>
      <c r="X109" s="117" t="s">
        <v>1694</v>
      </c>
      <c r="Y109" s="113" t="s">
        <v>2470</v>
      </c>
      <c r="Z109" s="118">
        <v>46614</v>
      </c>
      <c r="AA109" s="119">
        <v>2</v>
      </c>
      <c r="AB109" s="115" t="s">
        <v>1472</v>
      </c>
      <c r="AC109" s="115" t="s">
        <v>1488</v>
      </c>
      <c r="AD109" s="120"/>
      <c r="AE109" s="115" t="s">
        <v>1811</v>
      </c>
      <c r="AF109" s="115" t="s">
        <v>647</v>
      </c>
      <c r="AG109" s="115" t="s">
        <v>510</v>
      </c>
      <c r="AH109" s="115" t="s">
        <v>977</v>
      </c>
      <c r="AI109" s="115"/>
      <c r="AJ109" s="118"/>
      <c r="AK109" s="115" t="s">
        <v>1183</v>
      </c>
      <c r="AL109" s="115" t="s">
        <v>1113</v>
      </c>
      <c r="AM109" s="115"/>
      <c r="AN109" s="118">
        <v>45972</v>
      </c>
      <c r="AO109" s="118">
        <v>46002</v>
      </c>
      <c r="AP109" s="118">
        <v>46078</v>
      </c>
      <c r="AQ109" s="118">
        <v>46125</v>
      </c>
      <c r="AR109" s="121">
        <v>46614</v>
      </c>
      <c r="AS109" s="121">
        <v>46614</v>
      </c>
      <c r="AT109" s="114" t="s">
        <v>2672</v>
      </c>
      <c r="AU109" s="122" t="s">
        <v>1995</v>
      </c>
      <c r="AV109" s="120"/>
      <c r="AW109" s="119"/>
      <c r="AX109" s="194" t="str">
        <f>IFERROR(IF(PAC!$X109="F01 - CAPTAÇÃO DE RECURSO",1,""),"")</f>
        <v/>
      </c>
      <c r="AY109" s="194" t="str">
        <f>IFERROR(IF(PAC!$X109="F02 - LICITAÇÃO",1,""),"")</f>
        <v/>
      </c>
      <c r="AZ109" s="123">
        <f>IFERROR(IF(PAC!$X$6:$X$581="F03 - EXECUÇÃO DO OBJETO",1,""),"")</f>
        <v>1</v>
      </c>
      <c r="BA109" s="123" t="str">
        <f>IFERROR(IF(PAC!$X$6:$X$581="F04 - CONCLUÍDA",1,""),"")</f>
        <v/>
      </c>
      <c r="BB109" s="191">
        <f>IF(PAC!$R109&gt;0,0,PAC!$Q109)</f>
        <v>0</v>
      </c>
    </row>
    <row r="110" spans="1:54" s="1" customFormat="1" ht="148.5" hidden="1" customHeight="1" thickBot="1">
      <c r="A110" s="88">
        <f t="shared" si="1"/>
        <v>105</v>
      </c>
      <c r="B110" s="101">
        <v>2023</v>
      </c>
      <c r="C110" s="88" t="s">
        <v>605</v>
      </c>
      <c r="D110" s="88" t="s">
        <v>1010</v>
      </c>
      <c r="E110" s="102" t="s">
        <v>1351</v>
      </c>
      <c r="F110" s="88" t="s">
        <v>53</v>
      </c>
      <c r="G110" s="88" t="s">
        <v>503</v>
      </c>
      <c r="H110" s="40" t="s">
        <v>1244</v>
      </c>
      <c r="I110" s="88" t="s">
        <v>1238</v>
      </c>
      <c r="J110" s="88" t="s">
        <v>361</v>
      </c>
      <c r="K110" s="18"/>
      <c r="L110" s="18">
        <v>1491609.95</v>
      </c>
      <c r="M110" s="18">
        <v>1491609.95</v>
      </c>
      <c r="N110" s="18"/>
      <c r="O110" s="18"/>
      <c r="P110" s="18"/>
      <c r="Q110" s="20">
        <f>SUM(PAC!$M110:$P110)</f>
        <v>1491609.95</v>
      </c>
      <c r="R110" s="20">
        <v>2353178.33</v>
      </c>
      <c r="S110" s="20">
        <f>IF(PAC!$R110&gt;0,PAC!$R110,PAC!$Q110)</f>
        <v>2353178.33</v>
      </c>
      <c r="T110" s="20" t="s">
        <v>1587</v>
      </c>
      <c r="U110" s="103" t="s">
        <v>1570</v>
      </c>
      <c r="V110" s="103"/>
      <c r="W110" s="104">
        <v>11</v>
      </c>
      <c r="X110" s="104" t="s">
        <v>1694</v>
      </c>
      <c r="Y110" s="101" t="s">
        <v>2470</v>
      </c>
      <c r="Z110" s="87">
        <v>46614</v>
      </c>
      <c r="AA110" s="105">
        <v>10.5</v>
      </c>
      <c r="AB110" s="40" t="s">
        <v>1472</v>
      </c>
      <c r="AC110" s="40" t="s">
        <v>1698</v>
      </c>
      <c r="AD110" s="106"/>
      <c r="AE110" s="40" t="s">
        <v>1698</v>
      </c>
      <c r="AF110" s="40" t="s">
        <v>647</v>
      </c>
      <c r="AG110" s="40" t="s">
        <v>510</v>
      </c>
      <c r="AH110" s="40" t="s">
        <v>977</v>
      </c>
      <c r="AI110" s="40"/>
      <c r="AJ110" s="87"/>
      <c r="AK110" s="40" t="s">
        <v>1182</v>
      </c>
      <c r="AL110" s="40" t="s">
        <v>1111</v>
      </c>
      <c r="AM110" s="40"/>
      <c r="AN110" s="87">
        <v>45972</v>
      </c>
      <c r="AO110" s="87">
        <v>46002</v>
      </c>
      <c r="AP110" s="87">
        <v>46078</v>
      </c>
      <c r="AQ110" s="87">
        <v>46125</v>
      </c>
      <c r="AR110" s="107">
        <v>46614</v>
      </c>
      <c r="AS110" s="107">
        <v>46614</v>
      </c>
      <c r="AT110" s="102" t="s">
        <v>2673</v>
      </c>
      <c r="AU110" s="108" t="s">
        <v>1996</v>
      </c>
      <c r="AV110" s="106"/>
      <c r="AW110" s="105"/>
      <c r="AX110" s="109" t="str">
        <f>IFERROR(IF(PAC!$X110="F01 - CAPTAÇÃO DE RECURSO",1,""),"")</f>
        <v/>
      </c>
      <c r="AY110" s="109" t="str">
        <f>IFERROR(IF(PAC!$X110="F02 - LICITAÇÃO",1,""),"")</f>
        <v/>
      </c>
      <c r="AZ110" s="110">
        <f>IFERROR(IF(PAC!$X$6:$X$581="F03 - EXECUÇÃO DO OBJETO",1,""),"")</f>
        <v>1</v>
      </c>
      <c r="BA110" s="110" t="str">
        <f>IFERROR(IF(PAC!$X$6:$X$581="F04 - CONCLUÍDA",1,""),"")</f>
        <v/>
      </c>
      <c r="BB110" s="111">
        <f>IF(PAC!$R110&gt;0,0,PAC!$Q110)</f>
        <v>0</v>
      </c>
    </row>
    <row r="111" spans="1:54" s="1" customFormat="1" ht="132" hidden="1" customHeight="1" thickBot="1">
      <c r="A111" s="112">
        <f t="shared" si="1"/>
        <v>106</v>
      </c>
      <c r="B111" s="113">
        <v>2023</v>
      </c>
      <c r="C111" s="112" t="s">
        <v>605</v>
      </c>
      <c r="D111" s="112" t="s">
        <v>1010</v>
      </c>
      <c r="E111" s="114" t="s">
        <v>1352</v>
      </c>
      <c r="F111" s="112" t="s">
        <v>53</v>
      </c>
      <c r="G111" s="112" t="s">
        <v>503</v>
      </c>
      <c r="H111" s="115" t="s">
        <v>1244</v>
      </c>
      <c r="I111" s="112" t="s">
        <v>1238</v>
      </c>
      <c r="J111" s="112" t="s">
        <v>361</v>
      </c>
      <c r="K111" s="31"/>
      <c r="L111" s="31">
        <v>4283166.83</v>
      </c>
      <c r="M111" s="31">
        <v>4283166.83</v>
      </c>
      <c r="N111" s="31"/>
      <c r="O111" s="31"/>
      <c r="P111" s="31"/>
      <c r="Q111" s="33">
        <f>SUM(PAC!$M111:$P111)</f>
        <v>4283166.83</v>
      </c>
      <c r="R111" s="33">
        <v>5011578.9800000004</v>
      </c>
      <c r="S111" s="33">
        <f>IF(PAC!$R111&gt;0,PAC!$R111,PAC!$Q111)</f>
        <v>5011578.9800000004</v>
      </c>
      <c r="T111" s="33" t="s">
        <v>1587</v>
      </c>
      <c r="U111" s="116" t="s">
        <v>1570</v>
      </c>
      <c r="V111" s="116"/>
      <c r="W111" s="117">
        <v>12</v>
      </c>
      <c r="X111" s="117" t="s">
        <v>1694</v>
      </c>
      <c r="Y111" s="113" t="s">
        <v>2470</v>
      </c>
      <c r="Z111" s="118">
        <v>46569</v>
      </c>
      <c r="AA111" s="119">
        <v>17.3</v>
      </c>
      <c r="AB111" s="115" t="s">
        <v>1472</v>
      </c>
      <c r="AC111" s="115" t="s">
        <v>1698</v>
      </c>
      <c r="AD111" s="120">
        <v>46569</v>
      </c>
      <c r="AE111" s="115" t="s">
        <v>1492</v>
      </c>
      <c r="AF111" s="115" t="s">
        <v>647</v>
      </c>
      <c r="AG111" s="115" t="s">
        <v>510</v>
      </c>
      <c r="AH111" s="115" t="s">
        <v>977</v>
      </c>
      <c r="AI111" s="115"/>
      <c r="AJ111" s="118"/>
      <c r="AK111" s="115" t="s">
        <v>1114</v>
      </c>
      <c r="AL111" s="115" t="s">
        <v>1089</v>
      </c>
      <c r="AM111" s="115"/>
      <c r="AN111" s="118">
        <v>45787</v>
      </c>
      <c r="AO111" s="118">
        <v>45835</v>
      </c>
      <c r="AP111" s="118">
        <v>45911</v>
      </c>
      <c r="AQ111" s="118">
        <v>45931</v>
      </c>
      <c r="AR111" s="121">
        <v>46569</v>
      </c>
      <c r="AS111" s="121">
        <v>46569</v>
      </c>
      <c r="AT111" s="114" t="s">
        <v>2771</v>
      </c>
      <c r="AU111" s="122" t="s">
        <v>1998</v>
      </c>
      <c r="AV111" s="120"/>
      <c r="AW111" s="119"/>
      <c r="AX111" s="194" t="str">
        <f>IFERROR(IF(PAC!$X111="F01 - CAPTAÇÃO DE RECURSO",1,""),"")</f>
        <v/>
      </c>
      <c r="AY111" s="194" t="str">
        <f>IFERROR(IF(PAC!$X111="F02 - LICITAÇÃO",1,""),"")</f>
        <v/>
      </c>
      <c r="AZ111" s="123">
        <f>IFERROR(IF(PAC!$X$6:$X$581="F03 - EXECUÇÃO DO OBJETO",1,""),"")</f>
        <v>1</v>
      </c>
      <c r="BA111" s="123" t="str">
        <f>IFERROR(IF(PAC!$X$6:$X$581="F04 - CONCLUÍDA",1,""),"")</f>
        <v/>
      </c>
      <c r="BB111" s="191">
        <f>IF(PAC!$R111&gt;0,0,PAC!$Q111)</f>
        <v>0</v>
      </c>
    </row>
    <row r="112" spans="1:54" s="1" customFormat="1" ht="167.25" hidden="1" customHeight="1" thickBot="1">
      <c r="A112" s="88">
        <f t="shared" si="1"/>
        <v>107</v>
      </c>
      <c r="B112" s="101">
        <v>2023</v>
      </c>
      <c r="C112" s="88" t="s">
        <v>605</v>
      </c>
      <c r="D112" s="88" t="s">
        <v>1010</v>
      </c>
      <c r="E112" s="102" t="s">
        <v>1353</v>
      </c>
      <c r="F112" s="88" t="s">
        <v>53</v>
      </c>
      <c r="G112" s="88" t="s">
        <v>503</v>
      </c>
      <c r="H112" s="40" t="s">
        <v>1244</v>
      </c>
      <c r="I112" s="88" t="s">
        <v>1238</v>
      </c>
      <c r="J112" s="88" t="s">
        <v>361</v>
      </c>
      <c r="K112" s="18"/>
      <c r="L112" s="18">
        <v>3716696.91</v>
      </c>
      <c r="M112" s="18">
        <v>3716696.91</v>
      </c>
      <c r="N112" s="18"/>
      <c r="O112" s="18"/>
      <c r="P112" s="18"/>
      <c r="Q112" s="20">
        <f>SUM(PAC!$M112:$P112)</f>
        <v>3716696.91</v>
      </c>
      <c r="R112" s="20">
        <v>1804342.57</v>
      </c>
      <c r="S112" s="20">
        <f>IF(PAC!$R112&gt;0,PAC!$R112,PAC!$Q112)</f>
        <v>1804342.57</v>
      </c>
      <c r="T112" s="20" t="s">
        <v>1940</v>
      </c>
      <c r="U112" s="103" t="s">
        <v>1570</v>
      </c>
      <c r="V112" s="103"/>
      <c r="W112" s="104">
        <v>10</v>
      </c>
      <c r="X112" s="104" t="s">
        <v>1694</v>
      </c>
      <c r="Y112" s="101" t="s">
        <v>2470</v>
      </c>
      <c r="Z112" s="87">
        <v>46526</v>
      </c>
      <c r="AA112" s="105">
        <v>1</v>
      </c>
      <c r="AB112" s="40" t="s">
        <v>1472</v>
      </c>
      <c r="AC112" s="40" t="s">
        <v>1488</v>
      </c>
      <c r="AD112" s="106"/>
      <c r="AE112" s="102" t="s">
        <v>1812</v>
      </c>
      <c r="AF112" s="40" t="s">
        <v>647</v>
      </c>
      <c r="AG112" s="40" t="s">
        <v>510</v>
      </c>
      <c r="AH112" s="40" t="s">
        <v>977</v>
      </c>
      <c r="AI112" s="40"/>
      <c r="AJ112" s="87"/>
      <c r="AK112" s="40" t="s">
        <v>1173</v>
      </c>
      <c r="AL112" s="40" t="s">
        <v>1195</v>
      </c>
      <c r="AM112" s="40"/>
      <c r="AN112" s="87">
        <v>45890</v>
      </c>
      <c r="AO112" s="87">
        <v>45958</v>
      </c>
      <c r="AP112" s="87">
        <v>46112</v>
      </c>
      <c r="AQ112" s="87">
        <v>46157</v>
      </c>
      <c r="AR112" s="107">
        <v>46526</v>
      </c>
      <c r="AS112" s="107">
        <v>46526</v>
      </c>
      <c r="AT112" s="102" t="s">
        <v>2640</v>
      </c>
      <c r="AU112" s="108" t="s">
        <v>2080</v>
      </c>
      <c r="AV112" s="106"/>
      <c r="AW112" s="105"/>
      <c r="AX112" s="109" t="str">
        <f>IFERROR(IF(PAC!$X112="F01 - CAPTAÇÃO DE RECURSO",1,""),"")</f>
        <v/>
      </c>
      <c r="AY112" s="109" t="str">
        <f>IFERROR(IF(PAC!$X112="F02 - LICITAÇÃO",1,""),"")</f>
        <v/>
      </c>
      <c r="AZ112" s="110">
        <f>IFERROR(IF(PAC!$X$6:$X$581="F03 - EXECUÇÃO DO OBJETO",1,""),"")</f>
        <v>1</v>
      </c>
      <c r="BA112" s="110" t="str">
        <f>IFERROR(IF(PAC!$X$6:$X$581="F04 - CONCLUÍDA",1,""),"")</f>
        <v/>
      </c>
      <c r="BB112" s="111">
        <f>IF(PAC!$R112&gt;0,0,PAC!$Q112)</f>
        <v>0</v>
      </c>
    </row>
    <row r="113" spans="1:54" s="1" customFormat="1" ht="129.75" hidden="1" customHeight="1" thickBot="1">
      <c r="A113" s="112">
        <f t="shared" si="1"/>
        <v>108</v>
      </c>
      <c r="B113" s="113">
        <v>2023</v>
      </c>
      <c r="C113" s="112" t="s">
        <v>605</v>
      </c>
      <c r="D113" s="112" t="s">
        <v>1010</v>
      </c>
      <c r="E113" s="114" t="s">
        <v>1354</v>
      </c>
      <c r="F113" s="112" t="s">
        <v>53</v>
      </c>
      <c r="G113" s="112" t="s">
        <v>503</v>
      </c>
      <c r="H113" s="115" t="s">
        <v>1244</v>
      </c>
      <c r="I113" s="112" t="s">
        <v>1238</v>
      </c>
      <c r="J113" s="112" t="s">
        <v>361</v>
      </c>
      <c r="K113" s="31"/>
      <c r="L113" s="31">
        <v>7996103.4199999999</v>
      </c>
      <c r="M113" s="31">
        <v>7996103.4199999999</v>
      </c>
      <c r="N113" s="31"/>
      <c r="O113" s="31"/>
      <c r="P113" s="31"/>
      <c r="Q113" s="33">
        <f>SUM(PAC!$M113:$P113)</f>
        <v>7996103.4199999999</v>
      </c>
      <c r="R113" s="33">
        <v>3041090.06</v>
      </c>
      <c r="S113" s="33">
        <f>IF(PAC!$R113&gt;0,PAC!$R113,PAC!$Q113)</f>
        <v>3041090.06</v>
      </c>
      <c r="T113" s="33" t="s">
        <v>1587</v>
      </c>
      <c r="U113" s="116" t="s">
        <v>1570</v>
      </c>
      <c r="V113" s="116"/>
      <c r="W113" s="117">
        <v>19</v>
      </c>
      <c r="X113" s="117" t="s">
        <v>1694</v>
      </c>
      <c r="Y113" s="113" t="s">
        <v>2470</v>
      </c>
      <c r="Z113" s="118">
        <v>46569</v>
      </c>
      <c r="AA113" s="119">
        <v>24.2</v>
      </c>
      <c r="AB113" s="115" t="s">
        <v>1472</v>
      </c>
      <c r="AC113" s="115" t="s">
        <v>1698</v>
      </c>
      <c r="AD113" s="120">
        <v>46569</v>
      </c>
      <c r="AE113" s="115" t="s">
        <v>1492</v>
      </c>
      <c r="AF113" s="115" t="s">
        <v>647</v>
      </c>
      <c r="AG113" s="115" t="s">
        <v>510</v>
      </c>
      <c r="AH113" s="115" t="s">
        <v>977</v>
      </c>
      <c r="AI113" s="115"/>
      <c r="AJ113" s="118"/>
      <c r="AK113" s="115" t="s">
        <v>1160</v>
      </c>
      <c r="AL113" s="115" t="s">
        <v>1270</v>
      </c>
      <c r="AM113" s="115"/>
      <c r="AN113" s="118">
        <v>45787</v>
      </c>
      <c r="AO113" s="118">
        <v>45835</v>
      </c>
      <c r="AP113" s="118">
        <v>45911</v>
      </c>
      <c r="AQ113" s="118">
        <v>45931</v>
      </c>
      <c r="AR113" s="121">
        <v>46569</v>
      </c>
      <c r="AS113" s="121">
        <v>46569</v>
      </c>
      <c r="AT113" s="114" t="s">
        <v>2772</v>
      </c>
      <c r="AU113" s="122" t="s">
        <v>1998</v>
      </c>
      <c r="AV113" s="120"/>
      <c r="AW113" s="119"/>
      <c r="AX113" s="194" t="str">
        <f>IFERROR(IF(PAC!$X113="F01 - CAPTAÇÃO DE RECURSO",1,""),"")</f>
        <v/>
      </c>
      <c r="AY113" s="194" t="str">
        <f>IFERROR(IF(PAC!$X113="F02 - LICITAÇÃO",1,""),"")</f>
        <v/>
      </c>
      <c r="AZ113" s="123">
        <f>IFERROR(IF(PAC!$X$6:$X$581="F03 - EXECUÇÃO DO OBJETO",1,""),"")</f>
        <v>1</v>
      </c>
      <c r="BA113" s="123" t="str">
        <f>IFERROR(IF(PAC!$X$6:$X$581="F04 - CONCLUÍDA",1,""),"")</f>
        <v/>
      </c>
      <c r="BB113" s="191">
        <f>IF(PAC!$R113&gt;0,0,PAC!$Q113)</f>
        <v>0</v>
      </c>
    </row>
    <row r="114" spans="1:54" s="1" customFormat="1" ht="128.25" hidden="1" customHeight="1" thickBot="1">
      <c r="A114" s="88">
        <f t="shared" si="1"/>
        <v>109</v>
      </c>
      <c r="B114" s="101">
        <v>2023</v>
      </c>
      <c r="C114" s="88" t="s">
        <v>605</v>
      </c>
      <c r="D114" s="88" t="s">
        <v>1010</v>
      </c>
      <c r="E114" s="102" t="s">
        <v>1355</v>
      </c>
      <c r="F114" s="88" t="s">
        <v>53</v>
      </c>
      <c r="G114" s="88" t="s">
        <v>503</v>
      </c>
      <c r="H114" s="40" t="s">
        <v>1244</v>
      </c>
      <c r="I114" s="88" t="s">
        <v>1238</v>
      </c>
      <c r="J114" s="88" t="s">
        <v>361</v>
      </c>
      <c r="K114" s="18"/>
      <c r="L114" s="18">
        <v>6991666.7800000003</v>
      </c>
      <c r="M114" s="18">
        <v>6991666.7800000003</v>
      </c>
      <c r="N114" s="18"/>
      <c r="O114" s="18"/>
      <c r="P114" s="18"/>
      <c r="Q114" s="20">
        <f>SUM(PAC!$M114:$P114)</f>
        <v>6991666.7800000003</v>
      </c>
      <c r="R114" s="20">
        <v>2420510.3199999998</v>
      </c>
      <c r="S114" s="20">
        <f>IF(PAC!$R114&gt;0,PAC!$R114,PAC!$Q114)</f>
        <v>2420510.3199999998</v>
      </c>
      <c r="T114" s="20" t="s">
        <v>1940</v>
      </c>
      <c r="U114" s="103" t="s">
        <v>1570</v>
      </c>
      <c r="V114" s="103"/>
      <c r="W114" s="104">
        <v>17</v>
      </c>
      <c r="X114" s="104" t="s">
        <v>1694</v>
      </c>
      <c r="Y114" s="101" t="s">
        <v>2470</v>
      </c>
      <c r="Z114" s="87">
        <v>46526</v>
      </c>
      <c r="AA114" s="105">
        <v>1</v>
      </c>
      <c r="AB114" s="40" t="s">
        <v>1472</v>
      </c>
      <c r="AC114" s="40" t="s">
        <v>1488</v>
      </c>
      <c r="AD114" s="106"/>
      <c r="AE114" s="102" t="s">
        <v>1811</v>
      </c>
      <c r="AF114" s="40" t="s">
        <v>647</v>
      </c>
      <c r="AG114" s="40" t="s">
        <v>510</v>
      </c>
      <c r="AH114" s="40" t="s">
        <v>977</v>
      </c>
      <c r="AI114" s="40"/>
      <c r="AJ114" s="87"/>
      <c r="AK114" s="40" t="s">
        <v>1161</v>
      </c>
      <c r="AL114" s="40" t="s">
        <v>1192</v>
      </c>
      <c r="AM114" s="40"/>
      <c r="AN114" s="87">
        <v>45890</v>
      </c>
      <c r="AO114" s="87">
        <v>45958</v>
      </c>
      <c r="AP114" s="87">
        <v>46112</v>
      </c>
      <c r="AQ114" s="87">
        <v>46157</v>
      </c>
      <c r="AR114" s="107">
        <v>46526</v>
      </c>
      <c r="AS114" s="107">
        <v>46526</v>
      </c>
      <c r="AT114" s="102" t="s">
        <v>2641</v>
      </c>
      <c r="AU114" s="108" t="s">
        <v>2080</v>
      </c>
      <c r="AV114" s="106"/>
      <c r="AW114" s="105"/>
      <c r="AX114" s="109" t="str">
        <f>IFERROR(IF(PAC!$X114="F01 - CAPTAÇÃO DE RECURSO",1,""),"")</f>
        <v/>
      </c>
      <c r="AY114" s="109" t="str">
        <f>IFERROR(IF(PAC!$X114="F02 - LICITAÇÃO",1,""),"")</f>
        <v/>
      </c>
      <c r="AZ114" s="110">
        <f>IFERROR(IF(PAC!$X$6:$X$581="F03 - EXECUÇÃO DO OBJETO",1,""),"")</f>
        <v>1</v>
      </c>
      <c r="BA114" s="110" t="str">
        <f>IFERROR(IF(PAC!$X$6:$X$581="F04 - CONCLUÍDA",1,""),"")</f>
        <v/>
      </c>
      <c r="BB114" s="111">
        <f>IF(PAC!$R114&gt;0,0,PAC!$Q114)</f>
        <v>0</v>
      </c>
    </row>
    <row r="115" spans="1:54" s="1" customFormat="1" ht="170.25" hidden="1" customHeight="1" thickBot="1">
      <c r="A115" s="112">
        <f t="shared" si="1"/>
        <v>110</v>
      </c>
      <c r="B115" s="113">
        <v>2023</v>
      </c>
      <c r="C115" s="112" t="s">
        <v>605</v>
      </c>
      <c r="D115" s="112" t="s">
        <v>1010</v>
      </c>
      <c r="E115" s="114" t="s">
        <v>1356</v>
      </c>
      <c r="F115" s="112" t="s">
        <v>53</v>
      </c>
      <c r="G115" s="112" t="s">
        <v>503</v>
      </c>
      <c r="H115" s="115" t="s">
        <v>1244</v>
      </c>
      <c r="I115" s="112" t="s">
        <v>1238</v>
      </c>
      <c r="J115" s="112" t="s">
        <v>361</v>
      </c>
      <c r="K115" s="31"/>
      <c r="L115" s="31">
        <v>2621556.4300000002</v>
      </c>
      <c r="M115" s="31">
        <v>2621556.4300000002</v>
      </c>
      <c r="N115" s="31"/>
      <c r="O115" s="31"/>
      <c r="P115" s="31"/>
      <c r="Q115" s="33">
        <f>SUM(PAC!$M115:$P115)</f>
        <v>2621556.4300000002</v>
      </c>
      <c r="R115" s="33">
        <v>3685281.91</v>
      </c>
      <c r="S115" s="33">
        <f>IF(PAC!$R115&gt;0,PAC!$R115,PAC!$Q115)</f>
        <v>3685281.91</v>
      </c>
      <c r="T115" s="33" t="s">
        <v>1940</v>
      </c>
      <c r="U115" s="116" t="s">
        <v>1570</v>
      </c>
      <c r="V115" s="116"/>
      <c r="W115" s="117">
        <v>8</v>
      </c>
      <c r="X115" s="117" t="s">
        <v>1694</v>
      </c>
      <c r="Y115" s="113" t="s">
        <v>2470</v>
      </c>
      <c r="Z115" s="118">
        <v>46526</v>
      </c>
      <c r="AA115" s="119">
        <v>1</v>
      </c>
      <c r="AB115" s="115" t="s">
        <v>1472</v>
      </c>
      <c r="AC115" s="115" t="s">
        <v>1488</v>
      </c>
      <c r="AD115" s="120"/>
      <c r="AE115" s="114" t="s">
        <v>1812</v>
      </c>
      <c r="AF115" s="115" t="s">
        <v>647</v>
      </c>
      <c r="AG115" s="115" t="s">
        <v>510</v>
      </c>
      <c r="AH115" s="115" t="s">
        <v>977</v>
      </c>
      <c r="AI115" s="115"/>
      <c r="AJ115" s="118"/>
      <c r="AK115" s="115" t="s">
        <v>1184</v>
      </c>
      <c r="AL115" s="115" t="s">
        <v>1112</v>
      </c>
      <c r="AM115" s="115"/>
      <c r="AN115" s="118">
        <v>45890</v>
      </c>
      <c r="AO115" s="118">
        <v>45958</v>
      </c>
      <c r="AP115" s="118">
        <v>46112</v>
      </c>
      <c r="AQ115" s="118">
        <v>46157</v>
      </c>
      <c r="AR115" s="121">
        <v>46526</v>
      </c>
      <c r="AS115" s="121">
        <v>46526</v>
      </c>
      <c r="AT115" s="114" t="s">
        <v>2642</v>
      </c>
      <c r="AU115" s="122" t="s">
        <v>2080</v>
      </c>
      <c r="AV115" s="120"/>
      <c r="AW115" s="119"/>
      <c r="AX115" s="194" t="str">
        <f>IFERROR(IF(PAC!$X115="F01 - CAPTAÇÃO DE RECURSO",1,""),"")</f>
        <v/>
      </c>
      <c r="AY115" s="194" t="str">
        <f>IFERROR(IF(PAC!$X115="F02 - LICITAÇÃO",1,""),"")</f>
        <v/>
      </c>
      <c r="AZ115" s="123">
        <f>IFERROR(IF(PAC!$X$6:$X$581="F03 - EXECUÇÃO DO OBJETO",1,""),"")</f>
        <v>1</v>
      </c>
      <c r="BA115" s="123" t="str">
        <f>IFERROR(IF(PAC!$X$6:$X$581="F04 - CONCLUÍDA",1,""),"")</f>
        <v/>
      </c>
      <c r="BB115" s="191">
        <f>IF(PAC!$R115&gt;0,0,PAC!$Q115)</f>
        <v>0</v>
      </c>
    </row>
    <row r="116" spans="1:54" s="1" customFormat="1" ht="206.25" hidden="1" customHeight="1" thickBot="1">
      <c r="A116" s="88">
        <f t="shared" si="1"/>
        <v>111</v>
      </c>
      <c r="B116" s="101">
        <v>2023</v>
      </c>
      <c r="C116" s="88" t="s">
        <v>605</v>
      </c>
      <c r="D116" s="88" t="s">
        <v>1010</v>
      </c>
      <c r="E116" s="102" t="s">
        <v>1357</v>
      </c>
      <c r="F116" s="88" t="s">
        <v>53</v>
      </c>
      <c r="G116" s="88" t="s">
        <v>503</v>
      </c>
      <c r="H116" s="40" t="s">
        <v>1244</v>
      </c>
      <c r="I116" s="88" t="s">
        <v>1238</v>
      </c>
      <c r="J116" s="88" t="s">
        <v>361</v>
      </c>
      <c r="K116" s="18"/>
      <c r="L116" s="18">
        <v>323557.40999999997</v>
      </c>
      <c r="M116" s="18">
        <v>323557.40999999997</v>
      </c>
      <c r="N116" s="18"/>
      <c r="O116" s="18"/>
      <c r="P116" s="18"/>
      <c r="Q116" s="20">
        <f>SUM(PAC!$M116:$P116)</f>
        <v>323557.40999999997</v>
      </c>
      <c r="R116" s="20">
        <v>277065.71999999997</v>
      </c>
      <c r="S116" s="20">
        <f>IF(PAC!$R116&gt;0,PAC!$R116,PAC!$Q116)</f>
        <v>277065.71999999997</v>
      </c>
      <c r="T116" s="20" t="s">
        <v>1940</v>
      </c>
      <c r="U116" s="103" t="s">
        <v>1570</v>
      </c>
      <c r="V116" s="103"/>
      <c r="W116" s="104">
        <v>4</v>
      </c>
      <c r="X116" s="104" t="s">
        <v>1694</v>
      </c>
      <c r="Y116" s="101" t="s">
        <v>2470</v>
      </c>
      <c r="Z116" s="87">
        <v>46526</v>
      </c>
      <c r="AA116" s="105">
        <v>82</v>
      </c>
      <c r="AB116" s="40" t="s">
        <v>1472</v>
      </c>
      <c r="AC116" s="40" t="s">
        <v>1811</v>
      </c>
      <c r="AD116" s="106"/>
      <c r="AE116" s="102" t="s">
        <v>1812</v>
      </c>
      <c r="AF116" s="40" t="s">
        <v>647</v>
      </c>
      <c r="AG116" s="40" t="s">
        <v>510</v>
      </c>
      <c r="AH116" s="40" t="s">
        <v>977</v>
      </c>
      <c r="AI116" s="40"/>
      <c r="AJ116" s="87"/>
      <c r="AK116" s="40" t="s">
        <v>1128</v>
      </c>
      <c r="AL116" s="40" t="s">
        <v>1090</v>
      </c>
      <c r="AM116" s="40"/>
      <c r="AN116" s="87">
        <v>45890</v>
      </c>
      <c r="AO116" s="87">
        <v>45958</v>
      </c>
      <c r="AP116" s="87">
        <v>46112</v>
      </c>
      <c r="AQ116" s="87">
        <v>46157</v>
      </c>
      <c r="AR116" s="107">
        <v>46526</v>
      </c>
      <c r="AS116" s="107">
        <v>46526</v>
      </c>
      <c r="AT116" s="102" t="s">
        <v>2580</v>
      </c>
      <c r="AU116" s="108" t="s">
        <v>2080</v>
      </c>
      <c r="AV116" s="106"/>
      <c r="AW116" s="105"/>
      <c r="AX116" s="109" t="str">
        <f>IFERROR(IF(PAC!$X116="F01 - CAPTAÇÃO DE RECURSO",1,""),"")</f>
        <v/>
      </c>
      <c r="AY116" s="109" t="str">
        <f>IFERROR(IF(PAC!$X116="F02 - LICITAÇÃO",1,""),"")</f>
        <v/>
      </c>
      <c r="AZ116" s="110">
        <f>IFERROR(IF(PAC!$X$6:$X$581="F03 - EXECUÇÃO DO OBJETO",1,""),"")</f>
        <v>1</v>
      </c>
      <c r="BA116" s="110" t="str">
        <f>IFERROR(IF(PAC!$X$6:$X$581="F04 - CONCLUÍDA",1,""),"")</f>
        <v/>
      </c>
      <c r="BB116" s="111">
        <f>IF(PAC!$R116&gt;0,0,PAC!$Q116)</f>
        <v>0</v>
      </c>
    </row>
    <row r="117" spans="1:54" s="1" customFormat="1" ht="163.5" hidden="1" customHeight="1" thickBot="1">
      <c r="A117" s="112">
        <f t="shared" si="1"/>
        <v>112</v>
      </c>
      <c r="B117" s="113">
        <v>2023</v>
      </c>
      <c r="C117" s="112" t="s">
        <v>605</v>
      </c>
      <c r="D117" s="112" t="s">
        <v>1010</v>
      </c>
      <c r="E117" s="114" t="s">
        <v>1358</v>
      </c>
      <c r="F117" s="112" t="s">
        <v>53</v>
      </c>
      <c r="G117" s="112" t="s">
        <v>503</v>
      </c>
      <c r="H117" s="115" t="s">
        <v>1244</v>
      </c>
      <c r="I117" s="112" t="s">
        <v>1238</v>
      </c>
      <c r="J117" s="112" t="s">
        <v>361</v>
      </c>
      <c r="K117" s="31"/>
      <c r="L117" s="31">
        <v>2520152.5</v>
      </c>
      <c r="M117" s="31">
        <v>2520152.5</v>
      </c>
      <c r="N117" s="31"/>
      <c r="O117" s="31"/>
      <c r="P117" s="31"/>
      <c r="Q117" s="33">
        <f>SUM(PAC!$M117:$P117)</f>
        <v>2520152.5</v>
      </c>
      <c r="R117" s="33">
        <v>1775227.74</v>
      </c>
      <c r="S117" s="33">
        <f>IF(PAC!$R117&gt;0,PAC!$R117,PAC!$Q117)</f>
        <v>1775227.74</v>
      </c>
      <c r="T117" s="33" t="s">
        <v>1863</v>
      </c>
      <c r="U117" s="116" t="s">
        <v>1570</v>
      </c>
      <c r="V117" s="116"/>
      <c r="W117" s="117">
        <v>8</v>
      </c>
      <c r="X117" s="117" t="s">
        <v>1694</v>
      </c>
      <c r="Y117" s="113" t="s">
        <v>2470</v>
      </c>
      <c r="Z117" s="118">
        <v>46431</v>
      </c>
      <c r="AA117" s="119">
        <v>3</v>
      </c>
      <c r="AB117" s="115" t="s">
        <v>1472</v>
      </c>
      <c r="AC117" s="115" t="s">
        <v>1698</v>
      </c>
      <c r="AD117" s="120"/>
      <c r="AE117" s="115" t="s">
        <v>1698</v>
      </c>
      <c r="AF117" s="115" t="s">
        <v>647</v>
      </c>
      <c r="AG117" s="115" t="s">
        <v>510</v>
      </c>
      <c r="AH117" s="115" t="s">
        <v>977</v>
      </c>
      <c r="AI117" s="115"/>
      <c r="AJ117" s="118"/>
      <c r="AK117" s="115" t="s">
        <v>1175</v>
      </c>
      <c r="AL117" s="115" t="s">
        <v>1199</v>
      </c>
      <c r="AM117" s="115"/>
      <c r="AN117" s="118">
        <v>45945</v>
      </c>
      <c r="AO117" s="118">
        <v>46014</v>
      </c>
      <c r="AP117" s="118">
        <v>46065</v>
      </c>
      <c r="AQ117" s="118">
        <v>46125</v>
      </c>
      <c r="AR117" s="121">
        <v>46431</v>
      </c>
      <c r="AS117" s="121">
        <v>46431</v>
      </c>
      <c r="AT117" s="114" t="s">
        <v>2356</v>
      </c>
      <c r="AU117" s="122" t="s">
        <v>2006</v>
      </c>
      <c r="AV117" s="120"/>
      <c r="AW117" s="119"/>
      <c r="AX117" s="194" t="str">
        <f>IFERROR(IF(PAC!$X117="F01 - CAPTAÇÃO DE RECURSO",1,""),"")</f>
        <v/>
      </c>
      <c r="AY117" s="194" t="str">
        <f>IFERROR(IF(PAC!$X117="F02 - LICITAÇÃO",1,""),"")</f>
        <v/>
      </c>
      <c r="AZ117" s="123">
        <f>IFERROR(IF(PAC!$X$6:$X$581="F03 - EXECUÇÃO DO OBJETO",1,""),"")</f>
        <v>1</v>
      </c>
      <c r="BA117" s="123" t="str">
        <f>IFERROR(IF(PAC!$X$6:$X$581="F04 - CONCLUÍDA",1,""),"")</f>
        <v/>
      </c>
      <c r="BB117" s="191">
        <f>IF(PAC!$R117&gt;0,0,PAC!$Q117)</f>
        <v>0</v>
      </c>
    </row>
    <row r="118" spans="1:54" s="1" customFormat="1" ht="139.5" hidden="1" customHeight="1" thickBot="1">
      <c r="A118" s="88">
        <f t="shared" si="1"/>
        <v>113</v>
      </c>
      <c r="B118" s="101">
        <v>2023</v>
      </c>
      <c r="C118" s="88" t="s">
        <v>605</v>
      </c>
      <c r="D118" s="88" t="s">
        <v>1010</v>
      </c>
      <c r="E118" s="102" t="s">
        <v>1359</v>
      </c>
      <c r="F118" s="88" t="s">
        <v>53</v>
      </c>
      <c r="G118" s="88" t="s">
        <v>503</v>
      </c>
      <c r="H118" s="40" t="s">
        <v>1244</v>
      </c>
      <c r="I118" s="88" t="s">
        <v>1238</v>
      </c>
      <c r="J118" s="88" t="s">
        <v>361</v>
      </c>
      <c r="K118" s="18"/>
      <c r="L118" s="18">
        <v>1509679.58</v>
      </c>
      <c r="M118" s="18">
        <v>1509679.58</v>
      </c>
      <c r="N118" s="18"/>
      <c r="O118" s="18"/>
      <c r="P118" s="18"/>
      <c r="Q118" s="20">
        <f>SUM(PAC!$M118:$P118)</f>
        <v>1509679.58</v>
      </c>
      <c r="R118" s="20">
        <v>2691657.2</v>
      </c>
      <c r="S118" s="20">
        <f>IF(PAC!$R118&gt;0,PAC!$R118,PAC!$Q118)</f>
        <v>2691657.2</v>
      </c>
      <c r="T118" s="20" t="s">
        <v>1863</v>
      </c>
      <c r="U118" s="103" t="s">
        <v>1570</v>
      </c>
      <c r="V118" s="103"/>
      <c r="W118" s="104">
        <v>6</v>
      </c>
      <c r="X118" s="104" t="s">
        <v>1694</v>
      </c>
      <c r="Y118" s="101" t="s">
        <v>2470</v>
      </c>
      <c r="Z118" s="87">
        <v>46431</v>
      </c>
      <c r="AA118" s="105">
        <v>2</v>
      </c>
      <c r="AB118" s="40" t="s">
        <v>1472</v>
      </c>
      <c r="AC118" s="40" t="s">
        <v>1488</v>
      </c>
      <c r="AD118" s="106"/>
      <c r="AE118" s="40" t="s">
        <v>1811</v>
      </c>
      <c r="AF118" s="40" t="s">
        <v>647</v>
      </c>
      <c r="AG118" s="40" t="s">
        <v>510</v>
      </c>
      <c r="AH118" s="40" t="s">
        <v>977</v>
      </c>
      <c r="AI118" s="40"/>
      <c r="AJ118" s="87"/>
      <c r="AK118" s="40" t="s">
        <v>1118</v>
      </c>
      <c r="AL118" s="40" t="s">
        <v>1190</v>
      </c>
      <c r="AM118" s="40"/>
      <c r="AN118" s="87">
        <v>45945</v>
      </c>
      <c r="AO118" s="87">
        <v>46014</v>
      </c>
      <c r="AP118" s="87">
        <v>46065</v>
      </c>
      <c r="AQ118" s="87">
        <v>46125</v>
      </c>
      <c r="AR118" s="107">
        <v>46431</v>
      </c>
      <c r="AS118" s="107">
        <v>46431</v>
      </c>
      <c r="AT118" s="102" t="s">
        <v>2643</v>
      </c>
      <c r="AU118" s="108" t="s">
        <v>2006</v>
      </c>
      <c r="AV118" s="106"/>
      <c r="AW118" s="105"/>
      <c r="AX118" s="109" t="str">
        <f>IFERROR(IF(PAC!$X118="F01 - CAPTAÇÃO DE RECURSO",1,""),"")</f>
        <v/>
      </c>
      <c r="AY118" s="109" t="str">
        <f>IFERROR(IF(PAC!$X118="F02 - LICITAÇÃO",1,""),"")</f>
        <v/>
      </c>
      <c r="AZ118" s="110">
        <f>IFERROR(IF(PAC!$X$6:$X$581="F03 - EXECUÇÃO DO OBJETO",1,""),"")</f>
        <v>1</v>
      </c>
      <c r="BA118" s="110" t="str">
        <f>IFERROR(IF(PAC!$X$6:$X$581="F04 - CONCLUÍDA",1,""),"")</f>
        <v/>
      </c>
      <c r="BB118" s="111">
        <f>IF(PAC!$R118&gt;0,0,PAC!$Q118)</f>
        <v>0</v>
      </c>
    </row>
    <row r="119" spans="1:54" s="1" customFormat="1" ht="151.5" hidden="1" customHeight="1" thickBot="1">
      <c r="A119" s="112">
        <f t="shared" si="1"/>
        <v>114</v>
      </c>
      <c r="B119" s="113">
        <v>2023</v>
      </c>
      <c r="C119" s="112" t="s">
        <v>605</v>
      </c>
      <c r="D119" s="112" t="s">
        <v>1010</v>
      </c>
      <c r="E119" s="114" t="s">
        <v>1556</v>
      </c>
      <c r="F119" s="112" t="s">
        <v>53</v>
      </c>
      <c r="G119" s="112" t="s">
        <v>503</v>
      </c>
      <c r="H119" s="115" t="s">
        <v>1244</v>
      </c>
      <c r="I119" s="112" t="s">
        <v>1238</v>
      </c>
      <c r="J119" s="112" t="s">
        <v>361</v>
      </c>
      <c r="K119" s="31"/>
      <c r="L119" s="31">
        <v>11089599.439999999</v>
      </c>
      <c r="M119" s="31">
        <v>11089599.439999999</v>
      </c>
      <c r="N119" s="31"/>
      <c r="O119" s="31"/>
      <c r="P119" s="31"/>
      <c r="Q119" s="33">
        <f>SUM(PAC!$M119:$P119)</f>
        <v>11089599.439999999</v>
      </c>
      <c r="R119" s="33">
        <v>17154422.789999999</v>
      </c>
      <c r="S119" s="33">
        <f>IF(PAC!$R119&gt;0,PAC!$R119,PAC!$Q119)</f>
        <v>17154422.789999999</v>
      </c>
      <c r="T119" s="33" t="s">
        <v>2277</v>
      </c>
      <c r="U119" s="116" t="s">
        <v>1570</v>
      </c>
      <c r="V119" s="116"/>
      <c r="W119" s="117">
        <v>25</v>
      </c>
      <c r="X119" s="117" t="s">
        <v>1418</v>
      </c>
      <c r="Y119" s="113" t="s">
        <v>2472</v>
      </c>
      <c r="Z119" s="118"/>
      <c r="AA119" s="119"/>
      <c r="AB119" s="115" t="s">
        <v>1466</v>
      </c>
      <c r="AC119" s="115" t="s">
        <v>2382</v>
      </c>
      <c r="AD119" s="120"/>
      <c r="AE119" s="114" t="s">
        <v>2384</v>
      </c>
      <c r="AF119" s="115" t="s">
        <v>647</v>
      </c>
      <c r="AG119" s="115" t="s">
        <v>510</v>
      </c>
      <c r="AH119" s="115" t="s">
        <v>977</v>
      </c>
      <c r="AI119" s="115"/>
      <c r="AJ119" s="118"/>
      <c r="AK119" s="115" t="s">
        <v>1157</v>
      </c>
      <c r="AL119" s="115" t="s">
        <v>1185</v>
      </c>
      <c r="AM119" s="115"/>
      <c r="AN119" s="118">
        <v>46058</v>
      </c>
      <c r="AO119" s="118">
        <v>46134</v>
      </c>
      <c r="AP119" s="118"/>
      <c r="AQ119" s="118"/>
      <c r="AR119" s="121"/>
      <c r="AS119" s="121"/>
      <c r="AT119" s="114" t="s">
        <v>2644</v>
      </c>
      <c r="AU119" s="122" t="s">
        <v>2280</v>
      </c>
      <c r="AV119" s="120"/>
      <c r="AW119" s="119"/>
      <c r="AX119" s="194" t="str">
        <f>IFERROR(IF(PAC!$X119="F01 - CAPTAÇÃO DE RECURSO",1,""),"")</f>
        <v/>
      </c>
      <c r="AY119" s="194">
        <f>IFERROR(IF(PAC!$X119="F02 - LICITAÇÃO",1,""),"")</f>
        <v>1</v>
      </c>
      <c r="AZ119" s="123" t="str">
        <f>IFERROR(IF(PAC!$X$6:$X$581="F03 - EXECUÇÃO DO OBJETO",1,""),"")</f>
        <v/>
      </c>
      <c r="BA119" s="123" t="str">
        <f>IFERROR(IF(PAC!$X$6:$X$581="F04 - CONCLUÍDA",1,""),"")</f>
        <v/>
      </c>
      <c r="BB119" s="191">
        <f>IF(PAC!$R119&gt;0,0,PAC!$Q119)</f>
        <v>0</v>
      </c>
    </row>
    <row r="120" spans="1:54" s="1" customFormat="1" ht="143.25" hidden="1" customHeight="1" thickBot="1">
      <c r="A120" s="88">
        <f t="shared" si="1"/>
        <v>115</v>
      </c>
      <c r="B120" s="101">
        <v>2023</v>
      </c>
      <c r="C120" s="88" t="s">
        <v>605</v>
      </c>
      <c r="D120" s="88" t="s">
        <v>1010</v>
      </c>
      <c r="E120" s="102" t="s">
        <v>1360</v>
      </c>
      <c r="F120" s="88" t="s">
        <v>53</v>
      </c>
      <c r="G120" s="88" t="s">
        <v>503</v>
      </c>
      <c r="H120" s="40" t="s">
        <v>1244</v>
      </c>
      <c r="I120" s="88" t="s">
        <v>1238</v>
      </c>
      <c r="J120" s="88" t="s">
        <v>361</v>
      </c>
      <c r="K120" s="18"/>
      <c r="L120" s="18">
        <v>2150957.4500000002</v>
      </c>
      <c r="M120" s="18">
        <v>2150957.4500000002</v>
      </c>
      <c r="N120" s="18"/>
      <c r="O120" s="18"/>
      <c r="P120" s="18"/>
      <c r="Q120" s="20">
        <f>SUM(PAC!$M120:$P120)</f>
        <v>2150957.4500000002</v>
      </c>
      <c r="R120" s="20">
        <v>1069825.79</v>
      </c>
      <c r="S120" s="20">
        <f>IF(PAC!$R120&gt;0,PAC!$R120,PAC!$Q120)</f>
        <v>1069825.79</v>
      </c>
      <c r="T120" s="20" t="s">
        <v>1863</v>
      </c>
      <c r="U120" s="103" t="s">
        <v>1570</v>
      </c>
      <c r="V120" s="103"/>
      <c r="W120" s="104">
        <v>7</v>
      </c>
      <c r="X120" s="104" t="s">
        <v>1694</v>
      </c>
      <c r="Y120" s="101" t="s">
        <v>2470</v>
      </c>
      <c r="Z120" s="87">
        <v>46431</v>
      </c>
      <c r="AA120" s="105">
        <v>2</v>
      </c>
      <c r="AB120" s="40" t="s">
        <v>1472</v>
      </c>
      <c r="AC120" s="40" t="s">
        <v>1488</v>
      </c>
      <c r="AD120" s="106"/>
      <c r="AE120" s="40" t="s">
        <v>1698</v>
      </c>
      <c r="AF120" s="40" t="s">
        <v>647</v>
      </c>
      <c r="AG120" s="40" t="s">
        <v>510</v>
      </c>
      <c r="AH120" s="40" t="s">
        <v>977</v>
      </c>
      <c r="AI120" s="40"/>
      <c r="AJ120" s="87"/>
      <c r="AK120" s="40" t="s">
        <v>1177</v>
      </c>
      <c r="AL120" s="40" t="s">
        <v>1200</v>
      </c>
      <c r="AM120" s="40"/>
      <c r="AN120" s="87">
        <v>45945</v>
      </c>
      <c r="AO120" s="87">
        <v>46014</v>
      </c>
      <c r="AP120" s="87">
        <v>46065</v>
      </c>
      <c r="AQ120" s="87">
        <v>46125</v>
      </c>
      <c r="AR120" s="107">
        <v>46431</v>
      </c>
      <c r="AS120" s="107">
        <v>46431</v>
      </c>
      <c r="AT120" s="102" t="s">
        <v>2645</v>
      </c>
      <c r="AU120" s="108" t="s">
        <v>2006</v>
      </c>
      <c r="AV120" s="106"/>
      <c r="AW120" s="105"/>
      <c r="AX120" s="109" t="str">
        <f>IFERROR(IF(PAC!$X120="F01 - CAPTAÇÃO DE RECURSO",1,""),"")</f>
        <v/>
      </c>
      <c r="AY120" s="109" t="str">
        <f>IFERROR(IF(PAC!$X120="F02 - LICITAÇÃO",1,""),"")</f>
        <v/>
      </c>
      <c r="AZ120" s="110">
        <f>IFERROR(IF(PAC!$X$6:$X$581="F03 - EXECUÇÃO DO OBJETO",1,""),"")</f>
        <v>1</v>
      </c>
      <c r="BA120" s="110" t="str">
        <f>IFERROR(IF(PAC!$X$6:$X$581="F04 - CONCLUÍDA",1,""),"")</f>
        <v/>
      </c>
      <c r="BB120" s="111">
        <f>IF(PAC!$R120&gt;0,0,PAC!$Q120)</f>
        <v>0</v>
      </c>
    </row>
    <row r="121" spans="1:54" s="1" customFormat="1" ht="108.75" hidden="1" customHeight="1" thickBot="1">
      <c r="A121" s="112">
        <f t="shared" si="1"/>
        <v>116</v>
      </c>
      <c r="B121" s="113">
        <v>2023</v>
      </c>
      <c r="C121" s="112" t="s">
        <v>605</v>
      </c>
      <c r="D121" s="112" t="s">
        <v>1010</v>
      </c>
      <c r="E121" s="114" t="s">
        <v>1361</v>
      </c>
      <c r="F121" s="112" t="s">
        <v>53</v>
      </c>
      <c r="G121" s="112" t="s">
        <v>503</v>
      </c>
      <c r="H121" s="115" t="s">
        <v>1244</v>
      </c>
      <c r="I121" s="112" t="s">
        <v>1238</v>
      </c>
      <c r="J121" s="112" t="s">
        <v>361</v>
      </c>
      <c r="K121" s="31"/>
      <c r="L121" s="31">
        <v>1899144.9</v>
      </c>
      <c r="M121" s="31">
        <v>1899144.9</v>
      </c>
      <c r="N121" s="31"/>
      <c r="O121" s="31"/>
      <c r="P121" s="31"/>
      <c r="Q121" s="33">
        <f>SUM(PAC!$M121:$P121)</f>
        <v>1899144.9</v>
      </c>
      <c r="R121" s="33">
        <v>880203.06</v>
      </c>
      <c r="S121" s="33">
        <f>IF(PAC!$R121&gt;0,PAC!$R121,PAC!$Q121)</f>
        <v>880203.06</v>
      </c>
      <c r="T121" s="33" t="s">
        <v>1863</v>
      </c>
      <c r="U121" s="116" t="s">
        <v>1570</v>
      </c>
      <c r="V121" s="116"/>
      <c r="W121" s="117">
        <v>6</v>
      </c>
      <c r="X121" s="117" t="s">
        <v>1694</v>
      </c>
      <c r="Y121" s="113" t="s">
        <v>2470</v>
      </c>
      <c r="Z121" s="118">
        <v>46431</v>
      </c>
      <c r="AA121" s="119">
        <v>32</v>
      </c>
      <c r="AB121" s="115" t="s">
        <v>1472</v>
      </c>
      <c r="AC121" s="115" t="s">
        <v>1698</v>
      </c>
      <c r="AD121" s="120"/>
      <c r="AE121" s="115" t="s">
        <v>1811</v>
      </c>
      <c r="AF121" s="115" t="s">
        <v>647</v>
      </c>
      <c r="AG121" s="115" t="s">
        <v>510</v>
      </c>
      <c r="AH121" s="115" t="s">
        <v>977</v>
      </c>
      <c r="AI121" s="115"/>
      <c r="AJ121" s="118"/>
      <c r="AK121" s="115" t="s">
        <v>1178</v>
      </c>
      <c r="AL121" s="115" t="s">
        <v>1201</v>
      </c>
      <c r="AM121" s="115"/>
      <c r="AN121" s="118">
        <v>45945</v>
      </c>
      <c r="AO121" s="118">
        <v>46014</v>
      </c>
      <c r="AP121" s="118">
        <v>46065</v>
      </c>
      <c r="AQ121" s="118">
        <v>46125</v>
      </c>
      <c r="AR121" s="121">
        <v>46431</v>
      </c>
      <c r="AS121" s="121">
        <v>46431</v>
      </c>
      <c r="AT121" s="114" t="s">
        <v>2581</v>
      </c>
      <c r="AU121" s="122" t="s">
        <v>2006</v>
      </c>
      <c r="AV121" s="120"/>
      <c r="AW121" s="119"/>
      <c r="AX121" s="194" t="str">
        <f>IFERROR(IF(PAC!$X121="F01 - CAPTAÇÃO DE RECURSO",1,""),"")</f>
        <v/>
      </c>
      <c r="AY121" s="194" t="str">
        <f>IFERROR(IF(PAC!$X121="F02 - LICITAÇÃO",1,""),"")</f>
        <v/>
      </c>
      <c r="AZ121" s="123">
        <f>IFERROR(IF(PAC!$X$6:$X$581="F03 - EXECUÇÃO DO OBJETO",1,""),"")</f>
        <v>1</v>
      </c>
      <c r="BA121" s="123" t="str">
        <f>IFERROR(IF(PAC!$X$6:$X$581="F04 - CONCLUÍDA",1,""),"")</f>
        <v/>
      </c>
      <c r="BB121" s="191">
        <f>IF(PAC!$R121&gt;0,0,PAC!$Q121)</f>
        <v>0</v>
      </c>
    </row>
    <row r="122" spans="1:54" s="1" customFormat="1" ht="107.25" hidden="1" customHeight="1" thickBot="1">
      <c r="A122" s="88">
        <f t="shared" si="1"/>
        <v>117</v>
      </c>
      <c r="B122" s="101">
        <v>2023</v>
      </c>
      <c r="C122" s="88" t="s">
        <v>605</v>
      </c>
      <c r="D122" s="88" t="s">
        <v>1010</v>
      </c>
      <c r="E122" s="102" t="s">
        <v>1362</v>
      </c>
      <c r="F122" s="88" t="s">
        <v>53</v>
      </c>
      <c r="G122" s="88" t="s">
        <v>503</v>
      </c>
      <c r="H122" s="40" t="s">
        <v>1244</v>
      </c>
      <c r="I122" s="88" t="s">
        <v>1238</v>
      </c>
      <c r="J122" s="88" t="s">
        <v>361</v>
      </c>
      <c r="K122" s="18"/>
      <c r="L122" s="18">
        <v>5779027.5899999999</v>
      </c>
      <c r="M122" s="18">
        <v>5779027.5899999999</v>
      </c>
      <c r="N122" s="18"/>
      <c r="O122" s="18"/>
      <c r="P122" s="18"/>
      <c r="Q122" s="20">
        <f>SUM(PAC!$M122:$P122)</f>
        <v>5779027.5899999999</v>
      </c>
      <c r="R122" s="20">
        <v>4346240.95</v>
      </c>
      <c r="S122" s="20">
        <f>IF(PAC!$R122&gt;0,PAC!$R122,PAC!$Q122)</f>
        <v>4346240.95</v>
      </c>
      <c r="T122" s="20" t="s">
        <v>1587</v>
      </c>
      <c r="U122" s="103" t="s">
        <v>1570</v>
      </c>
      <c r="V122" s="103"/>
      <c r="W122" s="104">
        <v>16</v>
      </c>
      <c r="X122" s="104" t="s">
        <v>1694</v>
      </c>
      <c r="Y122" s="101" t="s">
        <v>2470</v>
      </c>
      <c r="Z122" s="87">
        <v>46614</v>
      </c>
      <c r="AA122" s="105">
        <v>2</v>
      </c>
      <c r="AB122" s="40" t="s">
        <v>1472</v>
      </c>
      <c r="AC122" s="40" t="s">
        <v>1488</v>
      </c>
      <c r="AD122" s="106"/>
      <c r="AE122" s="40" t="s">
        <v>1812</v>
      </c>
      <c r="AF122" s="40" t="s">
        <v>647</v>
      </c>
      <c r="AG122" s="40" t="s">
        <v>510</v>
      </c>
      <c r="AH122" s="40" t="s">
        <v>977</v>
      </c>
      <c r="AI122" s="40"/>
      <c r="AJ122" s="87"/>
      <c r="AK122" s="40" t="s">
        <v>1162</v>
      </c>
      <c r="AL122" s="40" t="s">
        <v>1196</v>
      </c>
      <c r="AM122" s="40"/>
      <c r="AN122" s="87">
        <v>45972</v>
      </c>
      <c r="AO122" s="87">
        <v>46002</v>
      </c>
      <c r="AP122" s="87">
        <v>46078</v>
      </c>
      <c r="AQ122" s="87">
        <v>46125</v>
      </c>
      <c r="AR122" s="107">
        <v>46614</v>
      </c>
      <c r="AS122" s="107">
        <v>46614</v>
      </c>
      <c r="AT122" s="102" t="s">
        <v>2674</v>
      </c>
      <c r="AU122" s="108" t="s">
        <v>1996</v>
      </c>
      <c r="AV122" s="106"/>
      <c r="AW122" s="105"/>
      <c r="AX122" s="109" t="str">
        <f>IFERROR(IF(PAC!$X122="F01 - CAPTAÇÃO DE RECURSO",1,""),"")</f>
        <v/>
      </c>
      <c r="AY122" s="109" t="str">
        <f>IFERROR(IF(PAC!$X122="F02 - LICITAÇÃO",1,""),"")</f>
        <v/>
      </c>
      <c r="AZ122" s="110">
        <f>IFERROR(IF(PAC!$X$6:$X$581="F03 - EXECUÇÃO DO OBJETO",1,""),"")</f>
        <v>1</v>
      </c>
      <c r="BA122" s="110" t="str">
        <f>IFERROR(IF(PAC!$X$6:$X$581="F04 - CONCLUÍDA",1,""),"")</f>
        <v/>
      </c>
      <c r="BB122" s="111">
        <f>IF(PAC!$R122&gt;0,0,PAC!$Q122)</f>
        <v>0</v>
      </c>
    </row>
    <row r="123" spans="1:54" s="1" customFormat="1" ht="177" hidden="1" customHeight="1" thickBot="1">
      <c r="A123" s="112">
        <f t="shared" si="1"/>
        <v>118</v>
      </c>
      <c r="B123" s="113">
        <v>2023</v>
      </c>
      <c r="C123" s="112" t="s">
        <v>605</v>
      </c>
      <c r="D123" s="112" t="s">
        <v>1010</v>
      </c>
      <c r="E123" s="114" t="s">
        <v>1363</v>
      </c>
      <c r="F123" s="112" t="s">
        <v>53</v>
      </c>
      <c r="G123" s="112" t="s">
        <v>503</v>
      </c>
      <c r="H123" s="115" t="s">
        <v>1244</v>
      </c>
      <c r="I123" s="112" t="s">
        <v>1238</v>
      </c>
      <c r="J123" s="112" t="s">
        <v>361</v>
      </c>
      <c r="K123" s="31"/>
      <c r="L123" s="31">
        <v>990368.9</v>
      </c>
      <c r="M123" s="31">
        <v>990368.9</v>
      </c>
      <c r="N123" s="31"/>
      <c r="O123" s="31"/>
      <c r="P123" s="31"/>
      <c r="Q123" s="33">
        <f>SUM(PAC!$M123:$P123)</f>
        <v>990368.9</v>
      </c>
      <c r="R123" s="33">
        <v>1975958.15</v>
      </c>
      <c r="S123" s="33">
        <f>IF(PAC!$R123&gt;0,PAC!$R123,PAC!$Q123)</f>
        <v>1975958.15</v>
      </c>
      <c r="T123" s="33" t="s">
        <v>1587</v>
      </c>
      <c r="U123" s="116" t="s">
        <v>1570</v>
      </c>
      <c r="V123" s="116"/>
      <c r="W123" s="117">
        <v>7</v>
      </c>
      <c r="X123" s="117" t="s">
        <v>1694</v>
      </c>
      <c r="Y123" s="113" t="s">
        <v>2470</v>
      </c>
      <c r="Z123" s="118">
        <v>46614</v>
      </c>
      <c r="AA123" s="119">
        <v>2</v>
      </c>
      <c r="AB123" s="115" t="s">
        <v>1472</v>
      </c>
      <c r="AC123" s="115" t="s">
        <v>1488</v>
      </c>
      <c r="AD123" s="120"/>
      <c r="AE123" s="115" t="s">
        <v>1812</v>
      </c>
      <c r="AF123" s="115" t="s">
        <v>647</v>
      </c>
      <c r="AG123" s="115" t="s">
        <v>510</v>
      </c>
      <c r="AH123" s="115" t="s">
        <v>977</v>
      </c>
      <c r="AI123" s="115"/>
      <c r="AJ123" s="118"/>
      <c r="AK123" s="115" t="s">
        <v>1163</v>
      </c>
      <c r="AL123" s="115" t="s">
        <v>1197</v>
      </c>
      <c r="AM123" s="115"/>
      <c r="AN123" s="118">
        <v>45972</v>
      </c>
      <c r="AO123" s="118">
        <v>46002</v>
      </c>
      <c r="AP123" s="118">
        <v>46078</v>
      </c>
      <c r="AQ123" s="118">
        <v>46125</v>
      </c>
      <c r="AR123" s="121">
        <v>46614</v>
      </c>
      <c r="AS123" s="121">
        <v>46614</v>
      </c>
      <c r="AT123" s="114" t="s">
        <v>2675</v>
      </c>
      <c r="AU123" s="122" t="s">
        <v>1996</v>
      </c>
      <c r="AV123" s="120"/>
      <c r="AW123" s="119"/>
      <c r="AX123" s="194" t="str">
        <f>IFERROR(IF(PAC!$X123="F01 - CAPTAÇÃO DE RECURSO",1,""),"")</f>
        <v/>
      </c>
      <c r="AY123" s="194" t="str">
        <f>IFERROR(IF(PAC!$X123="F02 - LICITAÇÃO",1,""),"")</f>
        <v/>
      </c>
      <c r="AZ123" s="123">
        <f>IFERROR(IF(PAC!$X$6:$X$581="F03 - EXECUÇÃO DO OBJETO",1,""),"")</f>
        <v>1</v>
      </c>
      <c r="BA123" s="123" t="str">
        <f>IFERROR(IF(PAC!$X$6:$X$581="F04 - CONCLUÍDA",1,""),"")</f>
        <v/>
      </c>
      <c r="BB123" s="191">
        <f>IF(PAC!$R123&gt;0,0,PAC!$Q123)</f>
        <v>0</v>
      </c>
    </row>
    <row r="124" spans="1:54" s="1" customFormat="1" ht="173.25" hidden="1" customHeight="1" thickBot="1">
      <c r="A124" s="88">
        <f t="shared" si="1"/>
        <v>119</v>
      </c>
      <c r="B124" s="101">
        <v>2023</v>
      </c>
      <c r="C124" s="88" t="s">
        <v>605</v>
      </c>
      <c r="D124" s="88" t="s">
        <v>1010</v>
      </c>
      <c r="E124" s="102" t="s">
        <v>1364</v>
      </c>
      <c r="F124" s="88" t="s">
        <v>53</v>
      </c>
      <c r="G124" s="88" t="s">
        <v>503</v>
      </c>
      <c r="H124" s="40" t="s">
        <v>1244</v>
      </c>
      <c r="I124" s="88" t="s">
        <v>1238</v>
      </c>
      <c r="J124" s="88" t="s">
        <v>361</v>
      </c>
      <c r="K124" s="18"/>
      <c r="L124" s="18">
        <v>1387079.16</v>
      </c>
      <c r="M124" s="18">
        <v>1387079.16</v>
      </c>
      <c r="N124" s="18"/>
      <c r="O124" s="18"/>
      <c r="P124" s="18"/>
      <c r="Q124" s="20">
        <f>SUM(PAC!$M124:$P124)</f>
        <v>1387079.16</v>
      </c>
      <c r="R124" s="20">
        <v>1439328.09</v>
      </c>
      <c r="S124" s="20">
        <f>IF(PAC!$R124&gt;0,PAC!$R124,PAC!$Q124)</f>
        <v>1439328.09</v>
      </c>
      <c r="T124" s="20" t="s">
        <v>1940</v>
      </c>
      <c r="U124" s="103" t="s">
        <v>1570</v>
      </c>
      <c r="V124" s="103"/>
      <c r="W124" s="104">
        <v>7</v>
      </c>
      <c r="X124" s="104" t="s">
        <v>1694</v>
      </c>
      <c r="Y124" s="101" t="s">
        <v>2470</v>
      </c>
      <c r="Z124" s="87">
        <v>46526</v>
      </c>
      <c r="AA124" s="105">
        <v>1</v>
      </c>
      <c r="AB124" s="40" t="s">
        <v>1472</v>
      </c>
      <c r="AC124" s="40" t="s">
        <v>1488</v>
      </c>
      <c r="AD124" s="106"/>
      <c r="AE124" s="102" t="s">
        <v>1812</v>
      </c>
      <c r="AF124" s="40" t="s">
        <v>647</v>
      </c>
      <c r="AG124" s="40" t="s">
        <v>510</v>
      </c>
      <c r="AH124" s="40" t="s">
        <v>977</v>
      </c>
      <c r="AI124" s="40"/>
      <c r="AJ124" s="87"/>
      <c r="AK124" s="40" t="s">
        <v>1174</v>
      </c>
      <c r="AL124" s="40" t="s">
        <v>1198</v>
      </c>
      <c r="AM124" s="40"/>
      <c r="AN124" s="87">
        <v>45890</v>
      </c>
      <c r="AO124" s="87">
        <v>45958</v>
      </c>
      <c r="AP124" s="87">
        <v>46112</v>
      </c>
      <c r="AQ124" s="87">
        <v>46157</v>
      </c>
      <c r="AR124" s="107">
        <v>46526</v>
      </c>
      <c r="AS124" s="107">
        <v>46526</v>
      </c>
      <c r="AT124" s="102" t="s">
        <v>2646</v>
      </c>
      <c r="AU124" s="108" t="s">
        <v>2080</v>
      </c>
      <c r="AV124" s="106"/>
      <c r="AW124" s="105"/>
      <c r="AX124" s="109" t="str">
        <f>IFERROR(IF(PAC!$X124="F01 - CAPTAÇÃO DE RECURSO",1,""),"")</f>
        <v/>
      </c>
      <c r="AY124" s="109" t="str">
        <f>IFERROR(IF(PAC!$X124="F02 - LICITAÇÃO",1,""),"")</f>
        <v/>
      </c>
      <c r="AZ124" s="110">
        <f>IFERROR(IF(PAC!$X$6:$X$581="F03 - EXECUÇÃO DO OBJETO",1,""),"")</f>
        <v>1</v>
      </c>
      <c r="BA124" s="110" t="str">
        <f>IFERROR(IF(PAC!$X$6:$X$581="F04 - CONCLUÍDA",1,""),"")</f>
        <v/>
      </c>
      <c r="BB124" s="111">
        <f>IF(PAC!$R124&gt;0,0,PAC!$Q124)</f>
        <v>0</v>
      </c>
    </row>
    <row r="125" spans="1:54" s="1" customFormat="1" ht="126" hidden="1" customHeight="1" thickBot="1">
      <c r="A125" s="112">
        <f t="shared" si="1"/>
        <v>120</v>
      </c>
      <c r="B125" s="113">
        <v>2023</v>
      </c>
      <c r="C125" s="112" t="s">
        <v>605</v>
      </c>
      <c r="D125" s="112" t="s">
        <v>1010</v>
      </c>
      <c r="E125" s="114" t="s">
        <v>1365</v>
      </c>
      <c r="F125" s="112" t="s">
        <v>53</v>
      </c>
      <c r="G125" s="112" t="s">
        <v>503</v>
      </c>
      <c r="H125" s="115" t="s">
        <v>1244</v>
      </c>
      <c r="I125" s="112" t="s">
        <v>1238</v>
      </c>
      <c r="J125" s="112" t="s">
        <v>361</v>
      </c>
      <c r="K125" s="31"/>
      <c r="L125" s="31">
        <v>834216.98</v>
      </c>
      <c r="M125" s="31">
        <v>834216.98</v>
      </c>
      <c r="N125" s="31"/>
      <c r="O125" s="31"/>
      <c r="P125" s="31"/>
      <c r="Q125" s="33">
        <f>SUM(PAC!$M125:$P125)</f>
        <v>834216.98</v>
      </c>
      <c r="R125" s="33">
        <v>740439.58</v>
      </c>
      <c r="S125" s="33">
        <f>IF(PAC!$R125&gt;0,PAC!$R125,PAC!$Q125)</f>
        <v>740439.58</v>
      </c>
      <c r="T125" s="33" t="s">
        <v>1587</v>
      </c>
      <c r="U125" s="116" t="s">
        <v>1570</v>
      </c>
      <c r="V125" s="116"/>
      <c r="W125" s="117">
        <v>5</v>
      </c>
      <c r="X125" s="117" t="s">
        <v>1694</v>
      </c>
      <c r="Y125" s="113" t="s">
        <v>2470</v>
      </c>
      <c r="Z125" s="118">
        <v>46614</v>
      </c>
      <c r="AA125" s="119">
        <v>2</v>
      </c>
      <c r="AB125" s="115" t="s">
        <v>1472</v>
      </c>
      <c r="AC125" s="115" t="s">
        <v>1488</v>
      </c>
      <c r="AD125" s="120"/>
      <c r="AE125" s="115" t="s">
        <v>1812</v>
      </c>
      <c r="AF125" s="115" t="s">
        <v>647</v>
      </c>
      <c r="AG125" s="115" t="s">
        <v>510</v>
      </c>
      <c r="AH125" s="115" t="s">
        <v>977</v>
      </c>
      <c r="AI125" s="115"/>
      <c r="AJ125" s="118"/>
      <c r="AK125" s="115" t="s">
        <v>1143</v>
      </c>
      <c r="AL125" s="115" t="s">
        <v>1202</v>
      </c>
      <c r="AM125" s="115"/>
      <c r="AN125" s="118">
        <v>45972</v>
      </c>
      <c r="AO125" s="118">
        <v>46002</v>
      </c>
      <c r="AP125" s="118">
        <v>46078</v>
      </c>
      <c r="AQ125" s="118">
        <v>46125</v>
      </c>
      <c r="AR125" s="121">
        <v>46614</v>
      </c>
      <c r="AS125" s="121">
        <v>46614</v>
      </c>
      <c r="AT125" s="114" t="s">
        <v>2676</v>
      </c>
      <c r="AU125" s="122" t="s">
        <v>1996</v>
      </c>
      <c r="AV125" s="120"/>
      <c r="AW125" s="119"/>
      <c r="AX125" s="194" t="str">
        <f>IFERROR(IF(PAC!$X125="F01 - CAPTAÇÃO DE RECURSO",1,""),"")</f>
        <v/>
      </c>
      <c r="AY125" s="194" t="str">
        <f>IFERROR(IF(PAC!$X125="F02 - LICITAÇÃO",1,""),"")</f>
        <v/>
      </c>
      <c r="AZ125" s="123">
        <f>IFERROR(IF(PAC!$X$6:$X$581="F03 - EXECUÇÃO DO OBJETO",1,""),"")</f>
        <v>1</v>
      </c>
      <c r="BA125" s="123" t="str">
        <f>IFERROR(IF(PAC!$X$6:$X$581="F04 - CONCLUÍDA",1,""),"")</f>
        <v/>
      </c>
      <c r="BB125" s="191">
        <f>IF(PAC!$R125&gt;0,0,PAC!$Q125)</f>
        <v>0</v>
      </c>
    </row>
    <row r="126" spans="1:54" s="1" customFormat="1" ht="134.25" hidden="1" customHeight="1" thickBot="1">
      <c r="A126" s="88">
        <f t="shared" si="1"/>
        <v>121</v>
      </c>
      <c r="B126" s="101">
        <v>2023</v>
      </c>
      <c r="C126" s="88" t="s">
        <v>605</v>
      </c>
      <c r="D126" s="88" t="s">
        <v>1010</v>
      </c>
      <c r="E126" s="102" t="s">
        <v>1368</v>
      </c>
      <c r="F126" s="88" t="s">
        <v>53</v>
      </c>
      <c r="G126" s="88" t="s">
        <v>503</v>
      </c>
      <c r="H126" s="40" t="s">
        <v>1244</v>
      </c>
      <c r="I126" s="88" t="s">
        <v>1238</v>
      </c>
      <c r="J126" s="88" t="s">
        <v>96</v>
      </c>
      <c r="K126" s="18"/>
      <c r="L126" s="18">
        <v>1339248.8466666667</v>
      </c>
      <c r="M126" s="18">
        <v>1339248.8466666667</v>
      </c>
      <c r="N126" s="18"/>
      <c r="O126" s="18"/>
      <c r="P126" s="18"/>
      <c r="Q126" s="20">
        <f>SUM(PAC!$M126:$P126)</f>
        <v>1339248.8466666667</v>
      </c>
      <c r="R126" s="20">
        <v>2098685.44</v>
      </c>
      <c r="S126" s="20">
        <f>IF(PAC!$R126&gt;0,PAC!$R126,PAC!$Q126)</f>
        <v>2098685.44</v>
      </c>
      <c r="T126" s="20" t="s">
        <v>1875</v>
      </c>
      <c r="U126" s="103" t="s">
        <v>1570</v>
      </c>
      <c r="V126" s="103"/>
      <c r="W126" s="104">
        <v>9</v>
      </c>
      <c r="X126" s="104" t="s">
        <v>1694</v>
      </c>
      <c r="Y126" s="101" t="s">
        <v>2470</v>
      </c>
      <c r="Z126" s="87">
        <v>46548</v>
      </c>
      <c r="AA126" s="105">
        <v>2</v>
      </c>
      <c r="AB126" s="40" t="s">
        <v>1472</v>
      </c>
      <c r="AC126" s="40" t="s">
        <v>1488</v>
      </c>
      <c r="AD126" s="106"/>
      <c r="AE126" s="40" t="s">
        <v>1811</v>
      </c>
      <c r="AF126" s="40" t="s">
        <v>648</v>
      </c>
      <c r="AG126" s="40" t="s">
        <v>511</v>
      </c>
      <c r="AH126" s="40" t="s">
        <v>977</v>
      </c>
      <c r="AI126" s="40"/>
      <c r="AJ126" s="87"/>
      <c r="AK126" s="40" t="s">
        <v>1146</v>
      </c>
      <c r="AL126" s="40" t="s">
        <v>1205</v>
      </c>
      <c r="AM126" s="40"/>
      <c r="AN126" s="87">
        <v>45955</v>
      </c>
      <c r="AO126" s="87">
        <v>46035</v>
      </c>
      <c r="AP126" s="87">
        <v>46088</v>
      </c>
      <c r="AQ126" s="87">
        <v>46120</v>
      </c>
      <c r="AR126" s="107">
        <v>46548</v>
      </c>
      <c r="AS126" s="107">
        <v>46548</v>
      </c>
      <c r="AT126" s="102" t="s">
        <v>2594</v>
      </c>
      <c r="AU126" s="108" t="s">
        <v>1986</v>
      </c>
      <c r="AV126" s="106"/>
      <c r="AW126" s="105"/>
      <c r="AX126" s="109" t="str">
        <f>IFERROR(IF(PAC!$X126="F01 - CAPTAÇÃO DE RECURSO",1,""),"")</f>
        <v/>
      </c>
      <c r="AY126" s="109" t="str">
        <f>IFERROR(IF(PAC!$X126="F02 - LICITAÇÃO",1,""),"")</f>
        <v/>
      </c>
      <c r="AZ126" s="110">
        <f>IFERROR(IF(PAC!$X$6:$X$581="F03 - EXECUÇÃO DO OBJETO",1,""),"")</f>
        <v>1</v>
      </c>
      <c r="BA126" s="110" t="str">
        <f>IFERROR(IF(PAC!$X$6:$X$581="F04 - CONCLUÍDA",1,""),"")</f>
        <v/>
      </c>
      <c r="BB126" s="111">
        <f>IF(PAC!$R126&gt;0,0,PAC!$Q126)</f>
        <v>0</v>
      </c>
    </row>
    <row r="127" spans="1:54" s="1" customFormat="1" ht="119.25" hidden="1" customHeight="1" thickBot="1">
      <c r="A127" s="112">
        <f t="shared" si="1"/>
        <v>122</v>
      </c>
      <c r="B127" s="113">
        <v>2023</v>
      </c>
      <c r="C127" s="112" t="s">
        <v>605</v>
      </c>
      <c r="D127" s="112" t="s">
        <v>1010</v>
      </c>
      <c r="E127" s="114" t="s">
        <v>1369</v>
      </c>
      <c r="F127" s="112" t="s">
        <v>53</v>
      </c>
      <c r="G127" s="112" t="s">
        <v>503</v>
      </c>
      <c r="H127" s="115" t="s">
        <v>1244</v>
      </c>
      <c r="I127" s="112" t="s">
        <v>1238</v>
      </c>
      <c r="J127" s="112" t="s">
        <v>161</v>
      </c>
      <c r="K127" s="31"/>
      <c r="L127" s="31">
        <v>3435342.11</v>
      </c>
      <c r="M127" s="31">
        <v>3435342.11</v>
      </c>
      <c r="N127" s="31"/>
      <c r="O127" s="31"/>
      <c r="P127" s="31"/>
      <c r="Q127" s="33">
        <f>SUM(PAC!$M127:$P127)</f>
        <v>3435342.11</v>
      </c>
      <c r="R127" s="33">
        <v>3399775.32</v>
      </c>
      <c r="S127" s="33">
        <f>IF(PAC!$R127&gt;0,PAC!$R127,PAC!$Q127)</f>
        <v>3399775.32</v>
      </c>
      <c r="T127" s="33" t="s">
        <v>1591</v>
      </c>
      <c r="U127" s="116" t="s">
        <v>1570</v>
      </c>
      <c r="V127" s="116"/>
      <c r="W127" s="117">
        <v>10</v>
      </c>
      <c r="X127" s="117" t="s">
        <v>1694</v>
      </c>
      <c r="Y127" s="113" t="s">
        <v>2470</v>
      </c>
      <c r="Z127" s="118">
        <v>46433</v>
      </c>
      <c r="AA127" s="119">
        <v>19.510000000000002</v>
      </c>
      <c r="AB127" s="115" t="s">
        <v>1472</v>
      </c>
      <c r="AC127" s="115" t="s">
        <v>1698</v>
      </c>
      <c r="AD127" s="120">
        <v>46433</v>
      </c>
      <c r="AE127" s="115" t="s">
        <v>1811</v>
      </c>
      <c r="AF127" s="115" t="s">
        <v>648</v>
      </c>
      <c r="AG127" s="115" t="s">
        <v>511</v>
      </c>
      <c r="AH127" s="115" t="s">
        <v>977</v>
      </c>
      <c r="AI127" s="115"/>
      <c r="AJ127" s="118"/>
      <c r="AK127" s="115" t="s">
        <v>1176</v>
      </c>
      <c r="AL127" s="115" t="s">
        <v>1210</v>
      </c>
      <c r="AM127" s="115"/>
      <c r="AN127" s="118">
        <v>45882</v>
      </c>
      <c r="AO127" s="118">
        <v>45947</v>
      </c>
      <c r="AP127" s="118">
        <v>45992</v>
      </c>
      <c r="AQ127" s="118">
        <v>46002</v>
      </c>
      <c r="AR127" s="121">
        <v>46433</v>
      </c>
      <c r="AS127" s="121">
        <v>46433</v>
      </c>
      <c r="AT127" s="114" t="s">
        <v>2777</v>
      </c>
      <c r="AU127" s="122" t="s">
        <v>2001</v>
      </c>
      <c r="AV127" s="120"/>
      <c r="AW127" s="119"/>
      <c r="AX127" s="194" t="str">
        <f>IFERROR(IF(PAC!$X127="F01 - CAPTAÇÃO DE RECURSO",1,""),"")</f>
        <v/>
      </c>
      <c r="AY127" s="194" t="str">
        <f>IFERROR(IF(PAC!$X127="F02 - LICITAÇÃO",1,""),"")</f>
        <v/>
      </c>
      <c r="AZ127" s="123">
        <f>IFERROR(IF(PAC!$X$6:$X$581="F03 - EXECUÇÃO DO OBJETO",1,""),"")</f>
        <v>1</v>
      </c>
      <c r="BA127" s="123" t="str">
        <f>IFERROR(IF(PAC!$X$6:$X$581="F04 - CONCLUÍDA",1,""),"")</f>
        <v/>
      </c>
      <c r="BB127" s="191">
        <f>IF(PAC!$R127&gt;0,0,PAC!$Q127)</f>
        <v>0</v>
      </c>
    </row>
    <row r="128" spans="1:54" s="1" customFormat="1" ht="197.25" hidden="1" customHeight="1" thickBot="1">
      <c r="A128" s="88">
        <f t="shared" si="1"/>
        <v>123</v>
      </c>
      <c r="B128" s="101">
        <v>2023</v>
      </c>
      <c r="C128" s="88" t="s">
        <v>605</v>
      </c>
      <c r="D128" s="88" t="s">
        <v>1010</v>
      </c>
      <c r="E128" s="102" t="s">
        <v>1384</v>
      </c>
      <c r="F128" s="88" t="s">
        <v>53</v>
      </c>
      <c r="G128" s="88" t="s">
        <v>503</v>
      </c>
      <c r="H128" s="40" t="s">
        <v>1244</v>
      </c>
      <c r="I128" s="88" t="s">
        <v>1238</v>
      </c>
      <c r="J128" s="88" t="s">
        <v>189</v>
      </c>
      <c r="K128" s="18"/>
      <c r="L128" s="18">
        <v>1947850.57</v>
      </c>
      <c r="M128" s="18"/>
      <c r="N128" s="18">
        <v>102518.45</v>
      </c>
      <c r="O128" s="18"/>
      <c r="P128" s="18">
        <v>1947850.57</v>
      </c>
      <c r="Q128" s="20">
        <f>SUM(PAC!$M128:$P128)</f>
        <v>2050369.02</v>
      </c>
      <c r="R128" s="20">
        <v>3099609.31</v>
      </c>
      <c r="S128" s="20">
        <f>IF(PAC!$R128&gt;0,PAC!$R128,PAC!$Q128)</f>
        <v>3099609.31</v>
      </c>
      <c r="T128" s="20" t="s">
        <v>1588</v>
      </c>
      <c r="U128" s="103" t="s">
        <v>1573</v>
      </c>
      <c r="V128" s="103" t="s">
        <v>1764</v>
      </c>
      <c r="W128" s="104">
        <v>9</v>
      </c>
      <c r="X128" s="104" t="s">
        <v>1694</v>
      </c>
      <c r="Y128" s="101" t="s">
        <v>2470</v>
      </c>
      <c r="Z128" s="87">
        <v>46294</v>
      </c>
      <c r="AA128" s="105">
        <v>19.68</v>
      </c>
      <c r="AB128" s="40" t="s">
        <v>1472</v>
      </c>
      <c r="AC128" s="40" t="s">
        <v>1698</v>
      </c>
      <c r="AD128" s="106">
        <v>46294</v>
      </c>
      <c r="AE128" s="40" t="s">
        <v>1698</v>
      </c>
      <c r="AF128" s="40" t="s">
        <v>997</v>
      </c>
      <c r="AG128" s="40" t="s">
        <v>1277</v>
      </c>
      <c r="AH128" s="40"/>
      <c r="AI128" s="40"/>
      <c r="AJ128" s="87"/>
      <c r="AK128" s="40" t="s">
        <v>1219</v>
      </c>
      <c r="AL128" s="40" t="s">
        <v>1271</v>
      </c>
      <c r="AM128" s="40"/>
      <c r="AN128" s="87">
        <v>45874</v>
      </c>
      <c r="AO128" s="87">
        <v>45940</v>
      </c>
      <c r="AP128" s="87">
        <v>45969</v>
      </c>
      <c r="AQ128" s="87">
        <v>46013</v>
      </c>
      <c r="AR128" s="107">
        <v>46294</v>
      </c>
      <c r="AS128" s="107">
        <v>46294</v>
      </c>
      <c r="AT128" s="102" t="s">
        <v>2744</v>
      </c>
      <c r="AU128" s="108" t="s">
        <v>1999</v>
      </c>
      <c r="AV128" s="106"/>
      <c r="AW128" s="105"/>
      <c r="AX128" s="109" t="str">
        <f>IFERROR(IF(PAC!$X128="F01 - CAPTAÇÃO DE RECURSO",1,""),"")</f>
        <v/>
      </c>
      <c r="AY128" s="109" t="str">
        <f>IFERROR(IF(PAC!$X128="F02 - LICITAÇÃO",1,""),"")</f>
        <v/>
      </c>
      <c r="AZ128" s="110">
        <f>IFERROR(IF(PAC!$X$6:$X$581="F03 - EXECUÇÃO DO OBJETO",1,""),"")</f>
        <v>1</v>
      </c>
      <c r="BA128" s="110" t="str">
        <f>IFERROR(IF(PAC!$X$6:$X$581="F04 - CONCLUÍDA",1,""),"")</f>
        <v/>
      </c>
      <c r="BB128" s="111">
        <f>IF(PAC!$R128&gt;0,0,PAC!$Q128)</f>
        <v>0</v>
      </c>
    </row>
    <row r="129" spans="1:54" s="1" customFormat="1" ht="164.25" hidden="1" customHeight="1" thickBot="1">
      <c r="A129" s="112">
        <f t="shared" si="1"/>
        <v>124</v>
      </c>
      <c r="B129" s="113">
        <v>2023</v>
      </c>
      <c r="C129" s="112" t="s">
        <v>605</v>
      </c>
      <c r="D129" s="112" t="s">
        <v>1010</v>
      </c>
      <c r="E129" s="114" t="s">
        <v>1370</v>
      </c>
      <c r="F129" s="112" t="s">
        <v>53</v>
      </c>
      <c r="G129" s="112" t="s">
        <v>503</v>
      </c>
      <c r="H129" s="115" t="s">
        <v>1244</v>
      </c>
      <c r="I129" s="112" t="s">
        <v>1238</v>
      </c>
      <c r="J129" s="112" t="s">
        <v>189</v>
      </c>
      <c r="K129" s="31"/>
      <c r="L129" s="31">
        <v>1644167.1125</v>
      </c>
      <c r="M129" s="31">
        <v>1644167.1125</v>
      </c>
      <c r="N129" s="31"/>
      <c r="O129" s="31"/>
      <c r="P129" s="31"/>
      <c r="Q129" s="33">
        <f>SUM(PAC!$M129:$P129)</f>
        <v>1644167.1125</v>
      </c>
      <c r="R129" s="33">
        <v>1928710.93</v>
      </c>
      <c r="S129" s="33">
        <f>IF(PAC!$R129&gt;0,PAC!$R129,PAC!$Q129)</f>
        <v>1928710.93</v>
      </c>
      <c r="T129" s="33" t="s">
        <v>1875</v>
      </c>
      <c r="U129" s="116" t="s">
        <v>1570</v>
      </c>
      <c r="V129" s="116"/>
      <c r="W129" s="117">
        <v>10</v>
      </c>
      <c r="X129" s="117" t="s">
        <v>1694</v>
      </c>
      <c r="Y129" s="113" t="s">
        <v>2470</v>
      </c>
      <c r="Z129" s="118">
        <v>46548</v>
      </c>
      <c r="AA129" s="119">
        <v>15</v>
      </c>
      <c r="AB129" s="115" t="s">
        <v>1472</v>
      </c>
      <c r="AC129" s="115" t="s">
        <v>1698</v>
      </c>
      <c r="AD129" s="120">
        <v>46548</v>
      </c>
      <c r="AE129" s="115" t="s">
        <v>1975</v>
      </c>
      <c r="AF129" s="115" t="s">
        <v>648</v>
      </c>
      <c r="AG129" s="115" t="s">
        <v>1792</v>
      </c>
      <c r="AH129" s="115" t="s">
        <v>977</v>
      </c>
      <c r="AI129" s="115"/>
      <c r="AJ129" s="118"/>
      <c r="AK129" s="115" t="s">
        <v>1167</v>
      </c>
      <c r="AL129" s="115" t="s">
        <v>1209</v>
      </c>
      <c r="AM129" s="115"/>
      <c r="AN129" s="118">
        <v>45955</v>
      </c>
      <c r="AO129" s="118">
        <v>46035</v>
      </c>
      <c r="AP129" s="118">
        <v>46088</v>
      </c>
      <c r="AQ129" s="118">
        <v>46120</v>
      </c>
      <c r="AR129" s="121">
        <v>46548</v>
      </c>
      <c r="AS129" s="121">
        <v>46548</v>
      </c>
      <c r="AT129" s="114" t="s">
        <v>2595</v>
      </c>
      <c r="AU129" s="122" t="s">
        <v>1986</v>
      </c>
      <c r="AV129" s="120"/>
      <c r="AW129" s="119"/>
      <c r="AX129" s="194" t="str">
        <f>IFERROR(IF(PAC!$X129="F01 - CAPTAÇÃO DE RECURSO",1,""),"")</f>
        <v/>
      </c>
      <c r="AY129" s="194" t="str">
        <f>IFERROR(IF(PAC!$X129="F02 - LICITAÇÃO",1,""),"")</f>
        <v/>
      </c>
      <c r="AZ129" s="123">
        <f>IFERROR(IF(PAC!$X$6:$X$581="F03 - EXECUÇÃO DO OBJETO",1,""),"")</f>
        <v>1</v>
      </c>
      <c r="BA129" s="123" t="str">
        <f>IFERROR(IF(PAC!$X$6:$X$581="F04 - CONCLUÍDA",1,""),"")</f>
        <v/>
      </c>
      <c r="BB129" s="191">
        <f>IF(PAC!$R129&gt;0,0,PAC!$Q129)</f>
        <v>0</v>
      </c>
    </row>
    <row r="130" spans="1:54" s="1" customFormat="1" ht="162" hidden="1" customHeight="1" thickBot="1">
      <c r="A130" s="88">
        <f t="shared" si="1"/>
        <v>125</v>
      </c>
      <c r="B130" s="101">
        <v>2023</v>
      </c>
      <c r="C130" s="88" t="s">
        <v>605</v>
      </c>
      <c r="D130" s="88" t="s">
        <v>1010</v>
      </c>
      <c r="E130" s="102" t="s">
        <v>1385</v>
      </c>
      <c r="F130" s="88" t="s">
        <v>53</v>
      </c>
      <c r="G130" s="88" t="s">
        <v>503</v>
      </c>
      <c r="H130" s="40" t="s">
        <v>1244</v>
      </c>
      <c r="I130" s="88" t="s">
        <v>1238</v>
      </c>
      <c r="J130" s="88" t="s">
        <v>202</v>
      </c>
      <c r="K130" s="18"/>
      <c r="L130" s="18">
        <v>580882.81000000006</v>
      </c>
      <c r="M130" s="18"/>
      <c r="N130" s="18">
        <v>30572.77</v>
      </c>
      <c r="O130" s="18"/>
      <c r="P130" s="18">
        <v>580882.81000000006</v>
      </c>
      <c r="Q130" s="20">
        <f>SUM(PAC!$M130:$P130)</f>
        <v>611455.58000000007</v>
      </c>
      <c r="R130" s="20">
        <v>749278.33</v>
      </c>
      <c r="S130" s="20">
        <f>IF(PAC!$R130&gt;0,PAC!$R130,PAC!$Q130)</f>
        <v>749278.33</v>
      </c>
      <c r="T130" s="20" t="s">
        <v>1588</v>
      </c>
      <c r="U130" s="103" t="s">
        <v>1573</v>
      </c>
      <c r="V130" s="103" t="s">
        <v>1764</v>
      </c>
      <c r="W130" s="104">
        <v>7</v>
      </c>
      <c r="X130" s="104" t="s">
        <v>1694</v>
      </c>
      <c r="Y130" s="101" t="s">
        <v>2470</v>
      </c>
      <c r="Z130" s="87">
        <v>46294</v>
      </c>
      <c r="AA130" s="105">
        <v>9</v>
      </c>
      <c r="AB130" s="40" t="s">
        <v>1472</v>
      </c>
      <c r="AC130" s="40" t="s">
        <v>1698</v>
      </c>
      <c r="AD130" s="106">
        <v>46294</v>
      </c>
      <c r="AE130" s="40" t="s">
        <v>1985</v>
      </c>
      <c r="AF130" s="40" t="s">
        <v>997</v>
      </c>
      <c r="AG130" s="40" t="s">
        <v>1277</v>
      </c>
      <c r="AH130" s="40"/>
      <c r="AI130" s="40"/>
      <c r="AJ130" s="87"/>
      <c r="AK130" s="40" t="s">
        <v>1179</v>
      </c>
      <c r="AL130" s="40" t="s">
        <v>1272</v>
      </c>
      <c r="AM130" s="40"/>
      <c r="AN130" s="87">
        <v>45874</v>
      </c>
      <c r="AO130" s="87">
        <v>45940</v>
      </c>
      <c r="AP130" s="87">
        <v>45969</v>
      </c>
      <c r="AQ130" s="87">
        <v>46013</v>
      </c>
      <c r="AR130" s="107">
        <v>46294</v>
      </c>
      <c r="AS130" s="107">
        <v>46294</v>
      </c>
      <c r="AT130" s="102" t="s">
        <v>2745</v>
      </c>
      <c r="AU130" s="108" t="s">
        <v>2000</v>
      </c>
      <c r="AV130" s="106"/>
      <c r="AW130" s="105"/>
      <c r="AX130" s="109" t="str">
        <f>IFERROR(IF(PAC!$X130="F01 - CAPTAÇÃO DE RECURSO",1,""),"")</f>
        <v/>
      </c>
      <c r="AY130" s="109" t="str">
        <f>IFERROR(IF(PAC!$X130="F02 - LICITAÇÃO",1,""),"")</f>
        <v/>
      </c>
      <c r="AZ130" s="110">
        <f>IFERROR(IF(PAC!$X$6:$X$581="F03 - EXECUÇÃO DO OBJETO",1,""),"")</f>
        <v>1</v>
      </c>
      <c r="BA130" s="110" t="str">
        <f>IFERROR(IF(PAC!$X$6:$X$581="F04 - CONCLUÍDA",1,""),"")</f>
        <v/>
      </c>
      <c r="BB130" s="111">
        <f>IF(PAC!$R130&gt;0,0,PAC!$Q130)</f>
        <v>0</v>
      </c>
    </row>
    <row r="131" spans="1:54" s="1" customFormat="1" ht="105" hidden="1" customHeight="1" thickBot="1">
      <c r="A131" s="112">
        <f t="shared" si="1"/>
        <v>126</v>
      </c>
      <c r="B131" s="113">
        <v>2023</v>
      </c>
      <c r="C131" s="112" t="s">
        <v>605</v>
      </c>
      <c r="D131" s="112" t="s">
        <v>1010</v>
      </c>
      <c r="E131" s="114" t="s">
        <v>1371</v>
      </c>
      <c r="F131" s="112" t="s">
        <v>53</v>
      </c>
      <c r="G131" s="112" t="s">
        <v>503</v>
      </c>
      <c r="H131" s="115" t="s">
        <v>1244</v>
      </c>
      <c r="I131" s="112" t="s">
        <v>1238</v>
      </c>
      <c r="J131" s="112" t="s">
        <v>203</v>
      </c>
      <c r="K131" s="31"/>
      <c r="L131" s="31">
        <v>1280516.0325</v>
      </c>
      <c r="M131" s="31">
        <v>1280516.0325</v>
      </c>
      <c r="N131" s="31"/>
      <c r="O131" s="31"/>
      <c r="P131" s="31"/>
      <c r="Q131" s="33">
        <f>SUM(PAC!$M131:$P131)</f>
        <v>1280516.0325</v>
      </c>
      <c r="R131" s="33">
        <v>1130830.6200000001</v>
      </c>
      <c r="S131" s="33">
        <f>IF(PAC!$R131&gt;0,PAC!$R131,PAC!$Q131)</f>
        <v>1130830.6200000001</v>
      </c>
      <c r="T131" s="33" t="s">
        <v>1591</v>
      </c>
      <c r="U131" s="116" t="s">
        <v>1570</v>
      </c>
      <c r="V131" s="116"/>
      <c r="W131" s="117">
        <v>7</v>
      </c>
      <c r="X131" s="117" t="s">
        <v>1694</v>
      </c>
      <c r="Y131" s="113" t="s">
        <v>2470</v>
      </c>
      <c r="Z131" s="118">
        <v>46433</v>
      </c>
      <c r="AA131" s="119">
        <v>11</v>
      </c>
      <c r="AB131" s="115" t="s">
        <v>1472</v>
      </c>
      <c r="AC131" s="115" t="s">
        <v>1698</v>
      </c>
      <c r="AD131" s="120">
        <v>46433</v>
      </c>
      <c r="AE131" s="115" t="s">
        <v>1811</v>
      </c>
      <c r="AF131" s="115" t="s">
        <v>648</v>
      </c>
      <c r="AG131" s="115" t="s">
        <v>511</v>
      </c>
      <c r="AH131" s="115" t="s">
        <v>977</v>
      </c>
      <c r="AI131" s="115"/>
      <c r="AJ131" s="118"/>
      <c r="AK131" s="115" t="s">
        <v>1166</v>
      </c>
      <c r="AL131" s="115" t="s">
        <v>1208</v>
      </c>
      <c r="AM131" s="115"/>
      <c r="AN131" s="118">
        <v>45882</v>
      </c>
      <c r="AO131" s="118">
        <v>45947</v>
      </c>
      <c r="AP131" s="118">
        <v>45992</v>
      </c>
      <c r="AQ131" s="118">
        <v>46002</v>
      </c>
      <c r="AR131" s="121">
        <v>46433</v>
      </c>
      <c r="AS131" s="121">
        <v>46433</v>
      </c>
      <c r="AT131" s="114" t="s">
        <v>2778</v>
      </c>
      <c r="AU131" s="122" t="s">
        <v>2002</v>
      </c>
      <c r="AV131" s="120"/>
      <c r="AW131" s="119"/>
      <c r="AX131" s="194" t="str">
        <f>IFERROR(IF(PAC!$X131="F01 - CAPTAÇÃO DE RECURSO",1,""),"")</f>
        <v/>
      </c>
      <c r="AY131" s="194" t="str">
        <f>IFERROR(IF(PAC!$X131="F02 - LICITAÇÃO",1,""),"")</f>
        <v/>
      </c>
      <c r="AZ131" s="123">
        <f>IFERROR(IF(PAC!$X$6:$X$581="F03 - EXECUÇÃO DO OBJETO",1,""),"")</f>
        <v>1</v>
      </c>
      <c r="BA131" s="123" t="str">
        <f>IFERROR(IF(PAC!$X$6:$X$581="F04 - CONCLUÍDA",1,""),"")</f>
        <v/>
      </c>
      <c r="BB131" s="191">
        <f>IF(PAC!$R131&gt;0,0,PAC!$Q131)</f>
        <v>0</v>
      </c>
    </row>
    <row r="132" spans="1:54" s="1" customFormat="1" ht="409.5" hidden="1" customHeight="1" thickBot="1">
      <c r="A132" s="88">
        <f t="shared" si="1"/>
        <v>127</v>
      </c>
      <c r="B132" s="101">
        <v>2023</v>
      </c>
      <c r="C132" s="88" t="s">
        <v>605</v>
      </c>
      <c r="D132" s="88" t="s">
        <v>1010</v>
      </c>
      <c r="E132" s="102" t="s">
        <v>1372</v>
      </c>
      <c r="F132" s="88" t="s">
        <v>53</v>
      </c>
      <c r="G132" s="88" t="s">
        <v>503</v>
      </c>
      <c r="H132" s="40" t="s">
        <v>1244</v>
      </c>
      <c r="I132" s="88" t="s">
        <v>1238</v>
      </c>
      <c r="J132" s="88" t="s">
        <v>211</v>
      </c>
      <c r="K132" s="18"/>
      <c r="L132" s="18">
        <v>1264689.825</v>
      </c>
      <c r="M132" s="18">
        <v>1264689.825</v>
      </c>
      <c r="N132" s="18"/>
      <c r="O132" s="18"/>
      <c r="P132" s="18"/>
      <c r="Q132" s="20">
        <f>SUM(PAC!$M132:$P132)</f>
        <v>1264689.825</v>
      </c>
      <c r="R132" s="20">
        <v>1831635.29</v>
      </c>
      <c r="S132" s="20">
        <f>IF(PAC!$R132&gt;0,PAC!$R132,PAC!$Q132)</f>
        <v>1831635.29</v>
      </c>
      <c r="T132" s="20" t="s">
        <v>1860</v>
      </c>
      <c r="U132" s="103" t="s">
        <v>1570</v>
      </c>
      <c r="V132" s="103"/>
      <c r="W132" s="104">
        <v>8</v>
      </c>
      <c r="X132" s="104" t="s">
        <v>1694</v>
      </c>
      <c r="Y132" s="101" t="s">
        <v>2470</v>
      </c>
      <c r="Z132" s="87">
        <v>46632</v>
      </c>
      <c r="AA132" s="105">
        <v>3</v>
      </c>
      <c r="AB132" s="40" t="s">
        <v>1472</v>
      </c>
      <c r="AC132" s="40" t="s">
        <v>1488</v>
      </c>
      <c r="AD132" s="106"/>
      <c r="AE132" s="40" t="s">
        <v>1812</v>
      </c>
      <c r="AF132" s="40" t="s">
        <v>648</v>
      </c>
      <c r="AG132" s="40" t="s">
        <v>511</v>
      </c>
      <c r="AH132" s="40" t="s">
        <v>977</v>
      </c>
      <c r="AI132" s="40"/>
      <c r="AJ132" s="87"/>
      <c r="AK132" s="40" t="s">
        <v>1168</v>
      </c>
      <c r="AL132" s="40" t="s">
        <v>1211</v>
      </c>
      <c r="AM132" s="40"/>
      <c r="AN132" s="87">
        <v>45955</v>
      </c>
      <c r="AO132" s="87">
        <v>46035</v>
      </c>
      <c r="AP132" s="87">
        <v>46063</v>
      </c>
      <c r="AQ132" s="87">
        <v>46112</v>
      </c>
      <c r="AR132" s="107">
        <v>46632</v>
      </c>
      <c r="AS132" s="107">
        <v>46632</v>
      </c>
      <c r="AT132" s="102" t="s">
        <v>2596</v>
      </c>
      <c r="AU132" s="108" t="s">
        <v>1993</v>
      </c>
      <c r="AV132" s="106"/>
      <c r="AW132" s="105"/>
      <c r="AX132" s="109" t="str">
        <f>IFERROR(IF(PAC!$X132="F01 - CAPTAÇÃO DE RECURSO",1,""),"")</f>
        <v/>
      </c>
      <c r="AY132" s="109" t="str">
        <f>IFERROR(IF(PAC!$X132="F02 - LICITAÇÃO",1,""),"")</f>
        <v/>
      </c>
      <c r="AZ132" s="110">
        <f>IFERROR(IF(PAC!$X$6:$X$581="F03 - EXECUÇÃO DO OBJETO",1,""),"")</f>
        <v>1</v>
      </c>
      <c r="BA132" s="110" t="str">
        <f>IFERROR(IF(PAC!$X$6:$X$581="F04 - CONCLUÍDA",1,""),"")</f>
        <v/>
      </c>
      <c r="BB132" s="111">
        <f>IF(PAC!$R132&gt;0,0,PAC!$Q132)</f>
        <v>0</v>
      </c>
    </row>
    <row r="133" spans="1:54" s="1" customFormat="1" ht="189.75" hidden="1" customHeight="1" thickBot="1">
      <c r="A133" s="112">
        <f t="shared" ref="A133:A196" si="2">ROW()-5</f>
        <v>128</v>
      </c>
      <c r="B133" s="113">
        <v>2023</v>
      </c>
      <c r="C133" s="112" t="s">
        <v>605</v>
      </c>
      <c r="D133" s="112" t="s">
        <v>1010</v>
      </c>
      <c r="E133" s="114" t="s">
        <v>1373</v>
      </c>
      <c r="F133" s="112" t="s">
        <v>53</v>
      </c>
      <c r="G133" s="112" t="s">
        <v>503</v>
      </c>
      <c r="H133" s="115" t="s">
        <v>1244</v>
      </c>
      <c r="I133" s="112" t="s">
        <v>1238</v>
      </c>
      <c r="J133" s="112" t="s">
        <v>256</v>
      </c>
      <c r="K133" s="31"/>
      <c r="L133" s="31">
        <v>3005466</v>
      </c>
      <c r="M133" s="31">
        <v>3005466</v>
      </c>
      <c r="N133" s="31"/>
      <c r="O133" s="31"/>
      <c r="P133" s="31"/>
      <c r="Q133" s="33">
        <f>SUM(PAC!$M133:$P133)</f>
        <v>3005466</v>
      </c>
      <c r="R133" s="33">
        <v>4947133.43</v>
      </c>
      <c r="S133" s="33">
        <f>IF(PAC!$R133&gt;0,PAC!$R133,PAC!$Q133)</f>
        <v>4947133.43</v>
      </c>
      <c r="T133" s="33" t="s">
        <v>1590</v>
      </c>
      <c r="U133" s="116" t="s">
        <v>1570</v>
      </c>
      <c r="V133" s="116"/>
      <c r="W133" s="117">
        <v>14</v>
      </c>
      <c r="X133" s="117" t="s">
        <v>1694</v>
      </c>
      <c r="Y133" s="113" t="s">
        <v>2470</v>
      </c>
      <c r="Z133" s="118">
        <v>46433</v>
      </c>
      <c r="AA133" s="119">
        <v>29</v>
      </c>
      <c r="AB133" s="115" t="s">
        <v>1472</v>
      </c>
      <c r="AC133" s="115" t="s">
        <v>1698</v>
      </c>
      <c r="AD133" s="120">
        <v>46433</v>
      </c>
      <c r="AE133" s="115" t="s">
        <v>1420</v>
      </c>
      <c r="AF133" s="115" t="s">
        <v>648</v>
      </c>
      <c r="AG133" s="115" t="s">
        <v>511</v>
      </c>
      <c r="AH133" s="115" t="s">
        <v>977</v>
      </c>
      <c r="AI133" s="115"/>
      <c r="AJ133" s="118"/>
      <c r="AK133" s="115" t="s">
        <v>1169</v>
      </c>
      <c r="AL133" s="115" t="s">
        <v>1273</v>
      </c>
      <c r="AM133" s="115"/>
      <c r="AN133" s="118">
        <v>45882</v>
      </c>
      <c r="AO133" s="118">
        <v>45947</v>
      </c>
      <c r="AP133" s="118">
        <v>45992</v>
      </c>
      <c r="AQ133" s="118">
        <v>46002</v>
      </c>
      <c r="AR133" s="121">
        <v>46433</v>
      </c>
      <c r="AS133" s="121">
        <v>46433</v>
      </c>
      <c r="AT133" s="114" t="s">
        <v>2779</v>
      </c>
      <c r="AU133" s="122" t="s">
        <v>1736</v>
      </c>
      <c r="AV133" s="120"/>
      <c r="AW133" s="119"/>
      <c r="AX133" s="194" t="str">
        <f>IFERROR(IF(PAC!$X133="F01 - CAPTAÇÃO DE RECURSO",1,""),"")</f>
        <v/>
      </c>
      <c r="AY133" s="194" t="str">
        <f>IFERROR(IF(PAC!$X133="F02 - LICITAÇÃO",1,""),"")</f>
        <v/>
      </c>
      <c r="AZ133" s="123">
        <f>IFERROR(IF(PAC!$X$6:$X$581="F03 - EXECUÇÃO DO OBJETO",1,""),"")</f>
        <v>1</v>
      </c>
      <c r="BA133" s="123" t="str">
        <f>IFERROR(IF(PAC!$X$6:$X$581="F04 - CONCLUÍDA",1,""),"")</f>
        <v/>
      </c>
      <c r="BB133" s="191">
        <f>IF(PAC!$R133&gt;0,0,PAC!$Q133)</f>
        <v>0</v>
      </c>
    </row>
    <row r="134" spans="1:54" s="1" customFormat="1" ht="409.5" hidden="1" customHeight="1" thickBot="1">
      <c r="A134" s="88">
        <f t="shared" si="2"/>
        <v>129</v>
      </c>
      <c r="B134" s="101">
        <v>2023</v>
      </c>
      <c r="C134" s="88" t="s">
        <v>605</v>
      </c>
      <c r="D134" s="88" t="s">
        <v>1010</v>
      </c>
      <c r="E134" s="102" t="s">
        <v>1374</v>
      </c>
      <c r="F134" s="88" t="s">
        <v>53</v>
      </c>
      <c r="G134" s="88" t="s">
        <v>503</v>
      </c>
      <c r="H134" s="40" t="s">
        <v>1244</v>
      </c>
      <c r="I134" s="88" t="s">
        <v>1238</v>
      </c>
      <c r="J134" s="88" t="s">
        <v>280</v>
      </c>
      <c r="K134" s="18"/>
      <c r="L134" s="18">
        <v>8108233.46</v>
      </c>
      <c r="M134" s="18">
        <v>8108233.46</v>
      </c>
      <c r="N134" s="18"/>
      <c r="O134" s="18"/>
      <c r="P134" s="18"/>
      <c r="Q134" s="20">
        <f>SUM(PAC!$M134:$P134)</f>
        <v>8108233.46</v>
      </c>
      <c r="R134" s="20">
        <v>5999749.6900000004</v>
      </c>
      <c r="S134" s="20">
        <f>IF(PAC!$R134&gt;0,PAC!$R134,PAC!$Q134)</f>
        <v>5999749.6900000004</v>
      </c>
      <c r="T134" s="20" t="s">
        <v>1860</v>
      </c>
      <c r="U134" s="103" t="s">
        <v>1570</v>
      </c>
      <c r="V134" s="103"/>
      <c r="W134" s="104">
        <v>17</v>
      </c>
      <c r="X134" s="104" t="s">
        <v>1694</v>
      </c>
      <c r="Y134" s="101" t="s">
        <v>2470</v>
      </c>
      <c r="Z134" s="87">
        <v>46632</v>
      </c>
      <c r="AA134" s="105">
        <v>75</v>
      </c>
      <c r="AB134" s="40" t="s">
        <v>1472</v>
      </c>
      <c r="AC134" s="40" t="s">
        <v>1698</v>
      </c>
      <c r="AD134" s="106">
        <v>46632</v>
      </c>
      <c r="AE134" s="40" t="s">
        <v>1812</v>
      </c>
      <c r="AF134" s="40" t="s">
        <v>648</v>
      </c>
      <c r="AG134" s="40" t="s">
        <v>511</v>
      </c>
      <c r="AH134" s="40" t="s">
        <v>977</v>
      </c>
      <c r="AI134" s="40"/>
      <c r="AJ134" s="87"/>
      <c r="AK134" s="40" t="s">
        <v>1145</v>
      </c>
      <c r="AL134" s="40" t="s">
        <v>1207</v>
      </c>
      <c r="AM134" s="40"/>
      <c r="AN134" s="87">
        <v>45955</v>
      </c>
      <c r="AO134" s="87">
        <v>46035</v>
      </c>
      <c r="AP134" s="87">
        <v>46063</v>
      </c>
      <c r="AQ134" s="87">
        <v>46112</v>
      </c>
      <c r="AR134" s="107">
        <v>46632</v>
      </c>
      <c r="AS134" s="107">
        <v>46632</v>
      </c>
      <c r="AT134" s="102" t="s">
        <v>2597</v>
      </c>
      <c r="AU134" s="108" t="s">
        <v>1994</v>
      </c>
      <c r="AV134" s="106"/>
      <c r="AW134" s="105"/>
      <c r="AX134" s="109" t="str">
        <f>IFERROR(IF(PAC!$X134="F01 - CAPTAÇÃO DE RECURSO",1,""),"")</f>
        <v/>
      </c>
      <c r="AY134" s="109" t="str">
        <f>IFERROR(IF(PAC!$X134="F02 - LICITAÇÃO",1,""),"")</f>
        <v/>
      </c>
      <c r="AZ134" s="110">
        <f>IFERROR(IF(PAC!$X$6:$X$581="F03 - EXECUÇÃO DO OBJETO",1,""),"")</f>
        <v>1</v>
      </c>
      <c r="BA134" s="110" t="str">
        <f>IFERROR(IF(PAC!$X$6:$X$581="F04 - CONCLUÍDA",1,""),"")</f>
        <v/>
      </c>
      <c r="BB134" s="111">
        <f>IF(PAC!$R134&gt;0,0,PAC!$Q134)</f>
        <v>0</v>
      </c>
    </row>
    <row r="135" spans="1:54" s="1" customFormat="1" ht="358.5" hidden="1" customHeight="1" thickBot="1">
      <c r="A135" s="112">
        <f t="shared" si="2"/>
        <v>130</v>
      </c>
      <c r="B135" s="113">
        <v>2023</v>
      </c>
      <c r="C135" s="112" t="s">
        <v>605</v>
      </c>
      <c r="D135" s="112" t="s">
        <v>1010</v>
      </c>
      <c r="E135" s="114" t="s">
        <v>1375</v>
      </c>
      <c r="F135" s="112" t="s">
        <v>53</v>
      </c>
      <c r="G135" s="112" t="s">
        <v>503</v>
      </c>
      <c r="H135" s="115" t="s">
        <v>1244</v>
      </c>
      <c r="I135" s="112" t="s">
        <v>1238</v>
      </c>
      <c r="J135" s="112" t="s">
        <v>415</v>
      </c>
      <c r="K135" s="31"/>
      <c r="L135" s="31">
        <v>4635019.0999999996</v>
      </c>
      <c r="M135" s="31">
        <v>4635019.0999999996</v>
      </c>
      <c r="N135" s="31"/>
      <c r="O135" s="31"/>
      <c r="P135" s="31"/>
      <c r="Q135" s="33">
        <f>SUM(PAC!$M135:$P135)</f>
        <v>4635019.0999999996</v>
      </c>
      <c r="R135" s="33">
        <v>4255156.09</v>
      </c>
      <c r="S135" s="33">
        <f>IF(PAC!$R135&gt;0,PAC!$R135,PAC!$Q135)</f>
        <v>4255156.09</v>
      </c>
      <c r="T135" s="33" t="s">
        <v>1591</v>
      </c>
      <c r="U135" s="116" t="s">
        <v>1570</v>
      </c>
      <c r="V135" s="116"/>
      <c r="W135" s="117">
        <v>14</v>
      </c>
      <c r="X135" s="117" t="s">
        <v>1694</v>
      </c>
      <c r="Y135" s="113" t="s">
        <v>2470</v>
      </c>
      <c r="Z135" s="118">
        <v>46433</v>
      </c>
      <c r="AA135" s="119">
        <v>6</v>
      </c>
      <c r="AB135" s="115" t="s">
        <v>1472</v>
      </c>
      <c r="AC135" s="115" t="s">
        <v>1698</v>
      </c>
      <c r="AD135" s="120">
        <v>46433</v>
      </c>
      <c r="AE135" s="115" t="s">
        <v>1811</v>
      </c>
      <c r="AF135" s="115" t="s">
        <v>648</v>
      </c>
      <c r="AG135" s="115" t="s">
        <v>511</v>
      </c>
      <c r="AH135" s="115" t="s">
        <v>977</v>
      </c>
      <c r="AI135" s="115"/>
      <c r="AJ135" s="118"/>
      <c r="AK135" s="115" t="s">
        <v>1126</v>
      </c>
      <c r="AL135" s="115" t="s">
        <v>1203</v>
      </c>
      <c r="AM135" s="115"/>
      <c r="AN135" s="118">
        <v>45882</v>
      </c>
      <c r="AO135" s="118">
        <v>45947</v>
      </c>
      <c r="AP135" s="118">
        <v>45992</v>
      </c>
      <c r="AQ135" s="118">
        <v>46002</v>
      </c>
      <c r="AR135" s="121">
        <v>46433</v>
      </c>
      <c r="AS135" s="121">
        <v>46433</v>
      </c>
      <c r="AT135" s="114" t="s">
        <v>2780</v>
      </c>
      <c r="AU135" s="122" t="s">
        <v>2001</v>
      </c>
      <c r="AV135" s="120"/>
      <c r="AW135" s="119"/>
      <c r="AX135" s="194" t="str">
        <f>IFERROR(IF(PAC!$X135="F01 - CAPTAÇÃO DE RECURSO",1,""),"")</f>
        <v/>
      </c>
      <c r="AY135" s="194" t="str">
        <f>IFERROR(IF(PAC!$X135="F02 - LICITAÇÃO",1,""),"")</f>
        <v/>
      </c>
      <c r="AZ135" s="123">
        <f>IFERROR(IF(PAC!$X$6:$X$581="F03 - EXECUÇÃO DO OBJETO",1,""),"")</f>
        <v>1</v>
      </c>
      <c r="BA135" s="123" t="str">
        <f>IFERROR(IF(PAC!$X$6:$X$581="F04 - CONCLUÍDA",1,""),"")</f>
        <v/>
      </c>
      <c r="BB135" s="191">
        <f>IF(PAC!$R135&gt;0,0,PAC!$Q135)</f>
        <v>0</v>
      </c>
    </row>
    <row r="136" spans="1:54" s="1" customFormat="1" ht="409.5" hidden="1" customHeight="1" thickBot="1">
      <c r="A136" s="88">
        <f t="shared" si="2"/>
        <v>131</v>
      </c>
      <c r="B136" s="101">
        <v>2023</v>
      </c>
      <c r="C136" s="88" t="s">
        <v>605</v>
      </c>
      <c r="D136" s="88" t="s">
        <v>1010</v>
      </c>
      <c r="E136" s="102" t="s">
        <v>1376</v>
      </c>
      <c r="F136" s="88" t="s">
        <v>53</v>
      </c>
      <c r="G136" s="88" t="s">
        <v>503</v>
      </c>
      <c r="H136" s="40" t="s">
        <v>1244</v>
      </c>
      <c r="I136" s="88" t="s">
        <v>1238</v>
      </c>
      <c r="J136" s="88" t="s">
        <v>421</v>
      </c>
      <c r="K136" s="18"/>
      <c r="L136" s="18">
        <v>1685877.9620000001</v>
      </c>
      <c r="M136" s="18">
        <v>1685877.9620000001</v>
      </c>
      <c r="N136" s="18"/>
      <c r="O136" s="18"/>
      <c r="P136" s="18"/>
      <c r="Q136" s="20">
        <f>SUM(PAC!$M136:$P136)</f>
        <v>1685877.9620000001</v>
      </c>
      <c r="R136" s="20">
        <v>891516.32</v>
      </c>
      <c r="S136" s="20">
        <f>IF(PAC!$R136&gt;0,PAC!$R136,PAC!$Q136)</f>
        <v>891516.32</v>
      </c>
      <c r="T136" s="20" t="s">
        <v>1875</v>
      </c>
      <c r="U136" s="103" t="s">
        <v>1570</v>
      </c>
      <c r="V136" s="103"/>
      <c r="W136" s="104">
        <v>14</v>
      </c>
      <c r="X136" s="104" t="s">
        <v>1694</v>
      </c>
      <c r="Y136" s="101" t="s">
        <v>2470</v>
      </c>
      <c r="Z136" s="87">
        <v>46548</v>
      </c>
      <c r="AA136" s="105">
        <v>3</v>
      </c>
      <c r="AB136" s="40" t="s">
        <v>1472</v>
      </c>
      <c r="AC136" s="40" t="s">
        <v>1488</v>
      </c>
      <c r="AD136" s="106"/>
      <c r="AE136" s="40" t="s">
        <v>1812</v>
      </c>
      <c r="AF136" s="40" t="s">
        <v>648</v>
      </c>
      <c r="AG136" s="40" t="s">
        <v>511</v>
      </c>
      <c r="AH136" s="40" t="s">
        <v>977</v>
      </c>
      <c r="AI136" s="40"/>
      <c r="AJ136" s="87"/>
      <c r="AK136" s="40" t="s">
        <v>1170</v>
      </c>
      <c r="AL136" s="40" t="s">
        <v>1206</v>
      </c>
      <c r="AM136" s="40"/>
      <c r="AN136" s="87">
        <v>45955</v>
      </c>
      <c r="AO136" s="87">
        <v>46035</v>
      </c>
      <c r="AP136" s="87">
        <v>46088</v>
      </c>
      <c r="AQ136" s="87">
        <v>46120</v>
      </c>
      <c r="AR136" s="107">
        <v>46548</v>
      </c>
      <c r="AS136" s="107">
        <v>46548</v>
      </c>
      <c r="AT136" s="102" t="s">
        <v>2598</v>
      </c>
      <c r="AU136" s="108" t="s">
        <v>1986</v>
      </c>
      <c r="AV136" s="106"/>
      <c r="AW136" s="105"/>
      <c r="AX136" s="109" t="str">
        <f>IFERROR(IF(PAC!$X136="F01 - CAPTAÇÃO DE RECURSO",1,""),"")</f>
        <v/>
      </c>
      <c r="AY136" s="109" t="str">
        <f>IFERROR(IF(PAC!$X136="F02 - LICITAÇÃO",1,""),"")</f>
        <v/>
      </c>
      <c r="AZ136" s="110">
        <f>IFERROR(IF(PAC!$X$6:$X$581="F03 - EXECUÇÃO DO OBJETO",1,""),"")</f>
        <v>1</v>
      </c>
      <c r="BA136" s="110" t="str">
        <f>IFERROR(IF(PAC!$X$6:$X$581="F04 - CONCLUÍDA",1,""),"")</f>
        <v/>
      </c>
      <c r="BB136" s="111">
        <f>IF(PAC!$R136&gt;0,0,PAC!$Q136)</f>
        <v>0</v>
      </c>
    </row>
    <row r="137" spans="1:54" s="1" customFormat="1" ht="409.5" hidden="1" customHeight="1" thickBot="1">
      <c r="A137" s="112">
        <f t="shared" si="2"/>
        <v>132</v>
      </c>
      <c r="B137" s="113">
        <v>2023</v>
      </c>
      <c r="C137" s="112" t="s">
        <v>605</v>
      </c>
      <c r="D137" s="112" t="s">
        <v>1010</v>
      </c>
      <c r="E137" s="114" t="s">
        <v>1327</v>
      </c>
      <c r="F137" s="112" t="s">
        <v>53</v>
      </c>
      <c r="G137" s="112" t="s">
        <v>503</v>
      </c>
      <c r="H137" s="115" t="s">
        <v>1244</v>
      </c>
      <c r="I137" s="112" t="s">
        <v>1238</v>
      </c>
      <c r="J137" s="112" t="s">
        <v>361</v>
      </c>
      <c r="K137" s="31"/>
      <c r="L137" s="31">
        <v>201574.1827</v>
      </c>
      <c r="M137" s="31">
        <v>201574.1827</v>
      </c>
      <c r="N137" s="197"/>
      <c r="O137" s="197"/>
      <c r="P137" s="197"/>
      <c r="Q137" s="33">
        <f>SUM(PAC!$M137:$P137)</f>
        <v>201574.1827</v>
      </c>
      <c r="R137" s="33">
        <v>27755.98</v>
      </c>
      <c r="S137" s="33">
        <f>IF(PAC!$R137&gt;0,PAC!$R137,PAC!$Q137)</f>
        <v>27755.98</v>
      </c>
      <c r="T137" s="33" t="s">
        <v>1581</v>
      </c>
      <c r="U137" s="116" t="s">
        <v>1570</v>
      </c>
      <c r="V137" s="116"/>
      <c r="W137" s="117">
        <v>9</v>
      </c>
      <c r="X137" s="117" t="s">
        <v>1490</v>
      </c>
      <c r="Y137" s="113" t="s">
        <v>2469</v>
      </c>
      <c r="Z137" s="118">
        <v>45777</v>
      </c>
      <c r="AA137" s="119">
        <v>100</v>
      </c>
      <c r="AB137" s="115" t="s">
        <v>1473</v>
      </c>
      <c r="AC137" s="115" t="s">
        <v>1696</v>
      </c>
      <c r="AD137" s="120"/>
      <c r="AE137" s="115"/>
      <c r="AF137" s="115" t="s">
        <v>649</v>
      </c>
      <c r="AG137" s="115" t="s">
        <v>512</v>
      </c>
      <c r="AH137" s="115" t="s">
        <v>977</v>
      </c>
      <c r="AI137" s="115"/>
      <c r="AJ137" s="118"/>
      <c r="AK137" s="115" t="s">
        <v>1139</v>
      </c>
      <c r="AL137" s="115" t="s">
        <v>1215</v>
      </c>
      <c r="AM137" s="115"/>
      <c r="AN137" s="118">
        <v>45371</v>
      </c>
      <c r="AO137" s="118">
        <v>45394</v>
      </c>
      <c r="AP137" s="118">
        <v>45401</v>
      </c>
      <c r="AQ137" s="118">
        <v>45407</v>
      </c>
      <c r="AR137" s="121">
        <v>45777</v>
      </c>
      <c r="AS137" s="121">
        <v>45777</v>
      </c>
      <c r="AT137" s="127" t="s">
        <v>2166</v>
      </c>
      <c r="AU137" s="122" t="s">
        <v>1803</v>
      </c>
      <c r="AV137" s="120"/>
      <c r="AW137" s="119"/>
      <c r="AX137" s="194" t="str">
        <f>IFERROR(IF(PAC!$X137="F01 - CAPTAÇÃO DE RECURSO",1,""),"")</f>
        <v/>
      </c>
      <c r="AY137" s="194" t="str">
        <f>IFERROR(IF(PAC!$X137="F02 - LICITAÇÃO",1,""),"")</f>
        <v/>
      </c>
      <c r="AZ137" s="123" t="str">
        <f>IFERROR(IF(PAC!$X$6:$X$581="F03 - EXECUÇÃO DO OBJETO",1,""),"")</f>
        <v/>
      </c>
      <c r="BA137" s="123">
        <f>IFERROR(IF(PAC!$X$6:$X$581="F04 - CONCLUÍDA",1,""),"")</f>
        <v>1</v>
      </c>
      <c r="BB137" s="191">
        <f>IF(PAC!$R137&gt;0,0,PAC!$Q137)</f>
        <v>0</v>
      </c>
    </row>
    <row r="138" spans="1:54" s="1" customFormat="1" ht="409.5" hidden="1" customHeight="1" thickBot="1">
      <c r="A138" s="88">
        <f t="shared" si="2"/>
        <v>133</v>
      </c>
      <c r="B138" s="101">
        <v>2023</v>
      </c>
      <c r="C138" s="88" t="s">
        <v>605</v>
      </c>
      <c r="D138" s="88" t="s">
        <v>1010</v>
      </c>
      <c r="E138" s="102" t="s">
        <v>1326</v>
      </c>
      <c r="F138" s="88" t="s">
        <v>53</v>
      </c>
      <c r="G138" s="88" t="s">
        <v>503</v>
      </c>
      <c r="H138" s="40" t="s">
        <v>1244</v>
      </c>
      <c r="I138" s="88" t="s">
        <v>1238</v>
      </c>
      <c r="J138" s="88" t="s">
        <v>361</v>
      </c>
      <c r="K138" s="18"/>
      <c r="L138" s="18">
        <v>393895.98</v>
      </c>
      <c r="M138" s="18">
        <v>393895.98</v>
      </c>
      <c r="N138" s="18"/>
      <c r="O138" s="18"/>
      <c r="P138" s="18"/>
      <c r="Q138" s="20">
        <f>SUM(PAC!$M138:$P138)</f>
        <v>393895.98</v>
      </c>
      <c r="R138" s="20">
        <v>510840.8</v>
      </c>
      <c r="S138" s="20">
        <f>IF(PAC!$R138&gt;0,PAC!$R138,PAC!$Q138)</f>
        <v>510840.8</v>
      </c>
      <c r="T138" s="20" t="s">
        <v>1581</v>
      </c>
      <c r="U138" s="103" t="s">
        <v>1570</v>
      </c>
      <c r="V138" s="103"/>
      <c r="W138" s="104">
        <v>9</v>
      </c>
      <c r="X138" s="104" t="s">
        <v>1490</v>
      </c>
      <c r="Y138" s="101" t="s">
        <v>2469</v>
      </c>
      <c r="Z138" s="87">
        <v>45978</v>
      </c>
      <c r="AA138" s="105">
        <v>100</v>
      </c>
      <c r="AB138" s="40" t="s">
        <v>1473</v>
      </c>
      <c r="AC138" s="40" t="s">
        <v>1696</v>
      </c>
      <c r="AD138" s="106"/>
      <c r="AE138" s="40"/>
      <c r="AF138" s="40" t="s">
        <v>649</v>
      </c>
      <c r="AG138" s="40" t="s">
        <v>512</v>
      </c>
      <c r="AH138" s="40" t="s">
        <v>977</v>
      </c>
      <c r="AI138" s="40"/>
      <c r="AJ138" s="87"/>
      <c r="AK138" s="40" t="s">
        <v>1138</v>
      </c>
      <c r="AL138" s="40" t="s">
        <v>1274</v>
      </c>
      <c r="AM138" s="40"/>
      <c r="AN138" s="87">
        <v>45371</v>
      </c>
      <c r="AO138" s="87">
        <v>45394</v>
      </c>
      <c r="AP138" s="87">
        <v>45401</v>
      </c>
      <c r="AQ138" s="87">
        <v>45407</v>
      </c>
      <c r="AR138" s="107">
        <v>45867</v>
      </c>
      <c r="AS138" s="107">
        <v>45978</v>
      </c>
      <c r="AT138" s="128" t="s">
        <v>2167</v>
      </c>
      <c r="AU138" s="108" t="s">
        <v>1697</v>
      </c>
      <c r="AV138" s="106"/>
      <c r="AW138" s="105"/>
      <c r="AX138" s="109" t="str">
        <f>IFERROR(IF(PAC!$X138="F01 - CAPTAÇÃO DE RECURSO",1,""),"")</f>
        <v/>
      </c>
      <c r="AY138" s="109" t="str">
        <f>IFERROR(IF(PAC!$X138="F02 - LICITAÇÃO",1,""),"")</f>
        <v/>
      </c>
      <c r="AZ138" s="110" t="str">
        <f>IFERROR(IF(PAC!$X$6:$X$581="F03 - EXECUÇÃO DO OBJETO",1,""),"")</f>
        <v/>
      </c>
      <c r="BA138" s="110">
        <f>IFERROR(IF(PAC!$X$6:$X$581="F04 - CONCLUÍDA",1,""),"")</f>
        <v>1</v>
      </c>
      <c r="BB138" s="111">
        <f>IF(PAC!$R138&gt;0,0,PAC!$Q138)</f>
        <v>0</v>
      </c>
    </row>
    <row r="139" spans="1:54" s="1" customFormat="1" ht="409.5" hidden="1" customHeight="1" thickBot="1">
      <c r="A139" s="112">
        <f t="shared" si="2"/>
        <v>134</v>
      </c>
      <c r="B139" s="113">
        <v>2023</v>
      </c>
      <c r="C139" s="112" t="s">
        <v>605</v>
      </c>
      <c r="D139" s="112" t="s">
        <v>1010</v>
      </c>
      <c r="E139" s="114" t="s">
        <v>1325</v>
      </c>
      <c r="F139" s="112" t="s">
        <v>53</v>
      </c>
      <c r="G139" s="112" t="s">
        <v>503</v>
      </c>
      <c r="H139" s="115" t="s">
        <v>1244</v>
      </c>
      <c r="I139" s="112" t="s">
        <v>1238</v>
      </c>
      <c r="J139" s="112" t="s">
        <v>296</v>
      </c>
      <c r="K139" s="31"/>
      <c r="L139" s="31">
        <v>7928503.1500000004</v>
      </c>
      <c r="M139" s="31">
        <v>7928503.1500000004</v>
      </c>
      <c r="N139" s="31"/>
      <c r="O139" s="31"/>
      <c r="P139" s="31"/>
      <c r="Q139" s="33">
        <f>SUM(PAC!$M139:$P139)</f>
        <v>7928503.1500000004</v>
      </c>
      <c r="R139" s="33">
        <v>7928503.1500000004</v>
      </c>
      <c r="S139" s="33">
        <f>IF(PAC!$R139&gt;0,PAC!$R139,PAC!$Q139)</f>
        <v>7928503.1500000004</v>
      </c>
      <c r="T139" s="33" t="s">
        <v>1582</v>
      </c>
      <c r="U139" s="116" t="s">
        <v>1570</v>
      </c>
      <c r="V139" s="116"/>
      <c r="W139" s="117">
        <v>16</v>
      </c>
      <c r="X139" s="117" t="s">
        <v>1490</v>
      </c>
      <c r="Y139" s="113" t="s">
        <v>2469</v>
      </c>
      <c r="Z139" s="118">
        <v>46175</v>
      </c>
      <c r="AA139" s="119">
        <v>100</v>
      </c>
      <c r="AB139" s="115" t="s">
        <v>1473</v>
      </c>
      <c r="AC139" s="115" t="s">
        <v>1696</v>
      </c>
      <c r="AD139" s="120"/>
      <c r="AE139" s="115"/>
      <c r="AF139" s="115" t="s">
        <v>649</v>
      </c>
      <c r="AG139" s="115" t="s">
        <v>512</v>
      </c>
      <c r="AH139" s="115" t="s">
        <v>977</v>
      </c>
      <c r="AI139" s="115"/>
      <c r="AJ139" s="118"/>
      <c r="AK139" s="115" t="s">
        <v>1125</v>
      </c>
      <c r="AL139" s="115" t="s">
        <v>1214</v>
      </c>
      <c r="AM139" s="115"/>
      <c r="AN139" s="118">
        <v>45388</v>
      </c>
      <c r="AO139" s="118">
        <v>45412</v>
      </c>
      <c r="AP139" s="118">
        <v>45489</v>
      </c>
      <c r="AQ139" s="118">
        <v>45498</v>
      </c>
      <c r="AR139" s="121">
        <v>45990</v>
      </c>
      <c r="AS139" s="121">
        <v>46175</v>
      </c>
      <c r="AT139" s="127" t="s">
        <v>2809</v>
      </c>
      <c r="AU139" s="122" t="s">
        <v>2257</v>
      </c>
      <c r="AV139" s="120"/>
      <c r="AW139" s="119"/>
      <c r="AX139" s="194" t="str">
        <f>IFERROR(IF(PAC!$X139="F01 - CAPTAÇÃO DE RECURSO",1,""),"")</f>
        <v/>
      </c>
      <c r="AY139" s="194" t="str">
        <f>IFERROR(IF(PAC!$X139="F02 - LICITAÇÃO",1,""),"")</f>
        <v/>
      </c>
      <c r="AZ139" s="123" t="str">
        <f>IFERROR(IF(PAC!$X$6:$X$581="F03 - EXECUÇÃO DO OBJETO",1,""),"")</f>
        <v/>
      </c>
      <c r="BA139" s="123">
        <f>IFERROR(IF(PAC!$X$6:$X$581="F04 - CONCLUÍDA",1,""),"")</f>
        <v>1</v>
      </c>
      <c r="BB139" s="191">
        <f>IF(PAC!$R139&gt;0,0,PAC!$Q139)</f>
        <v>0</v>
      </c>
    </row>
    <row r="140" spans="1:54" s="1" customFormat="1" ht="409.5" hidden="1" customHeight="1" thickBot="1">
      <c r="A140" s="88">
        <f t="shared" si="2"/>
        <v>135</v>
      </c>
      <c r="B140" s="101">
        <v>2023</v>
      </c>
      <c r="C140" s="88" t="s">
        <v>605</v>
      </c>
      <c r="D140" s="88" t="s">
        <v>1010</v>
      </c>
      <c r="E140" s="102" t="s">
        <v>1324</v>
      </c>
      <c r="F140" s="88" t="s">
        <v>53</v>
      </c>
      <c r="G140" s="88" t="s">
        <v>503</v>
      </c>
      <c r="H140" s="40" t="s">
        <v>1244</v>
      </c>
      <c r="I140" s="88" t="s">
        <v>1238</v>
      </c>
      <c r="J140" s="88" t="s">
        <v>415</v>
      </c>
      <c r="K140" s="18"/>
      <c r="L140" s="18">
        <v>7872071.3200000003</v>
      </c>
      <c r="M140" s="18">
        <v>7872071.3200000003</v>
      </c>
      <c r="N140" s="18"/>
      <c r="O140" s="18"/>
      <c r="P140" s="18"/>
      <c r="Q140" s="20">
        <f>SUM(PAC!$M140:$P140)</f>
        <v>7872071.3200000003</v>
      </c>
      <c r="R140" s="20">
        <v>5703002.2999999998</v>
      </c>
      <c r="S140" s="20">
        <f>IF(PAC!$R140&gt;0,PAC!$R140,PAC!$Q140)</f>
        <v>5703002.2999999998</v>
      </c>
      <c r="T140" s="20" t="s">
        <v>1582</v>
      </c>
      <c r="U140" s="103" t="s">
        <v>1570</v>
      </c>
      <c r="V140" s="103"/>
      <c r="W140" s="104">
        <v>18</v>
      </c>
      <c r="X140" s="104" t="s">
        <v>1490</v>
      </c>
      <c r="Y140" s="101" t="s">
        <v>2469</v>
      </c>
      <c r="Z140" s="87">
        <v>45905</v>
      </c>
      <c r="AA140" s="105">
        <v>100</v>
      </c>
      <c r="AB140" s="40" t="s">
        <v>1473</v>
      </c>
      <c r="AC140" s="40" t="s">
        <v>1696</v>
      </c>
      <c r="AD140" s="106"/>
      <c r="AE140" s="40"/>
      <c r="AF140" s="40" t="s">
        <v>649</v>
      </c>
      <c r="AG140" s="40" t="s">
        <v>512</v>
      </c>
      <c r="AH140" s="40" t="s">
        <v>977</v>
      </c>
      <c r="AI140" s="40"/>
      <c r="AJ140" s="87"/>
      <c r="AK140" s="40" t="s">
        <v>1127</v>
      </c>
      <c r="AL140" s="40" t="s">
        <v>1216</v>
      </c>
      <c r="AM140" s="40"/>
      <c r="AN140" s="87">
        <v>45248</v>
      </c>
      <c r="AO140" s="87">
        <v>45272</v>
      </c>
      <c r="AP140" s="87">
        <v>45295</v>
      </c>
      <c r="AQ140" s="87">
        <v>45300</v>
      </c>
      <c r="AR140" s="107">
        <v>45905</v>
      </c>
      <c r="AS140" s="107">
        <v>45905</v>
      </c>
      <c r="AT140" s="128" t="s">
        <v>2168</v>
      </c>
      <c r="AU140" s="108" t="s">
        <v>1487</v>
      </c>
      <c r="AV140" s="106"/>
      <c r="AW140" s="105"/>
      <c r="AX140" s="109" t="str">
        <f>IFERROR(IF(PAC!$X140="F01 - CAPTAÇÃO DE RECURSO",1,""),"")</f>
        <v/>
      </c>
      <c r="AY140" s="109" t="str">
        <f>IFERROR(IF(PAC!$X140="F02 - LICITAÇÃO",1,""),"")</f>
        <v/>
      </c>
      <c r="AZ140" s="110" t="str">
        <f>IFERROR(IF(PAC!$X$6:$X$581="F03 - EXECUÇÃO DO OBJETO",1,""),"")</f>
        <v/>
      </c>
      <c r="BA140" s="110">
        <f>IFERROR(IF(PAC!$X$6:$X$581="F04 - CONCLUÍDA",1,""),"")</f>
        <v>1</v>
      </c>
      <c r="BB140" s="111">
        <f>IF(PAC!$R140&gt;0,0,PAC!$Q140)</f>
        <v>0</v>
      </c>
    </row>
    <row r="141" spans="1:54" s="1" customFormat="1" ht="399" hidden="1" customHeight="1" thickBot="1">
      <c r="A141" s="112">
        <f t="shared" si="2"/>
        <v>136</v>
      </c>
      <c r="B141" s="113">
        <v>2023</v>
      </c>
      <c r="C141" s="112" t="s">
        <v>605</v>
      </c>
      <c r="D141" s="112" t="s">
        <v>1010</v>
      </c>
      <c r="E141" s="114" t="s">
        <v>1328</v>
      </c>
      <c r="F141" s="112" t="s">
        <v>53</v>
      </c>
      <c r="G141" s="112" t="s">
        <v>503</v>
      </c>
      <c r="H141" s="115" t="s">
        <v>1244</v>
      </c>
      <c r="I141" s="112" t="s">
        <v>1238</v>
      </c>
      <c r="J141" s="112" t="s">
        <v>361</v>
      </c>
      <c r="K141" s="31"/>
      <c r="L141" s="31">
        <v>6779480.75</v>
      </c>
      <c r="M141" s="31">
        <v>7888547.9699999997</v>
      </c>
      <c r="N141" s="31"/>
      <c r="O141" s="31"/>
      <c r="P141" s="31"/>
      <c r="Q141" s="33">
        <f>SUM(PAC!$M141:$P141)</f>
        <v>7888547.9699999997</v>
      </c>
      <c r="R141" s="33">
        <v>3068958.39</v>
      </c>
      <c r="S141" s="33">
        <f>IF(PAC!$R141&gt;0,PAC!$R141,PAC!$Q141)</f>
        <v>3068958.39</v>
      </c>
      <c r="T141" s="33" t="s">
        <v>1860</v>
      </c>
      <c r="U141" s="116" t="s">
        <v>1570</v>
      </c>
      <c r="V141" s="116"/>
      <c r="W141" s="117">
        <v>18</v>
      </c>
      <c r="X141" s="117" t="s">
        <v>1694</v>
      </c>
      <c r="Y141" s="113" t="s">
        <v>2470</v>
      </c>
      <c r="Z141" s="118">
        <v>46541</v>
      </c>
      <c r="AA141" s="119">
        <v>3.5</v>
      </c>
      <c r="AB141" s="115" t="s">
        <v>1472</v>
      </c>
      <c r="AC141" s="115" t="s">
        <v>1811</v>
      </c>
      <c r="AD141" s="120"/>
      <c r="AE141" s="114" t="s">
        <v>1975</v>
      </c>
      <c r="AF141" s="115" t="s">
        <v>998</v>
      </c>
      <c r="AG141" s="115" t="s">
        <v>999</v>
      </c>
      <c r="AH141" s="115" t="s">
        <v>977</v>
      </c>
      <c r="AI141" s="115"/>
      <c r="AJ141" s="118"/>
      <c r="AK141" s="115" t="s">
        <v>1220</v>
      </c>
      <c r="AL141" s="115" t="s">
        <v>1275</v>
      </c>
      <c r="AM141" s="115"/>
      <c r="AN141" s="118">
        <v>46058</v>
      </c>
      <c r="AO141" s="118">
        <v>46087</v>
      </c>
      <c r="AP141" s="118">
        <v>46114</v>
      </c>
      <c r="AQ141" s="118">
        <v>46176</v>
      </c>
      <c r="AR141" s="121">
        <v>46541</v>
      </c>
      <c r="AS141" s="121">
        <v>46541</v>
      </c>
      <c r="AT141" s="114" t="s">
        <v>2435</v>
      </c>
      <c r="AU141" s="122" t="s">
        <v>2242</v>
      </c>
      <c r="AV141" s="120"/>
      <c r="AW141" s="119"/>
      <c r="AX141" s="194" t="str">
        <f>IFERROR(IF(PAC!$X141="F01 - CAPTAÇÃO DE RECURSO",1,""),"")</f>
        <v/>
      </c>
      <c r="AY141" s="194" t="str">
        <f>IFERROR(IF(PAC!$X141="F02 - LICITAÇÃO",1,""),"")</f>
        <v/>
      </c>
      <c r="AZ141" s="123">
        <f>IFERROR(IF(PAC!$X$6:$X$581="F03 - EXECUÇÃO DO OBJETO",1,""),"")</f>
        <v>1</v>
      </c>
      <c r="BA141" s="123" t="str">
        <f>IFERROR(IF(PAC!$X$6:$X$581="F04 - CONCLUÍDA",1,""),"")</f>
        <v/>
      </c>
      <c r="BB141" s="191">
        <f>IF(PAC!$R141&gt;0,0,PAC!$Q141)</f>
        <v>0</v>
      </c>
    </row>
    <row r="142" spans="1:54" s="1" customFormat="1" ht="409.5" hidden="1" customHeight="1" thickBot="1">
      <c r="A142" s="88">
        <f t="shared" si="2"/>
        <v>137</v>
      </c>
      <c r="B142" s="88">
        <v>2025</v>
      </c>
      <c r="C142" s="88" t="s">
        <v>605</v>
      </c>
      <c r="D142" s="88" t="s">
        <v>1010</v>
      </c>
      <c r="E142" s="102" t="s">
        <v>718</v>
      </c>
      <c r="F142" s="88" t="s">
        <v>53</v>
      </c>
      <c r="G142" s="88" t="s">
        <v>503</v>
      </c>
      <c r="H142" s="40" t="s">
        <v>1244</v>
      </c>
      <c r="I142" s="88" t="s">
        <v>1238</v>
      </c>
      <c r="J142" s="88" t="s">
        <v>72</v>
      </c>
      <c r="K142" s="18">
        <v>6858023.2500000009</v>
      </c>
      <c r="L142" s="18">
        <v>6858023.2500000009</v>
      </c>
      <c r="M142" s="18"/>
      <c r="N142" s="18"/>
      <c r="O142" s="18"/>
      <c r="P142" s="18"/>
      <c r="Q142" s="20">
        <f>SUM(PAC!$M142:$P142)</f>
        <v>0</v>
      </c>
      <c r="R142" s="20"/>
      <c r="S142" s="20">
        <f>IF(PAC!$R142&gt;0,PAC!$R142,PAC!$Q142)</f>
        <v>0</v>
      </c>
      <c r="T142" s="20"/>
      <c r="U142" s="103" t="s">
        <v>1574</v>
      </c>
      <c r="V142" s="103"/>
      <c r="W142" s="104"/>
      <c r="X142" s="104" t="s">
        <v>1419</v>
      </c>
      <c r="Y142" s="101" t="s">
        <v>2478</v>
      </c>
      <c r="Z142" s="87"/>
      <c r="AA142" s="105"/>
      <c r="AB142" s="108"/>
      <c r="AC142" s="40"/>
      <c r="AD142" s="106"/>
      <c r="AE142" s="102"/>
      <c r="AF142" s="40" t="s">
        <v>987</v>
      </c>
      <c r="AG142" s="40"/>
      <c r="AH142" s="40"/>
      <c r="AI142" s="40"/>
      <c r="AJ142" s="87"/>
      <c r="AK142" s="40"/>
      <c r="AL142" s="40"/>
      <c r="AM142" s="40"/>
      <c r="AN142" s="87"/>
      <c r="AO142" s="87"/>
      <c r="AP142" s="87"/>
      <c r="AQ142" s="87"/>
      <c r="AR142" s="107"/>
      <c r="AS142" s="107"/>
      <c r="AT142" s="103" t="s">
        <v>518</v>
      </c>
      <c r="AU142" s="108"/>
      <c r="AV142" s="106"/>
      <c r="AW142" s="132" t="s">
        <v>836</v>
      </c>
      <c r="AX142" s="109">
        <f>IFERROR(IF(PAC!$X142="F01 - CAPTAÇÃO DE RECURSO",1,""),"")</f>
        <v>1</v>
      </c>
      <c r="AY142" s="109" t="str">
        <f>IFERROR(IF(PAC!$X142="F02 - LICITAÇÃO",1,""),"")</f>
        <v/>
      </c>
      <c r="AZ142" s="110" t="str">
        <f>IFERROR(IF(PAC!$X$6:$X$581="F03 - EXECUÇÃO DO OBJETO",1,""),"")</f>
        <v/>
      </c>
      <c r="BA142" s="110" t="str">
        <f>IFERROR(IF(PAC!$X$6:$X$581="F04 - CONCLUÍDA",1,""),"")</f>
        <v/>
      </c>
      <c r="BB142" s="111">
        <f>IF(PAC!$R142&gt;0,0,PAC!$Q142)</f>
        <v>0</v>
      </c>
    </row>
    <row r="143" spans="1:54" s="1" customFormat="1" ht="409.5" hidden="1" customHeight="1" thickBot="1">
      <c r="A143" s="112">
        <f t="shared" si="2"/>
        <v>138</v>
      </c>
      <c r="B143" s="112">
        <v>2025</v>
      </c>
      <c r="C143" s="112" t="s">
        <v>605</v>
      </c>
      <c r="D143" s="112" t="s">
        <v>1010</v>
      </c>
      <c r="E143" s="114" t="s">
        <v>719</v>
      </c>
      <c r="F143" s="112" t="s">
        <v>53</v>
      </c>
      <c r="G143" s="112" t="s">
        <v>503</v>
      </c>
      <c r="H143" s="115" t="s">
        <v>1244</v>
      </c>
      <c r="I143" s="112" t="s">
        <v>1238</v>
      </c>
      <c r="J143" s="112" t="s">
        <v>92</v>
      </c>
      <c r="K143" s="31">
        <v>15289880.23</v>
      </c>
      <c r="L143" s="31">
        <v>15289880.23</v>
      </c>
      <c r="M143" s="31"/>
      <c r="N143" s="31"/>
      <c r="O143" s="31"/>
      <c r="P143" s="31"/>
      <c r="Q143" s="33">
        <f>SUM(PAC!$M143:$P143)</f>
        <v>0</v>
      </c>
      <c r="R143" s="33"/>
      <c r="S143" s="33">
        <f>IF(PAC!$R143&gt;0,PAC!$R143,PAC!$Q143)</f>
        <v>0</v>
      </c>
      <c r="T143" s="33"/>
      <c r="U143" s="116" t="s">
        <v>1574</v>
      </c>
      <c r="V143" s="116"/>
      <c r="W143" s="117"/>
      <c r="X143" s="117" t="s">
        <v>1419</v>
      </c>
      <c r="Y143" s="113" t="s">
        <v>2478</v>
      </c>
      <c r="Z143" s="118"/>
      <c r="AA143" s="119"/>
      <c r="AB143" s="122"/>
      <c r="AC143" s="115"/>
      <c r="AD143" s="120"/>
      <c r="AE143" s="114"/>
      <c r="AF143" s="115" t="s">
        <v>987</v>
      </c>
      <c r="AG143" s="115"/>
      <c r="AH143" s="115"/>
      <c r="AI143" s="115"/>
      <c r="AJ143" s="118"/>
      <c r="AK143" s="115"/>
      <c r="AL143" s="115"/>
      <c r="AM143" s="115" t="s">
        <v>716</v>
      </c>
      <c r="AN143" s="118"/>
      <c r="AO143" s="118"/>
      <c r="AP143" s="118"/>
      <c r="AQ143" s="118"/>
      <c r="AR143" s="121"/>
      <c r="AS143" s="121"/>
      <c r="AT143" s="116" t="s">
        <v>518</v>
      </c>
      <c r="AU143" s="122"/>
      <c r="AV143" s="120"/>
      <c r="AW143" s="133" t="s">
        <v>836</v>
      </c>
      <c r="AX143" s="194">
        <f>IFERROR(IF(PAC!$X143="F01 - CAPTAÇÃO DE RECURSO",1,""),"")</f>
        <v>1</v>
      </c>
      <c r="AY143" s="194" t="str">
        <f>IFERROR(IF(PAC!$X143="F02 - LICITAÇÃO",1,""),"")</f>
        <v/>
      </c>
      <c r="AZ143" s="123" t="str">
        <f>IFERROR(IF(PAC!$X$6:$X$581="F03 - EXECUÇÃO DO OBJETO",1,""),"")</f>
        <v/>
      </c>
      <c r="BA143" s="123" t="str">
        <f>IFERROR(IF(PAC!$X$6:$X$581="F04 - CONCLUÍDA",1,""),"")</f>
        <v/>
      </c>
      <c r="BB143" s="191">
        <f>IF(PAC!$R143&gt;0,0,PAC!$Q143)</f>
        <v>0</v>
      </c>
    </row>
    <row r="144" spans="1:54" s="1" customFormat="1" ht="120.75" hidden="1" customHeight="1" thickBot="1">
      <c r="A144" s="88">
        <f t="shared" si="2"/>
        <v>139</v>
      </c>
      <c r="B144" s="88">
        <v>2025</v>
      </c>
      <c r="C144" s="88" t="s">
        <v>605</v>
      </c>
      <c r="D144" s="88" t="s">
        <v>1010</v>
      </c>
      <c r="E144" s="102" t="s">
        <v>720</v>
      </c>
      <c r="F144" s="88" t="s">
        <v>53</v>
      </c>
      <c r="G144" s="88" t="s">
        <v>503</v>
      </c>
      <c r="H144" s="40" t="s">
        <v>1244</v>
      </c>
      <c r="I144" s="88" t="s">
        <v>1238</v>
      </c>
      <c r="J144" s="88" t="s">
        <v>92</v>
      </c>
      <c r="K144" s="18">
        <v>2832786.44</v>
      </c>
      <c r="L144" s="18">
        <v>2832786.44</v>
      </c>
      <c r="M144" s="18"/>
      <c r="N144" s="18"/>
      <c r="O144" s="18"/>
      <c r="P144" s="18"/>
      <c r="Q144" s="20">
        <f>SUM(PAC!$M144:$P144)</f>
        <v>0</v>
      </c>
      <c r="R144" s="20"/>
      <c r="S144" s="20">
        <f>IF(PAC!$R144&gt;0,PAC!$R144,PAC!$Q144)</f>
        <v>0</v>
      </c>
      <c r="T144" s="20"/>
      <c r="U144" s="103" t="s">
        <v>1574</v>
      </c>
      <c r="V144" s="103"/>
      <c r="W144" s="104"/>
      <c r="X144" s="104" t="s">
        <v>1419</v>
      </c>
      <c r="Y144" s="101" t="s">
        <v>2478</v>
      </c>
      <c r="Z144" s="87"/>
      <c r="AA144" s="105"/>
      <c r="AB144" s="108"/>
      <c r="AC144" s="40"/>
      <c r="AD144" s="106"/>
      <c r="AE144" s="102"/>
      <c r="AF144" s="40" t="s">
        <v>987</v>
      </c>
      <c r="AG144" s="40"/>
      <c r="AH144" s="40"/>
      <c r="AI144" s="40"/>
      <c r="AJ144" s="87"/>
      <c r="AK144" s="40"/>
      <c r="AL144" s="40"/>
      <c r="AM144" s="40"/>
      <c r="AN144" s="87"/>
      <c r="AO144" s="87"/>
      <c r="AP144" s="87"/>
      <c r="AQ144" s="87"/>
      <c r="AR144" s="107"/>
      <c r="AS144" s="107"/>
      <c r="AT144" s="103" t="s">
        <v>518</v>
      </c>
      <c r="AU144" s="108"/>
      <c r="AV144" s="106"/>
      <c r="AW144" s="132" t="s">
        <v>837</v>
      </c>
      <c r="AX144" s="109">
        <f>IFERROR(IF(PAC!$X144="F01 - CAPTAÇÃO DE RECURSO",1,""),"")</f>
        <v>1</v>
      </c>
      <c r="AY144" s="109" t="str">
        <f>IFERROR(IF(PAC!$X144="F02 - LICITAÇÃO",1,""),"")</f>
        <v/>
      </c>
      <c r="AZ144" s="110" t="str">
        <f>IFERROR(IF(PAC!$X$6:$X$581="F03 - EXECUÇÃO DO OBJETO",1,""),"")</f>
        <v/>
      </c>
      <c r="BA144" s="110" t="str">
        <f>IFERROR(IF(PAC!$X$6:$X$581="F04 - CONCLUÍDA",1,""),"")</f>
        <v/>
      </c>
      <c r="BB144" s="111">
        <f>IF(PAC!$R144&gt;0,0,PAC!$Q144)</f>
        <v>0</v>
      </c>
    </row>
    <row r="145" spans="1:54" s="1" customFormat="1" ht="409.5" hidden="1" customHeight="1" thickBot="1">
      <c r="A145" s="112">
        <f t="shared" si="2"/>
        <v>140</v>
      </c>
      <c r="B145" s="112">
        <v>2025</v>
      </c>
      <c r="C145" s="112" t="s">
        <v>605</v>
      </c>
      <c r="D145" s="112" t="s">
        <v>1010</v>
      </c>
      <c r="E145" s="114" t="s">
        <v>721</v>
      </c>
      <c r="F145" s="112" t="s">
        <v>53</v>
      </c>
      <c r="G145" s="112" t="s">
        <v>503</v>
      </c>
      <c r="H145" s="115" t="s">
        <v>1244</v>
      </c>
      <c r="I145" s="112" t="s">
        <v>1238</v>
      </c>
      <c r="J145" s="112" t="s">
        <v>95</v>
      </c>
      <c r="K145" s="31">
        <v>1614127.2</v>
      </c>
      <c r="L145" s="31">
        <v>1614127.2</v>
      </c>
      <c r="M145" s="31"/>
      <c r="N145" s="31"/>
      <c r="O145" s="31"/>
      <c r="P145" s="31"/>
      <c r="Q145" s="33">
        <f>SUM(PAC!$M145:$P145)</f>
        <v>0</v>
      </c>
      <c r="R145" s="33"/>
      <c r="S145" s="33">
        <f>IF(PAC!$R145&gt;0,PAC!$R145,PAC!$Q145)</f>
        <v>0</v>
      </c>
      <c r="T145" s="33"/>
      <c r="U145" s="116" t="s">
        <v>1574</v>
      </c>
      <c r="V145" s="116"/>
      <c r="W145" s="117"/>
      <c r="X145" s="117" t="s">
        <v>1419</v>
      </c>
      <c r="Y145" s="113" t="s">
        <v>2478</v>
      </c>
      <c r="Z145" s="118"/>
      <c r="AA145" s="119"/>
      <c r="AB145" s="122"/>
      <c r="AC145" s="115"/>
      <c r="AD145" s="120"/>
      <c r="AE145" s="114"/>
      <c r="AF145" s="115" t="s">
        <v>987</v>
      </c>
      <c r="AG145" s="115"/>
      <c r="AH145" s="115"/>
      <c r="AI145" s="115"/>
      <c r="AJ145" s="118"/>
      <c r="AK145" s="115"/>
      <c r="AL145" s="115"/>
      <c r="AM145" s="115"/>
      <c r="AN145" s="118"/>
      <c r="AO145" s="118"/>
      <c r="AP145" s="118"/>
      <c r="AQ145" s="118"/>
      <c r="AR145" s="121"/>
      <c r="AS145" s="121"/>
      <c r="AT145" s="116" t="s">
        <v>518</v>
      </c>
      <c r="AU145" s="122"/>
      <c r="AV145" s="120"/>
      <c r="AW145" s="133" t="s">
        <v>836</v>
      </c>
      <c r="AX145" s="194">
        <f>IFERROR(IF(PAC!$X145="F01 - CAPTAÇÃO DE RECURSO",1,""),"")</f>
        <v>1</v>
      </c>
      <c r="AY145" s="194" t="str">
        <f>IFERROR(IF(PAC!$X145="F02 - LICITAÇÃO",1,""),"")</f>
        <v/>
      </c>
      <c r="AZ145" s="123" t="str">
        <f>IFERROR(IF(PAC!$X$6:$X$581="F03 - EXECUÇÃO DO OBJETO",1,""),"")</f>
        <v/>
      </c>
      <c r="BA145" s="123" t="str">
        <f>IFERROR(IF(PAC!$X$6:$X$581="F04 - CONCLUÍDA",1,""),"")</f>
        <v/>
      </c>
      <c r="BB145" s="191">
        <f>IF(PAC!$R145&gt;0,0,PAC!$Q145)</f>
        <v>0</v>
      </c>
    </row>
    <row r="146" spans="1:54" s="1" customFormat="1" ht="225.75" hidden="1" customHeight="1" thickBot="1">
      <c r="A146" s="88">
        <f t="shared" si="2"/>
        <v>141</v>
      </c>
      <c r="B146" s="88">
        <v>2025</v>
      </c>
      <c r="C146" s="88" t="s">
        <v>605</v>
      </c>
      <c r="D146" s="88" t="s">
        <v>1010</v>
      </c>
      <c r="E146" s="102" t="s">
        <v>722</v>
      </c>
      <c r="F146" s="88" t="s">
        <v>53</v>
      </c>
      <c r="G146" s="88" t="s">
        <v>503</v>
      </c>
      <c r="H146" s="40" t="s">
        <v>1244</v>
      </c>
      <c r="I146" s="88" t="s">
        <v>1238</v>
      </c>
      <c r="J146" s="88" t="s">
        <v>95</v>
      </c>
      <c r="K146" s="18">
        <v>2008873.27</v>
      </c>
      <c r="L146" s="18">
        <v>2008873.27</v>
      </c>
      <c r="M146" s="18"/>
      <c r="N146" s="18"/>
      <c r="O146" s="18"/>
      <c r="P146" s="18"/>
      <c r="Q146" s="20">
        <f>SUM(PAC!$M146:$P146)</f>
        <v>0</v>
      </c>
      <c r="R146" s="20"/>
      <c r="S146" s="20">
        <f>IF(PAC!$R146&gt;0,PAC!$R146,PAC!$Q146)</f>
        <v>0</v>
      </c>
      <c r="T146" s="20"/>
      <c r="U146" s="103" t="s">
        <v>1574</v>
      </c>
      <c r="V146" s="103"/>
      <c r="W146" s="104"/>
      <c r="X146" s="104" t="s">
        <v>1419</v>
      </c>
      <c r="Y146" s="101" t="s">
        <v>2478</v>
      </c>
      <c r="Z146" s="87"/>
      <c r="AA146" s="105"/>
      <c r="AB146" s="108"/>
      <c r="AC146" s="40"/>
      <c r="AD146" s="106"/>
      <c r="AE146" s="102"/>
      <c r="AF146" s="40" t="s">
        <v>987</v>
      </c>
      <c r="AG146" s="40"/>
      <c r="AH146" s="40"/>
      <c r="AI146" s="40"/>
      <c r="AJ146" s="87"/>
      <c r="AK146" s="40"/>
      <c r="AL146" s="40"/>
      <c r="AM146" s="40" t="s">
        <v>716</v>
      </c>
      <c r="AN146" s="87"/>
      <c r="AO146" s="87"/>
      <c r="AP146" s="87"/>
      <c r="AQ146" s="87"/>
      <c r="AR146" s="107"/>
      <c r="AS146" s="107"/>
      <c r="AT146" s="103" t="s">
        <v>518</v>
      </c>
      <c r="AU146" s="108"/>
      <c r="AV146" s="106"/>
      <c r="AW146" s="132" t="s">
        <v>707</v>
      </c>
      <c r="AX146" s="109">
        <f>IFERROR(IF(PAC!$X146="F01 - CAPTAÇÃO DE RECURSO",1,""),"")</f>
        <v>1</v>
      </c>
      <c r="AY146" s="109" t="str">
        <f>IFERROR(IF(PAC!$X146="F02 - LICITAÇÃO",1,""),"")</f>
        <v/>
      </c>
      <c r="AZ146" s="110" t="str">
        <f>IFERROR(IF(PAC!$X$6:$X$581="F03 - EXECUÇÃO DO OBJETO",1,""),"")</f>
        <v/>
      </c>
      <c r="BA146" s="110" t="str">
        <f>IFERROR(IF(PAC!$X$6:$X$581="F04 - CONCLUÍDA",1,""),"")</f>
        <v/>
      </c>
      <c r="BB146" s="111">
        <f>IF(PAC!$R146&gt;0,0,PAC!$Q146)</f>
        <v>0</v>
      </c>
    </row>
    <row r="147" spans="1:54" s="1" customFormat="1" ht="409.6" hidden="1" customHeight="1" thickBot="1">
      <c r="A147" s="112">
        <f t="shared" si="2"/>
        <v>142</v>
      </c>
      <c r="B147" s="112">
        <v>2025</v>
      </c>
      <c r="C147" s="112" t="s">
        <v>605</v>
      </c>
      <c r="D147" s="112" t="s">
        <v>1010</v>
      </c>
      <c r="E147" s="114" t="s">
        <v>723</v>
      </c>
      <c r="F147" s="112" t="s">
        <v>53</v>
      </c>
      <c r="G147" s="112" t="s">
        <v>503</v>
      </c>
      <c r="H147" s="115" t="s">
        <v>1244</v>
      </c>
      <c r="I147" s="112" t="s">
        <v>1238</v>
      </c>
      <c r="J147" s="112" t="s">
        <v>95</v>
      </c>
      <c r="K147" s="31">
        <v>1498832.4</v>
      </c>
      <c r="L147" s="31">
        <v>1498832.4</v>
      </c>
      <c r="M147" s="31"/>
      <c r="N147" s="31"/>
      <c r="O147" s="31"/>
      <c r="P147" s="31"/>
      <c r="Q147" s="33">
        <f>SUM(PAC!$M147:$P147)</f>
        <v>0</v>
      </c>
      <c r="R147" s="33"/>
      <c r="S147" s="33">
        <f>IF(PAC!$R147&gt;0,PAC!$R147,PAC!$Q147)</f>
        <v>0</v>
      </c>
      <c r="T147" s="33"/>
      <c r="U147" s="116" t="s">
        <v>1574</v>
      </c>
      <c r="V147" s="116"/>
      <c r="W147" s="117"/>
      <c r="X147" s="117" t="s">
        <v>1419</v>
      </c>
      <c r="Y147" s="113" t="s">
        <v>2478</v>
      </c>
      <c r="Z147" s="118"/>
      <c r="AA147" s="119"/>
      <c r="AB147" s="122"/>
      <c r="AC147" s="115"/>
      <c r="AD147" s="120"/>
      <c r="AE147" s="114"/>
      <c r="AF147" s="115" t="s">
        <v>987</v>
      </c>
      <c r="AG147" s="115"/>
      <c r="AH147" s="115"/>
      <c r="AI147" s="115"/>
      <c r="AJ147" s="118"/>
      <c r="AK147" s="115"/>
      <c r="AL147" s="115"/>
      <c r="AM147" s="115"/>
      <c r="AN147" s="118"/>
      <c r="AO147" s="118"/>
      <c r="AP147" s="118"/>
      <c r="AQ147" s="118"/>
      <c r="AR147" s="121"/>
      <c r="AS147" s="121"/>
      <c r="AT147" s="116" t="s">
        <v>518</v>
      </c>
      <c r="AU147" s="122"/>
      <c r="AV147" s="120"/>
      <c r="AW147" s="133" t="s">
        <v>836</v>
      </c>
      <c r="AX147" s="194">
        <f>IFERROR(IF(PAC!$X147="F01 - CAPTAÇÃO DE RECURSO",1,""),"")</f>
        <v>1</v>
      </c>
      <c r="AY147" s="194" t="str">
        <f>IFERROR(IF(PAC!$X147="F02 - LICITAÇÃO",1,""),"")</f>
        <v/>
      </c>
      <c r="AZ147" s="123" t="str">
        <f>IFERROR(IF(PAC!$X$6:$X$581="F03 - EXECUÇÃO DO OBJETO",1,""),"")</f>
        <v/>
      </c>
      <c r="BA147" s="123" t="str">
        <f>IFERROR(IF(PAC!$X$6:$X$581="F04 - CONCLUÍDA",1,""),"")</f>
        <v/>
      </c>
      <c r="BB147" s="191">
        <f>IF(PAC!$R147&gt;0,0,PAC!$Q147)</f>
        <v>0</v>
      </c>
    </row>
    <row r="148" spans="1:54" s="1" customFormat="1" ht="409.5" hidden="1" customHeight="1" thickBot="1">
      <c r="A148" s="88">
        <f t="shared" si="2"/>
        <v>143</v>
      </c>
      <c r="B148" s="88">
        <v>2025</v>
      </c>
      <c r="C148" s="88" t="s">
        <v>605</v>
      </c>
      <c r="D148" s="88" t="s">
        <v>1010</v>
      </c>
      <c r="E148" s="102" t="s">
        <v>724</v>
      </c>
      <c r="F148" s="88" t="s">
        <v>53</v>
      </c>
      <c r="G148" s="88" t="s">
        <v>503</v>
      </c>
      <c r="H148" s="40" t="s">
        <v>1244</v>
      </c>
      <c r="I148" s="88" t="s">
        <v>1238</v>
      </c>
      <c r="J148" s="88" t="s">
        <v>96</v>
      </c>
      <c r="K148" s="18">
        <v>3105466</v>
      </c>
      <c r="L148" s="18">
        <v>3105466</v>
      </c>
      <c r="M148" s="18"/>
      <c r="N148" s="18"/>
      <c r="O148" s="18"/>
      <c r="P148" s="18"/>
      <c r="Q148" s="20">
        <f>SUM(PAC!$M148:$P148)</f>
        <v>0</v>
      </c>
      <c r="R148" s="20"/>
      <c r="S148" s="20">
        <f>IF(PAC!$R148&gt;0,PAC!$R148,PAC!$Q148)</f>
        <v>0</v>
      </c>
      <c r="T148" s="20"/>
      <c r="U148" s="103" t="s">
        <v>1574</v>
      </c>
      <c r="V148" s="103"/>
      <c r="W148" s="104"/>
      <c r="X148" s="104" t="s">
        <v>1419</v>
      </c>
      <c r="Y148" s="101" t="s">
        <v>2478</v>
      </c>
      <c r="Z148" s="87"/>
      <c r="AA148" s="105"/>
      <c r="AB148" s="108"/>
      <c r="AC148" s="40"/>
      <c r="AD148" s="106"/>
      <c r="AE148" s="102"/>
      <c r="AF148" s="40" t="s">
        <v>987</v>
      </c>
      <c r="AG148" s="40"/>
      <c r="AH148" s="40"/>
      <c r="AI148" s="40"/>
      <c r="AJ148" s="87"/>
      <c r="AK148" s="40"/>
      <c r="AL148" s="40"/>
      <c r="AM148" s="40" t="s">
        <v>716</v>
      </c>
      <c r="AN148" s="87"/>
      <c r="AO148" s="87"/>
      <c r="AP148" s="87"/>
      <c r="AQ148" s="87"/>
      <c r="AR148" s="107"/>
      <c r="AS148" s="107"/>
      <c r="AT148" s="103" t="s">
        <v>518</v>
      </c>
      <c r="AU148" s="108"/>
      <c r="AV148" s="106"/>
      <c r="AW148" s="132" t="s">
        <v>836</v>
      </c>
      <c r="AX148" s="109">
        <f>IFERROR(IF(PAC!$X148="F01 - CAPTAÇÃO DE RECURSO",1,""),"")</f>
        <v>1</v>
      </c>
      <c r="AY148" s="109" t="str">
        <f>IFERROR(IF(PAC!$X148="F02 - LICITAÇÃO",1,""),"")</f>
        <v/>
      </c>
      <c r="AZ148" s="110" t="str">
        <f>IFERROR(IF(PAC!$X$6:$X$581="F03 - EXECUÇÃO DO OBJETO",1,""),"")</f>
        <v/>
      </c>
      <c r="BA148" s="110" t="str">
        <f>IFERROR(IF(PAC!$X$6:$X$581="F04 - CONCLUÍDA",1,""),"")</f>
        <v/>
      </c>
      <c r="BB148" s="111">
        <f>IF(PAC!$R148&gt;0,0,PAC!$Q148)</f>
        <v>0</v>
      </c>
    </row>
    <row r="149" spans="1:54" s="1" customFormat="1" ht="177.75" hidden="1" customHeight="1" thickBot="1">
      <c r="A149" s="112">
        <f t="shared" si="2"/>
        <v>144</v>
      </c>
      <c r="B149" s="112">
        <v>2025</v>
      </c>
      <c r="C149" s="112" t="s">
        <v>605</v>
      </c>
      <c r="D149" s="112" t="s">
        <v>1010</v>
      </c>
      <c r="E149" s="114" t="s">
        <v>725</v>
      </c>
      <c r="F149" s="112" t="s">
        <v>53</v>
      </c>
      <c r="G149" s="112" t="s">
        <v>503</v>
      </c>
      <c r="H149" s="115" t="s">
        <v>1244</v>
      </c>
      <c r="I149" s="112" t="s">
        <v>1238</v>
      </c>
      <c r="J149" s="112" t="s">
        <v>96</v>
      </c>
      <c r="K149" s="31">
        <v>2458414</v>
      </c>
      <c r="L149" s="31">
        <v>2458414</v>
      </c>
      <c r="M149" s="31"/>
      <c r="N149" s="31"/>
      <c r="O149" s="31"/>
      <c r="P149" s="31"/>
      <c r="Q149" s="33">
        <f>SUM(PAC!$M149:$P149)</f>
        <v>0</v>
      </c>
      <c r="R149" s="33"/>
      <c r="S149" s="33">
        <f>IF(PAC!$R149&gt;0,PAC!$R149,PAC!$Q149)</f>
        <v>0</v>
      </c>
      <c r="T149" s="33"/>
      <c r="U149" s="116" t="s">
        <v>1574</v>
      </c>
      <c r="V149" s="116"/>
      <c r="W149" s="117"/>
      <c r="X149" s="117" t="s">
        <v>1419</v>
      </c>
      <c r="Y149" s="113" t="s">
        <v>2478</v>
      </c>
      <c r="Z149" s="118"/>
      <c r="AA149" s="119"/>
      <c r="AB149" s="122"/>
      <c r="AC149" s="115"/>
      <c r="AD149" s="120"/>
      <c r="AE149" s="114"/>
      <c r="AF149" s="115" t="s">
        <v>987</v>
      </c>
      <c r="AG149" s="115"/>
      <c r="AH149" s="115"/>
      <c r="AI149" s="115"/>
      <c r="AJ149" s="118"/>
      <c r="AK149" s="115"/>
      <c r="AL149" s="115"/>
      <c r="AM149" s="115" t="s">
        <v>716</v>
      </c>
      <c r="AN149" s="118"/>
      <c r="AO149" s="118"/>
      <c r="AP149" s="118"/>
      <c r="AQ149" s="118"/>
      <c r="AR149" s="121"/>
      <c r="AS149" s="121"/>
      <c r="AT149" s="116" t="s">
        <v>518</v>
      </c>
      <c r="AU149" s="122"/>
      <c r="AV149" s="120"/>
      <c r="AW149" s="133" t="s">
        <v>836</v>
      </c>
      <c r="AX149" s="194">
        <f>IFERROR(IF(PAC!$X149="F01 - CAPTAÇÃO DE RECURSO",1,""),"")</f>
        <v>1</v>
      </c>
      <c r="AY149" s="194" t="str">
        <f>IFERROR(IF(PAC!$X149="F02 - LICITAÇÃO",1,""),"")</f>
        <v/>
      </c>
      <c r="AZ149" s="123" t="str">
        <f>IFERROR(IF(PAC!$X$6:$X$581="F03 - EXECUÇÃO DO OBJETO",1,""),"")</f>
        <v/>
      </c>
      <c r="BA149" s="123" t="str">
        <f>IFERROR(IF(PAC!$X$6:$X$581="F04 - CONCLUÍDA",1,""),"")</f>
        <v/>
      </c>
      <c r="BB149" s="191">
        <f>IF(PAC!$R149&gt;0,0,PAC!$Q149)</f>
        <v>0</v>
      </c>
    </row>
    <row r="150" spans="1:54" s="1" customFormat="1" ht="409.5" hidden="1" customHeight="1" thickBot="1">
      <c r="A150" s="88">
        <f t="shared" si="2"/>
        <v>145</v>
      </c>
      <c r="B150" s="88">
        <v>2025</v>
      </c>
      <c r="C150" s="88" t="s">
        <v>605</v>
      </c>
      <c r="D150" s="88" t="s">
        <v>1010</v>
      </c>
      <c r="E150" s="102" t="s">
        <v>726</v>
      </c>
      <c r="F150" s="88" t="s">
        <v>53</v>
      </c>
      <c r="G150" s="88" t="s">
        <v>503</v>
      </c>
      <c r="H150" s="40" t="s">
        <v>1244</v>
      </c>
      <c r="I150" s="88" t="s">
        <v>1238</v>
      </c>
      <c r="J150" s="88" t="s">
        <v>103</v>
      </c>
      <c r="K150" s="18">
        <v>818580.6</v>
      </c>
      <c r="L150" s="18">
        <v>818580.6</v>
      </c>
      <c r="M150" s="18"/>
      <c r="N150" s="18"/>
      <c r="O150" s="18"/>
      <c r="P150" s="18"/>
      <c r="Q150" s="20">
        <f>SUM(PAC!$M150:$P150)</f>
        <v>0</v>
      </c>
      <c r="R150" s="20"/>
      <c r="S150" s="20">
        <f>IF(PAC!$R150&gt;0,PAC!$R150,PAC!$Q150)</f>
        <v>0</v>
      </c>
      <c r="T150" s="20"/>
      <c r="U150" s="103" t="s">
        <v>1574</v>
      </c>
      <c r="V150" s="103"/>
      <c r="W150" s="104"/>
      <c r="X150" s="104" t="s">
        <v>1419</v>
      </c>
      <c r="Y150" s="101" t="s">
        <v>2478</v>
      </c>
      <c r="Z150" s="87"/>
      <c r="AA150" s="105"/>
      <c r="AB150" s="108"/>
      <c r="AC150" s="40"/>
      <c r="AD150" s="106"/>
      <c r="AE150" s="102"/>
      <c r="AF150" s="40" t="s">
        <v>987</v>
      </c>
      <c r="AG150" s="40"/>
      <c r="AH150" s="40"/>
      <c r="AI150" s="40"/>
      <c r="AJ150" s="87"/>
      <c r="AK150" s="40"/>
      <c r="AL150" s="40"/>
      <c r="AM150" s="40"/>
      <c r="AN150" s="87"/>
      <c r="AO150" s="87"/>
      <c r="AP150" s="87"/>
      <c r="AQ150" s="87"/>
      <c r="AR150" s="107"/>
      <c r="AS150" s="107"/>
      <c r="AT150" s="103" t="s">
        <v>518</v>
      </c>
      <c r="AU150" s="108"/>
      <c r="AV150" s="106"/>
      <c r="AW150" s="132" t="s">
        <v>836</v>
      </c>
      <c r="AX150" s="109">
        <f>IFERROR(IF(PAC!$X150="F01 - CAPTAÇÃO DE RECURSO",1,""),"")</f>
        <v>1</v>
      </c>
      <c r="AY150" s="109" t="str">
        <f>IFERROR(IF(PAC!$X150="F02 - LICITAÇÃO",1,""),"")</f>
        <v/>
      </c>
      <c r="AZ150" s="110" t="str">
        <f>IFERROR(IF(PAC!$X$6:$X$581="F03 - EXECUÇÃO DO OBJETO",1,""),"")</f>
        <v/>
      </c>
      <c r="BA150" s="110" t="str">
        <f>IFERROR(IF(PAC!$X$6:$X$581="F04 - CONCLUÍDA",1,""),"")</f>
        <v/>
      </c>
      <c r="BB150" s="111">
        <f>IF(PAC!$R150&gt;0,0,PAC!$Q150)</f>
        <v>0</v>
      </c>
    </row>
    <row r="151" spans="1:54" s="1" customFormat="1" ht="299.25" hidden="1" customHeight="1" thickBot="1">
      <c r="A151" s="112">
        <f t="shared" si="2"/>
        <v>146</v>
      </c>
      <c r="B151" s="112">
        <v>2025</v>
      </c>
      <c r="C151" s="112" t="s">
        <v>605</v>
      </c>
      <c r="D151" s="112" t="s">
        <v>1010</v>
      </c>
      <c r="E151" s="114" t="s">
        <v>727</v>
      </c>
      <c r="F151" s="112" t="s">
        <v>53</v>
      </c>
      <c r="G151" s="112" t="s">
        <v>503</v>
      </c>
      <c r="H151" s="115" t="s">
        <v>1244</v>
      </c>
      <c r="I151" s="112" t="s">
        <v>1238</v>
      </c>
      <c r="J151" s="112" t="s">
        <v>103</v>
      </c>
      <c r="K151" s="31"/>
      <c r="L151" s="31">
        <v>1227870.93</v>
      </c>
      <c r="M151" s="31">
        <v>1227870.93</v>
      </c>
      <c r="N151" s="31"/>
      <c r="O151" s="31"/>
      <c r="P151" s="31"/>
      <c r="Q151" s="33">
        <f>SUM(PAC!$M151:$P151)</f>
        <v>1227870.93</v>
      </c>
      <c r="R151" s="33"/>
      <c r="S151" s="33">
        <f>IF(PAC!$R151&gt;0,PAC!$R151,PAC!$Q151)</f>
        <v>1227870.93</v>
      </c>
      <c r="T151" s="33"/>
      <c r="U151" s="116" t="s">
        <v>1570</v>
      </c>
      <c r="V151" s="116"/>
      <c r="W151" s="117">
        <v>6</v>
      </c>
      <c r="X151" s="117" t="s">
        <v>1418</v>
      </c>
      <c r="Y151" s="113" t="s">
        <v>2472</v>
      </c>
      <c r="Z151" s="118"/>
      <c r="AA151" s="119"/>
      <c r="AB151" s="122" t="s">
        <v>1464</v>
      </c>
      <c r="AC151" s="115" t="s">
        <v>2657</v>
      </c>
      <c r="AD151" s="120">
        <v>46274</v>
      </c>
      <c r="AE151" s="114" t="s">
        <v>2681</v>
      </c>
      <c r="AF151" s="115" t="s">
        <v>1638</v>
      </c>
      <c r="AG151" s="115" t="s">
        <v>1722</v>
      </c>
      <c r="AH151" s="115" t="s">
        <v>977</v>
      </c>
      <c r="AI151" s="115"/>
      <c r="AJ151" s="118"/>
      <c r="AK151" s="115" t="s">
        <v>1670</v>
      </c>
      <c r="AL151" s="115" t="s">
        <v>2108</v>
      </c>
      <c r="AM151" s="115" t="s">
        <v>716</v>
      </c>
      <c r="AN151" s="118">
        <v>46247</v>
      </c>
      <c r="AO151" s="118">
        <v>46274</v>
      </c>
      <c r="AP151" s="118"/>
      <c r="AQ151" s="118"/>
      <c r="AR151" s="121"/>
      <c r="AS151" s="121"/>
      <c r="AT151" s="116" t="s">
        <v>2332</v>
      </c>
      <c r="AU151" s="122" t="s">
        <v>2658</v>
      </c>
      <c r="AV151" s="120"/>
      <c r="AW151" s="133" t="s">
        <v>707</v>
      </c>
      <c r="AX151" s="194" t="str">
        <f>IFERROR(IF(PAC!$X151="F01 - CAPTAÇÃO DE RECURSO",1,""),"")</f>
        <v/>
      </c>
      <c r="AY151" s="194">
        <f>IFERROR(IF(PAC!$X151="F02 - LICITAÇÃO",1,""),"")</f>
        <v>1</v>
      </c>
      <c r="AZ151" s="123" t="str">
        <f>IFERROR(IF(PAC!$X$6:$X$581="F03 - EXECUÇÃO DO OBJETO",1,""),"")</f>
        <v/>
      </c>
      <c r="BA151" s="123" t="str">
        <f>IFERROR(IF(PAC!$X$6:$X$581="F04 - CONCLUÍDA",1,""),"")</f>
        <v/>
      </c>
      <c r="BB151" s="191">
        <f>IF(PAC!$R151&gt;0,0,PAC!$Q151)</f>
        <v>1227870.93</v>
      </c>
    </row>
    <row r="152" spans="1:54" s="1" customFormat="1" ht="409.5" hidden="1" customHeight="1" thickBot="1">
      <c r="A152" s="88">
        <f t="shared" si="2"/>
        <v>147</v>
      </c>
      <c r="B152" s="88">
        <v>2025</v>
      </c>
      <c r="C152" s="88" t="s">
        <v>605</v>
      </c>
      <c r="D152" s="88" t="s">
        <v>1010</v>
      </c>
      <c r="E152" s="102" t="s">
        <v>728</v>
      </c>
      <c r="F152" s="88" t="s">
        <v>53</v>
      </c>
      <c r="G152" s="88" t="s">
        <v>503</v>
      </c>
      <c r="H152" s="40" t="s">
        <v>1244</v>
      </c>
      <c r="I152" s="88" t="s">
        <v>1238</v>
      </c>
      <c r="J152" s="88" t="s">
        <v>103</v>
      </c>
      <c r="K152" s="18">
        <v>645581.61</v>
      </c>
      <c r="L152" s="18">
        <v>645581.61</v>
      </c>
      <c r="M152" s="18"/>
      <c r="N152" s="18"/>
      <c r="O152" s="18"/>
      <c r="P152" s="18"/>
      <c r="Q152" s="20">
        <f>SUM(PAC!$M152:$P152)</f>
        <v>0</v>
      </c>
      <c r="R152" s="20"/>
      <c r="S152" s="20">
        <f>IF(PAC!$R152&gt;0,PAC!$R152,PAC!$Q152)</f>
        <v>0</v>
      </c>
      <c r="T152" s="20"/>
      <c r="U152" s="103" t="s">
        <v>1574</v>
      </c>
      <c r="V152" s="103"/>
      <c r="W152" s="104"/>
      <c r="X152" s="104" t="s">
        <v>1419</v>
      </c>
      <c r="Y152" s="101" t="s">
        <v>2478</v>
      </c>
      <c r="Z152" s="87"/>
      <c r="AA152" s="105"/>
      <c r="AB152" s="108"/>
      <c r="AC152" s="40"/>
      <c r="AD152" s="106"/>
      <c r="AE152" s="102"/>
      <c r="AF152" s="40" t="s">
        <v>987</v>
      </c>
      <c r="AG152" s="40"/>
      <c r="AH152" s="40"/>
      <c r="AI152" s="40"/>
      <c r="AJ152" s="87"/>
      <c r="AK152" s="40"/>
      <c r="AL152" s="40"/>
      <c r="AM152" s="40" t="s">
        <v>716</v>
      </c>
      <c r="AN152" s="87"/>
      <c r="AO152" s="87"/>
      <c r="AP152" s="87"/>
      <c r="AQ152" s="87"/>
      <c r="AR152" s="107"/>
      <c r="AS152" s="107"/>
      <c r="AT152" s="103" t="s">
        <v>518</v>
      </c>
      <c r="AU152" s="108"/>
      <c r="AV152" s="106"/>
      <c r="AW152" s="132" t="s">
        <v>836</v>
      </c>
      <c r="AX152" s="109">
        <f>IFERROR(IF(PAC!$X152="F01 - CAPTAÇÃO DE RECURSO",1,""),"")</f>
        <v>1</v>
      </c>
      <c r="AY152" s="109" t="str">
        <f>IFERROR(IF(PAC!$X152="F02 - LICITAÇÃO",1,""),"")</f>
        <v/>
      </c>
      <c r="AZ152" s="110" t="str">
        <f>IFERROR(IF(PAC!$X$6:$X$581="F03 - EXECUÇÃO DO OBJETO",1,""),"")</f>
        <v/>
      </c>
      <c r="BA152" s="110" t="str">
        <f>IFERROR(IF(PAC!$X$6:$X$581="F04 - CONCLUÍDA",1,""),"")</f>
        <v/>
      </c>
      <c r="BB152" s="111">
        <f>IF(PAC!$R152&gt;0,0,PAC!$Q152)</f>
        <v>0</v>
      </c>
    </row>
    <row r="153" spans="1:54" s="1" customFormat="1" ht="63" hidden="1" customHeight="1" thickBot="1">
      <c r="A153" s="112">
        <f t="shared" si="2"/>
        <v>148</v>
      </c>
      <c r="B153" s="112">
        <v>2025</v>
      </c>
      <c r="C153" s="112" t="s">
        <v>605</v>
      </c>
      <c r="D153" s="112" t="s">
        <v>1010</v>
      </c>
      <c r="E153" s="114" t="s">
        <v>729</v>
      </c>
      <c r="F153" s="112" t="s">
        <v>53</v>
      </c>
      <c r="G153" s="112" t="s">
        <v>503</v>
      </c>
      <c r="H153" s="115" t="s">
        <v>1244</v>
      </c>
      <c r="I153" s="112" t="s">
        <v>1238</v>
      </c>
      <c r="J153" s="112" t="s">
        <v>103</v>
      </c>
      <c r="K153" s="31">
        <v>2298776.91</v>
      </c>
      <c r="L153" s="31">
        <v>2298776.91</v>
      </c>
      <c r="M153" s="31"/>
      <c r="N153" s="31"/>
      <c r="O153" s="31"/>
      <c r="P153" s="31"/>
      <c r="Q153" s="33">
        <f>SUM(PAC!$M153:$P153)</f>
        <v>0</v>
      </c>
      <c r="R153" s="33"/>
      <c r="S153" s="33">
        <f>IF(PAC!$R153&gt;0,PAC!$R153,PAC!$Q153)</f>
        <v>0</v>
      </c>
      <c r="T153" s="33"/>
      <c r="U153" s="116" t="s">
        <v>1574</v>
      </c>
      <c r="V153" s="116"/>
      <c r="W153" s="117"/>
      <c r="X153" s="117" t="s">
        <v>1419</v>
      </c>
      <c r="Y153" s="113" t="s">
        <v>2478</v>
      </c>
      <c r="Z153" s="118"/>
      <c r="AA153" s="119"/>
      <c r="AB153" s="122"/>
      <c r="AC153" s="115"/>
      <c r="AD153" s="120"/>
      <c r="AE153" s="114"/>
      <c r="AF153" s="115" t="s">
        <v>987</v>
      </c>
      <c r="AG153" s="115"/>
      <c r="AH153" s="115"/>
      <c r="AI153" s="115"/>
      <c r="AJ153" s="118"/>
      <c r="AK153" s="115"/>
      <c r="AL153" s="115"/>
      <c r="AM153" s="115" t="s">
        <v>716</v>
      </c>
      <c r="AN153" s="118"/>
      <c r="AO153" s="118"/>
      <c r="AP153" s="118"/>
      <c r="AQ153" s="118"/>
      <c r="AR153" s="121"/>
      <c r="AS153" s="121"/>
      <c r="AT153" s="116" t="s">
        <v>518</v>
      </c>
      <c r="AU153" s="122"/>
      <c r="AV153" s="120"/>
      <c r="AW153" s="133" t="s">
        <v>836</v>
      </c>
      <c r="AX153" s="194">
        <f>IFERROR(IF(PAC!$X153="F01 - CAPTAÇÃO DE RECURSO",1,""),"")</f>
        <v>1</v>
      </c>
      <c r="AY153" s="194" t="str">
        <f>IFERROR(IF(PAC!$X153="F02 - LICITAÇÃO",1,""),"")</f>
        <v/>
      </c>
      <c r="AZ153" s="123" t="str">
        <f>IFERROR(IF(PAC!$X$6:$X$581="F03 - EXECUÇÃO DO OBJETO",1,""),"")</f>
        <v/>
      </c>
      <c r="BA153" s="123" t="str">
        <f>IFERROR(IF(PAC!$X$6:$X$581="F04 - CONCLUÍDA",1,""),"")</f>
        <v/>
      </c>
      <c r="BB153" s="191">
        <f>IF(PAC!$R153&gt;0,0,PAC!$Q153)</f>
        <v>0</v>
      </c>
    </row>
    <row r="154" spans="1:54" s="1" customFormat="1" ht="200.25" hidden="1" customHeight="1" thickBot="1">
      <c r="A154" s="88">
        <f t="shared" si="2"/>
        <v>149</v>
      </c>
      <c r="B154" s="88">
        <v>2025</v>
      </c>
      <c r="C154" s="88" t="s">
        <v>605</v>
      </c>
      <c r="D154" s="88" t="s">
        <v>1010</v>
      </c>
      <c r="E154" s="102" t="s">
        <v>730</v>
      </c>
      <c r="F154" s="88" t="s">
        <v>53</v>
      </c>
      <c r="G154" s="88" t="s">
        <v>503</v>
      </c>
      <c r="H154" s="40" t="s">
        <v>1244</v>
      </c>
      <c r="I154" s="88" t="s">
        <v>1238</v>
      </c>
      <c r="J154" s="88" t="s">
        <v>153</v>
      </c>
      <c r="K154" s="18"/>
      <c r="L154" s="18">
        <v>1757529.65</v>
      </c>
      <c r="M154" s="18">
        <v>1757529.65</v>
      </c>
      <c r="N154" s="18"/>
      <c r="O154" s="18"/>
      <c r="P154" s="18"/>
      <c r="Q154" s="20">
        <f>SUM(PAC!$M154:$P154)</f>
        <v>1757529.65</v>
      </c>
      <c r="R154" s="20"/>
      <c r="S154" s="20">
        <f>IF(PAC!$R154&gt;0,PAC!$R154,PAC!$Q154)</f>
        <v>1757529.65</v>
      </c>
      <c r="T154" s="20"/>
      <c r="U154" s="103" t="s">
        <v>1570</v>
      </c>
      <c r="V154" s="103"/>
      <c r="W154" s="104">
        <v>8</v>
      </c>
      <c r="X154" s="104" t="s">
        <v>1418</v>
      </c>
      <c r="Y154" s="101" t="s">
        <v>2472</v>
      </c>
      <c r="Z154" s="87"/>
      <c r="AA154" s="105"/>
      <c r="AB154" s="108" t="s">
        <v>1464</v>
      </c>
      <c r="AC154" s="40" t="s">
        <v>2657</v>
      </c>
      <c r="AD154" s="106">
        <v>46274</v>
      </c>
      <c r="AE154" s="102" t="s">
        <v>2682</v>
      </c>
      <c r="AF154" s="40" t="s">
        <v>1638</v>
      </c>
      <c r="AG154" s="40" t="s">
        <v>1723</v>
      </c>
      <c r="AH154" s="40" t="s">
        <v>977</v>
      </c>
      <c r="AI154" s="40"/>
      <c r="AJ154" s="87"/>
      <c r="AK154" s="40" t="s">
        <v>1936</v>
      </c>
      <c r="AL154" s="40" t="s">
        <v>2109</v>
      </c>
      <c r="AM154" s="40" t="s">
        <v>716</v>
      </c>
      <c r="AN154" s="87">
        <v>46247</v>
      </c>
      <c r="AO154" s="87">
        <v>46274</v>
      </c>
      <c r="AP154" s="87"/>
      <c r="AQ154" s="87"/>
      <c r="AR154" s="107"/>
      <c r="AS154" s="107"/>
      <c r="AT154" s="103" t="s">
        <v>2333</v>
      </c>
      <c r="AU154" s="108" t="s">
        <v>2658</v>
      </c>
      <c r="AV154" s="106"/>
      <c r="AW154" s="132" t="s">
        <v>707</v>
      </c>
      <c r="AX154" s="109" t="str">
        <f>IFERROR(IF(PAC!$X154="F01 - CAPTAÇÃO DE RECURSO",1,""),"")</f>
        <v/>
      </c>
      <c r="AY154" s="109">
        <f>IFERROR(IF(PAC!$X154="F02 - LICITAÇÃO",1,""),"")</f>
        <v>1</v>
      </c>
      <c r="AZ154" s="110" t="str">
        <f>IFERROR(IF(PAC!$X$6:$X$581="F03 - EXECUÇÃO DO OBJETO",1,""),"")</f>
        <v/>
      </c>
      <c r="BA154" s="110" t="str">
        <f>IFERROR(IF(PAC!$X$6:$X$581="F04 - CONCLUÍDA",1,""),"")</f>
        <v/>
      </c>
      <c r="BB154" s="111">
        <f>IF(PAC!$R154&gt;0,0,PAC!$Q154)</f>
        <v>1757529.65</v>
      </c>
    </row>
    <row r="155" spans="1:54" s="1" customFormat="1" ht="186.75" hidden="1" customHeight="1" thickBot="1">
      <c r="A155" s="112">
        <f t="shared" si="2"/>
        <v>150</v>
      </c>
      <c r="B155" s="112">
        <v>2025</v>
      </c>
      <c r="C155" s="112" t="s">
        <v>605</v>
      </c>
      <c r="D155" s="112" t="s">
        <v>1010</v>
      </c>
      <c r="E155" s="114" t="s">
        <v>731</v>
      </c>
      <c r="F155" s="112" t="s">
        <v>53</v>
      </c>
      <c r="G155" s="112" t="s">
        <v>503</v>
      </c>
      <c r="H155" s="115" t="s">
        <v>1244</v>
      </c>
      <c r="I155" s="112" t="s">
        <v>1238</v>
      </c>
      <c r="J155" s="112" t="s">
        <v>169</v>
      </c>
      <c r="K155" s="31">
        <v>2261169.2599999998</v>
      </c>
      <c r="L155" s="31">
        <v>2261169.2599999998</v>
      </c>
      <c r="M155" s="31"/>
      <c r="N155" s="31"/>
      <c r="O155" s="31"/>
      <c r="P155" s="31"/>
      <c r="Q155" s="33">
        <f>SUM(PAC!$M155:$P155)</f>
        <v>0</v>
      </c>
      <c r="R155" s="33"/>
      <c r="S155" s="33">
        <f>IF(PAC!$R155&gt;0,PAC!$R155,PAC!$Q155)</f>
        <v>0</v>
      </c>
      <c r="T155" s="33"/>
      <c r="U155" s="116" t="s">
        <v>1574</v>
      </c>
      <c r="V155" s="116"/>
      <c r="W155" s="117"/>
      <c r="X155" s="117" t="s">
        <v>1419</v>
      </c>
      <c r="Y155" s="113" t="s">
        <v>2478</v>
      </c>
      <c r="Z155" s="118"/>
      <c r="AA155" s="119"/>
      <c r="AB155" s="122"/>
      <c r="AC155" s="115"/>
      <c r="AD155" s="120"/>
      <c r="AE155" s="114" t="s">
        <v>2443</v>
      </c>
      <c r="AF155" s="115" t="s">
        <v>987</v>
      </c>
      <c r="AG155" s="115"/>
      <c r="AH155" s="115"/>
      <c r="AI155" s="115"/>
      <c r="AJ155" s="118"/>
      <c r="AK155" s="115"/>
      <c r="AL155" s="115"/>
      <c r="AM155" s="115" t="s">
        <v>716</v>
      </c>
      <c r="AN155" s="118"/>
      <c r="AO155" s="118"/>
      <c r="AP155" s="118"/>
      <c r="AQ155" s="118"/>
      <c r="AR155" s="121"/>
      <c r="AS155" s="121"/>
      <c r="AT155" s="116" t="s">
        <v>518</v>
      </c>
      <c r="AU155" s="122"/>
      <c r="AV155" s="120"/>
      <c r="AW155" s="133" t="s">
        <v>707</v>
      </c>
      <c r="AX155" s="194">
        <f>IFERROR(IF(PAC!$X155="F01 - CAPTAÇÃO DE RECURSO",1,""),"")</f>
        <v>1</v>
      </c>
      <c r="AY155" s="194" t="str">
        <f>IFERROR(IF(PAC!$X155="F02 - LICITAÇÃO",1,""),"")</f>
        <v/>
      </c>
      <c r="AZ155" s="123" t="str">
        <f>IFERROR(IF(PAC!$X$6:$X$581="F03 - EXECUÇÃO DO OBJETO",1,""),"")</f>
        <v/>
      </c>
      <c r="BA155" s="123" t="str">
        <f>IFERROR(IF(PAC!$X$6:$X$581="F04 - CONCLUÍDA",1,""),"")</f>
        <v/>
      </c>
      <c r="BB155" s="191">
        <f>IF(PAC!$R155&gt;0,0,PAC!$Q155)</f>
        <v>0</v>
      </c>
    </row>
    <row r="156" spans="1:54" s="1" customFormat="1" ht="250.5" hidden="1" customHeight="1" thickBot="1">
      <c r="A156" s="88">
        <f t="shared" si="2"/>
        <v>151</v>
      </c>
      <c r="B156" s="88">
        <v>2025</v>
      </c>
      <c r="C156" s="88" t="s">
        <v>605</v>
      </c>
      <c r="D156" s="88" t="s">
        <v>1010</v>
      </c>
      <c r="E156" s="102" t="s">
        <v>732</v>
      </c>
      <c r="F156" s="88" t="s">
        <v>53</v>
      </c>
      <c r="G156" s="88" t="s">
        <v>503</v>
      </c>
      <c r="H156" s="40" t="s">
        <v>1244</v>
      </c>
      <c r="I156" s="88" t="s">
        <v>1238</v>
      </c>
      <c r="J156" s="88" t="s">
        <v>173</v>
      </c>
      <c r="K156" s="18"/>
      <c r="L156" s="18">
        <v>1306541.3500000001</v>
      </c>
      <c r="M156" s="18">
        <v>1306541.3500000001</v>
      </c>
      <c r="N156" s="18"/>
      <c r="O156" s="18"/>
      <c r="P156" s="18"/>
      <c r="Q156" s="20">
        <f>SUM(PAC!$M156:$P156)</f>
        <v>1306541.3500000001</v>
      </c>
      <c r="R156" s="20"/>
      <c r="S156" s="20">
        <f>IF(PAC!$R156&gt;0,PAC!$R156,PAC!$Q156)</f>
        <v>1306541.3500000001</v>
      </c>
      <c r="T156" s="20"/>
      <c r="U156" s="103" t="s">
        <v>1570</v>
      </c>
      <c r="V156" s="103"/>
      <c r="W156" s="104">
        <v>9</v>
      </c>
      <c r="X156" s="104" t="s">
        <v>1418</v>
      </c>
      <c r="Y156" s="101" t="s">
        <v>2472</v>
      </c>
      <c r="Z156" s="87"/>
      <c r="AA156" s="105"/>
      <c r="AB156" s="108" t="s">
        <v>1464</v>
      </c>
      <c r="AC156" s="40" t="s">
        <v>2657</v>
      </c>
      <c r="AD156" s="106">
        <v>46274</v>
      </c>
      <c r="AE156" s="102" t="s">
        <v>2682</v>
      </c>
      <c r="AF156" s="40" t="s">
        <v>1638</v>
      </c>
      <c r="AG156" s="40" t="s">
        <v>1723</v>
      </c>
      <c r="AH156" s="40" t="s">
        <v>977</v>
      </c>
      <c r="AI156" s="40"/>
      <c r="AJ156" s="87"/>
      <c r="AK156" s="40" t="s">
        <v>1671</v>
      </c>
      <c r="AL156" s="40" t="s">
        <v>2110</v>
      </c>
      <c r="AM156" s="40" t="s">
        <v>716</v>
      </c>
      <c r="AN156" s="87">
        <v>46247</v>
      </c>
      <c r="AO156" s="87">
        <v>46274</v>
      </c>
      <c r="AP156" s="87"/>
      <c r="AQ156" s="87"/>
      <c r="AR156" s="107"/>
      <c r="AS156" s="107"/>
      <c r="AT156" s="103" t="s">
        <v>2334</v>
      </c>
      <c r="AU156" s="108" t="s">
        <v>2658</v>
      </c>
      <c r="AV156" s="106"/>
      <c r="AW156" s="132" t="s">
        <v>707</v>
      </c>
      <c r="AX156" s="109" t="str">
        <f>IFERROR(IF(PAC!$X156="F01 - CAPTAÇÃO DE RECURSO",1,""),"")</f>
        <v/>
      </c>
      <c r="AY156" s="109">
        <f>IFERROR(IF(PAC!$X156="F02 - LICITAÇÃO",1,""),"")</f>
        <v>1</v>
      </c>
      <c r="AZ156" s="110" t="str">
        <f>IFERROR(IF(PAC!$X$6:$X$581="F03 - EXECUÇÃO DO OBJETO",1,""),"")</f>
        <v/>
      </c>
      <c r="BA156" s="110" t="str">
        <f>IFERROR(IF(PAC!$X$6:$X$581="F04 - CONCLUÍDA",1,""),"")</f>
        <v/>
      </c>
      <c r="BB156" s="111">
        <f>IF(PAC!$R156&gt;0,0,PAC!$Q156)</f>
        <v>1306541.3500000001</v>
      </c>
    </row>
    <row r="157" spans="1:54" s="1" customFormat="1" ht="63" hidden="1" customHeight="1" thickBot="1">
      <c r="A157" s="112">
        <f t="shared" si="2"/>
        <v>152</v>
      </c>
      <c r="B157" s="112">
        <v>2025</v>
      </c>
      <c r="C157" s="112" t="s">
        <v>605</v>
      </c>
      <c r="D157" s="112" t="s">
        <v>1010</v>
      </c>
      <c r="E157" s="114" t="s">
        <v>733</v>
      </c>
      <c r="F157" s="112" t="s">
        <v>53</v>
      </c>
      <c r="G157" s="112" t="s">
        <v>503</v>
      </c>
      <c r="H157" s="115" t="s">
        <v>1244</v>
      </c>
      <c r="I157" s="112" t="s">
        <v>1238</v>
      </c>
      <c r="J157" s="112" t="s">
        <v>189</v>
      </c>
      <c r="K157" s="31"/>
      <c r="L157" s="31">
        <v>4884770.1100000003</v>
      </c>
      <c r="M157" s="31">
        <v>4884770.1100000003</v>
      </c>
      <c r="N157" s="31"/>
      <c r="O157" s="31"/>
      <c r="P157" s="31"/>
      <c r="Q157" s="33">
        <f>SUM(PAC!$M157:$P157)</f>
        <v>4884770.1100000003</v>
      </c>
      <c r="R157" s="33"/>
      <c r="S157" s="33">
        <f>IF(PAC!$R157&gt;0,PAC!$R157,PAC!$Q157)</f>
        <v>4884770.1100000003</v>
      </c>
      <c r="T157" s="33"/>
      <c r="U157" s="116" t="s">
        <v>1570</v>
      </c>
      <c r="V157" s="116"/>
      <c r="W157" s="117">
        <v>15</v>
      </c>
      <c r="X157" s="117" t="s">
        <v>1418</v>
      </c>
      <c r="Y157" s="113" t="s">
        <v>2472</v>
      </c>
      <c r="Z157" s="118"/>
      <c r="AA157" s="119"/>
      <c r="AB157" s="122" t="s">
        <v>1464</v>
      </c>
      <c r="AC157" s="115" t="s">
        <v>2657</v>
      </c>
      <c r="AD157" s="120">
        <v>46274</v>
      </c>
      <c r="AE157" s="114" t="s">
        <v>2682</v>
      </c>
      <c r="AF157" s="115" t="s">
        <v>1638</v>
      </c>
      <c r="AG157" s="115" t="s">
        <v>1723</v>
      </c>
      <c r="AH157" s="115" t="s">
        <v>977</v>
      </c>
      <c r="AI157" s="115"/>
      <c r="AJ157" s="118"/>
      <c r="AK157" s="115" t="s">
        <v>1672</v>
      </c>
      <c r="AL157" s="115" t="s">
        <v>2111</v>
      </c>
      <c r="AM157" s="115"/>
      <c r="AN157" s="118">
        <v>46247</v>
      </c>
      <c r="AO157" s="118">
        <v>46274</v>
      </c>
      <c r="AP157" s="118"/>
      <c r="AQ157" s="118"/>
      <c r="AR157" s="121"/>
      <c r="AS157" s="121"/>
      <c r="AT157" s="116" t="s">
        <v>2335</v>
      </c>
      <c r="AU157" s="122" t="s">
        <v>2658</v>
      </c>
      <c r="AV157" s="120"/>
      <c r="AW157" s="133" t="s">
        <v>836</v>
      </c>
      <c r="AX157" s="194" t="str">
        <f>IFERROR(IF(PAC!$X157="F01 - CAPTAÇÃO DE RECURSO",1,""),"")</f>
        <v/>
      </c>
      <c r="AY157" s="194">
        <f>IFERROR(IF(PAC!$X157="F02 - LICITAÇÃO",1,""),"")</f>
        <v>1</v>
      </c>
      <c r="AZ157" s="123" t="str">
        <f>IFERROR(IF(PAC!$X$6:$X$581="F03 - EXECUÇÃO DO OBJETO",1,""),"")</f>
        <v/>
      </c>
      <c r="BA157" s="123" t="str">
        <f>IFERROR(IF(PAC!$X$6:$X$581="F04 - CONCLUÍDA",1,""),"")</f>
        <v/>
      </c>
      <c r="BB157" s="191">
        <f>IF(PAC!$R157&gt;0,0,PAC!$Q157)</f>
        <v>4884770.1100000003</v>
      </c>
    </row>
    <row r="158" spans="1:54" s="1" customFormat="1" ht="276.75" hidden="1" customHeight="1" thickBot="1">
      <c r="A158" s="88">
        <f t="shared" si="2"/>
        <v>153</v>
      </c>
      <c r="B158" s="88">
        <v>2025</v>
      </c>
      <c r="C158" s="88" t="s">
        <v>605</v>
      </c>
      <c r="D158" s="88" t="s">
        <v>1010</v>
      </c>
      <c r="E158" s="102" t="s">
        <v>734</v>
      </c>
      <c r="F158" s="88" t="s">
        <v>53</v>
      </c>
      <c r="G158" s="88" t="s">
        <v>503</v>
      </c>
      <c r="H158" s="40" t="s">
        <v>1244</v>
      </c>
      <c r="I158" s="88" t="s">
        <v>1238</v>
      </c>
      <c r="J158" s="88" t="s">
        <v>189</v>
      </c>
      <c r="K158" s="18">
        <v>3627943.04</v>
      </c>
      <c r="L158" s="18">
        <v>3627943.04</v>
      </c>
      <c r="M158" s="18"/>
      <c r="N158" s="18"/>
      <c r="O158" s="18"/>
      <c r="P158" s="18"/>
      <c r="Q158" s="20">
        <f>SUM(PAC!$M158:$P158)</f>
        <v>0</v>
      </c>
      <c r="R158" s="20"/>
      <c r="S158" s="20">
        <f>IF(PAC!$R158&gt;0,PAC!$R158,PAC!$Q158)</f>
        <v>0</v>
      </c>
      <c r="T158" s="20"/>
      <c r="U158" s="103" t="s">
        <v>1574</v>
      </c>
      <c r="V158" s="103"/>
      <c r="W158" s="104"/>
      <c r="X158" s="104" t="s">
        <v>1419</v>
      </c>
      <c r="Y158" s="101" t="s">
        <v>2478</v>
      </c>
      <c r="Z158" s="87"/>
      <c r="AA158" s="105"/>
      <c r="AB158" s="108"/>
      <c r="AC158" s="40"/>
      <c r="AD158" s="106"/>
      <c r="AE158" s="102" t="s">
        <v>2444</v>
      </c>
      <c r="AF158" s="40" t="s">
        <v>987</v>
      </c>
      <c r="AG158" s="40"/>
      <c r="AH158" s="40"/>
      <c r="AI158" s="40"/>
      <c r="AJ158" s="87"/>
      <c r="AK158" s="40"/>
      <c r="AL158" s="40"/>
      <c r="AM158" s="40"/>
      <c r="AN158" s="87"/>
      <c r="AO158" s="87"/>
      <c r="AP158" s="87"/>
      <c r="AQ158" s="87"/>
      <c r="AR158" s="107"/>
      <c r="AS158" s="107"/>
      <c r="AT158" s="103" t="s">
        <v>518</v>
      </c>
      <c r="AU158" s="108"/>
      <c r="AV158" s="106"/>
      <c r="AW158" s="132" t="s">
        <v>836</v>
      </c>
      <c r="AX158" s="109">
        <f>IFERROR(IF(PAC!$X158="F01 - CAPTAÇÃO DE RECURSO",1,""),"")</f>
        <v>1</v>
      </c>
      <c r="AY158" s="109" t="str">
        <f>IFERROR(IF(PAC!$X158="F02 - LICITAÇÃO",1,""),"")</f>
        <v/>
      </c>
      <c r="AZ158" s="110" t="str">
        <f>IFERROR(IF(PAC!$X$6:$X$581="F03 - EXECUÇÃO DO OBJETO",1,""),"")</f>
        <v/>
      </c>
      <c r="BA158" s="110" t="str">
        <f>IFERROR(IF(PAC!$X$6:$X$581="F04 - CONCLUÍDA",1,""),"")</f>
        <v/>
      </c>
      <c r="BB158" s="111">
        <f>IF(PAC!$R158&gt;0,0,PAC!$Q158)</f>
        <v>0</v>
      </c>
    </row>
    <row r="159" spans="1:54" s="1" customFormat="1" ht="213.75" hidden="1" customHeight="1" thickBot="1">
      <c r="A159" s="112">
        <f t="shared" si="2"/>
        <v>154</v>
      </c>
      <c r="B159" s="112">
        <v>2025</v>
      </c>
      <c r="C159" s="112" t="s">
        <v>605</v>
      </c>
      <c r="D159" s="112" t="s">
        <v>1010</v>
      </c>
      <c r="E159" s="114" t="s">
        <v>735</v>
      </c>
      <c r="F159" s="112" t="s">
        <v>53</v>
      </c>
      <c r="G159" s="112" t="s">
        <v>503</v>
      </c>
      <c r="H159" s="115" t="s">
        <v>1244</v>
      </c>
      <c r="I159" s="112" t="s">
        <v>1238</v>
      </c>
      <c r="J159" s="112" t="s">
        <v>189</v>
      </c>
      <c r="K159" s="31"/>
      <c r="L159" s="31">
        <v>5569768.3600000003</v>
      </c>
      <c r="M159" s="31">
        <v>5569768.3600000003</v>
      </c>
      <c r="N159" s="31"/>
      <c r="O159" s="31"/>
      <c r="P159" s="31"/>
      <c r="Q159" s="33">
        <f>SUM(PAC!$M159:$P159)</f>
        <v>5569768.3600000003</v>
      </c>
      <c r="R159" s="33"/>
      <c r="S159" s="33">
        <f>IF(PAC!$R159&gt;0,PAC!$R159,PAC!$Q159)</f>
        <v>5569768.3600000003</v>
      </c>
      <c r="T159" s="33"/>
      <c r="U159" s="116" t="s">
        <v>1570</v>
      </c>
      <c r="V159" s="116"/>
      <c r="W159" s="117">
        <v>13</v>
      </c>
      <c r="X159" s="117" t="s">
        <v>1418</v>
      </c>
      <c r="Y159" s="113" t="s">
        <v>2472</v>
      </c>
      <c r="Z159" s="118"/>
      <c r="AA159" s="119"/>
      <c r="AB159" s="122" t="s">
        <v>1464</v>
      </c>
      <c r="AC159" s="115" t="s">
        <v>2657</v>
      </c>
      <c r="AD159" s="120">
        <v>46274</v>
      </c>
      <c r="AE159" s="114" t="s">
        <v>2682</v>
      </c>
      <c r="AF159" s="115" t="s">
        <v>1638</v>
      </c>
      <c r="AG159" s="115" t="s">
        <v>1723</v>
      </c>
      <c r="AH159" s="115" t="s">
        <v>977</v>
      </c>
      <c r="AI159" s="115"/>
      <c r="AJ159" s="118"/>
      <c r="AK159" s="115" t="s">
        <v>1669</v>
      </c>
      <c r="AL159" s="115" t="s">
        <v>2112</v>
      </c>
      <c r="AM159" s="115"/>
      <c r="AN159" s="118">
        <v>46247</v>
      </c>
      <c r="AO159" s="118">
        <v>46274</v>
      </c>
      <c r="AP159" s="118"/>
      <c r="AQ159" s="118"/>
      <c r="AR159" s="121"/>
      <c r="AS159" s="121"/>
      <c r="AT159" s="116" t="s">
        <v>2336</v>
      </c>
      <c r="AU159" s="122" t="s">
        <v>2658</v>
      </c>
      <c r="AV159" s="120"/>
      <c r="AW159" s="133" t="s">
        <v>836</v>
      </c>
      <c r="AX159" s="194" t="str">
        <f>IFERROR(IF(PAC!$X159="F01 - CAPTAÇÃO DE RECURSO",1,""),"")</f>
        <v/>
      </c>
      <c r="AY159" s="194">
        <f>IFERROR(IF(PAC!$X159="F02 - LICITAÇÃO",1,""),"")</f>
        <v>1</v>
      </c>
      <c r="AZ159" s="123" t="str">
        <f>IFERROR(IF(PAC!$X$6:$X$581="F03 - EXECUÇÃO DO OBJETO",1,""),"")</f>
        <v/>
      </c>
      <c r="BA159" s="123" t="str">
        <f>IFERROR(IF(PAC!$X$6:$X$581="F04 - CONCLUÍDA",1,""),"")</f>
        <v/>
      </c>
      <c r="BB159" s="191">
        <f>IF(PAC!$R159&gt;0,0,PAC!$Q159)</f>
        <v>5569768.3600000003</v>
      </c>
    </row>
    <row r="160" spans="1:54" s="1" customFormat="1" ht="63" hidden="1" customHeight="1" thickBot="1">
      <c r="A160" s="88">
        <f t="shared" si="2"/>
        <v>155</v>
      </c>
      <c r="B160" s="88">
        <v>2025</v>
      </c>
      <c r="C160" s="88" t="s">
        <v>605</v>
      </c>
      <c r="D160" s="88" t="s">
        <v>1010</v>
      </c>
      <c r="E160" s="102" t="s">
        <v>736</v>
      </c>
      <c r="F160" s="88" t="s">
        <v>53</v>
      </c>
      <c r="G160" s="88" t="s">
        <v>503</v>
      </c>
      <c r="H160" s="40" t="s">
        <v>1244</v>
      </c>
      <c r="I160" s="88" t="s">
        <v>1238</v>
      </c>
      <c r="J160" s="88" t="s">
        <v>192</v>
      </c>
      <c r="K160" s="18"/>
      <c r="L160" s="18">
        <v>1811147.68</v>
      </c>
      <c r="M160" s="18">
        <v>1811147.68</v>
      </c>
      <c r="N160" s="18"/>
      <c r="O160" s="18"/>
      <c r="P160" s="18"/>
      <c r="Q160" s="20">
        <f>SUM(PAC!$M160:$P160)</f>
        <v>1811147.68</v>
      </c>
      <c r="R160" s="20"/>
      <c r="S160" s="20">
        <f>IF(PAC!$R160&gt;0,PAC!$R160,PAC!$Q160)</f>
        <v>1811147.68</v>
      </c>
      <c r="T160" s="20"/>
      <c r="U160" s="103" t="s">
        <v>1570</v>
      </c>
      <c r="V160" s="103"/>
      <c r="W160" s="104">
        <v>10</v>
      </c>
      <c r="X160" s="104" t="s">
        <v>1418</v>
      </c>
      <c r="Y160" s="101" t="s">
        <v>2472</v>
      </c>
      <c r="Z160" s="87"/>
      <c r="AA160" s="105"/>
      <c r="AB160" s="108" t="s">
        <v>1464</v>
      </c>
      <c r="AC160" s="40" t="s">
        <v>2657</v>
      </c>
      <c r="AD160" s="106">
        <v>46274</v>
      </c>
      <c r="AE160" s="102" t="s">
        <v>2682</v>
      </c>
      <c r="AF160" s="40" t="s">
        <v>1638</v>
      </c>
      <c r="AG160" s="40" t="s">
        <v>1723</v>
      </c>
      <c r="AH160" s="40" t="s">
        <v>977</v>
      </c>
      <c r="AI160" s="40"/>
      <c r="AJ160" s="87"/>
      <c r="AK160" s="40" t="s">
        <v>1673</v>
      </c>
      <c r="AL160" s="40" t="s">
        <v>2113</v>
      </c>
      <c r="AM160" s="40" t="s">
        <v>716</v>
      </c>
      <c r="AN160" s="87">
        <v>46247</v>
      </c>
      <c r="AO160" s="87">
        <v>46274</v>
      </c>
      <c r="AP160" s="87"/>
      <c r="AQ160" s="87"/>
      <c r="AR160" s="107"/>
      <c r="AS160" s="107"/>
      <c r="AT160" s="103" t="s">
        <v>2337</v>
      </c>
      <c r="AU160" s="108" t="s">
        <v>2658</v>
      </c>
      <c r="AV160" s="106"/>
      <c r="AW160" s="132" t="s">
        <v>570</v>
      </c>
      <c r="AX160" s="109" t="str">
        <f>IFERROR(IF(PAC!$X160="F01 - CAPTAÇÃO DE RECURSO",1,""),"")</f>
        <v/>
      </c>
      <c r="AY160" s="109">
        <f>IFERROR(IF(PAC!$X160="F02 - LICITAÇÃO",1,""),"")</f>
        <v>1</v>
      </c>
      <c r="AZ160" s="110" t="str">
        <f>IFERROR(IF(PAC!$X$6:$X$581="F03 - EXECUÇÃO DO OBJETO",1,""),"")</f>
        <v/>
      </c>
      <c r="BA160" s="110" t="str">
        <f>IFERROR(IF(PAC!$X$6:$X$581="F04 - CONCLUÍDA",1,""),"")</f>
        <v/>
      </c>
      <c r="BB160" s="111">
        <f>IF(PAC!$R160&gt;0,0,PAC!$Q160)</f>
        <v>1811147.68</v>
      </c>
    </row>
    <row r="161" spans="1:54" s="1" customFormat="1" ht="138.75" hidden="1" customHeight="1" thickBot="1">
      <c r="A161" s="112">
        <f t="shared" si="2"/>
        <v>156</v>
      </c>
      <c r="B161" s="112">
        <v>2025</v>
      </c>
      <c r="C161" s="112" t="s">
        <v>605</v>
      </c>
      <c r="D161" s="112" t="s">
        <v>1010</v>
      </c>
      <c r="E161" s="114" t="s">
        <v>737</v>
      </c>
      <c r="F161" s="112" t="s">
        <v>53</v>
      </c>
      <c r="G161" s="112" t="s">
        <v>503</v>
      </c>
      <c r="H161" s="115" t="s">
        <v>1244</v>
      </c>
      <c r="I161" s="112" t="s">
        <v>1238</v>
      </c>
      <c r="J161" s="112" t="s">
        <v>203</v>
      </c>
      <c r="K161" s="31">
        <v>2299985</v>
      </c>
      <c r="L161" s="31">
        <v>2299985</v>
      </c>
      <c r="M161" s="31"/>
      <c r="N161" s="31"/>
      <c r="O161" s="31"/>
      <c r="P161" s="31"/>
      <c r="Q161" s="33">
        <f>SUM(PAC!$M161:$P161)</f>
        <v>0</v>
      </c>
      <c r="R161" s="33"/>
      <c r="S161" s="33">
        <f>IF(PAC!$R161&gt;0,PAC!$R161,PAC!$Q161)</f>
        <v>0</v>
      </c>
      <c r="T161" s="33"/>
      <c r="U161" s="116" t="s">
        <v>1574</v>
      </c>
      <c r="V161" s="116"/>
      <c r="W161" s="117"/>
      <c r="X161" s="117" t="s">
        <v>1419</v>
      </c>
      <c r="Y161" s="113" t="s">
        <v>2478</v>
      </c>
      <c r="Z161" s="118"/>
      <c r="AA161" s="119"/>
      <c r="AB161" s="122"/>
      <c r="AC161" s="115"/>
      <c r="AD161" s="120"/>
      <c r="AE161" s="114" t="s">
        <v>2445</v>
      </c>
      <c r="AF161" s="115" t="s">
        <v>987</v>
      </c>
      <c r="AG161" s="115"/>
      <c r="AH161" s="115"/>
      <c r="AI161" s="115"/>
      <c r="AJ161" s="118"/>
      <c r="AK161" s="115"/>
      <c r="AL161" s="115"/>
      <c r="AM161" s="115" t="s">
        <v>716</v>
      </c>
      <c r="AN161" s="118"/>
      <c r="AO161" s="118"/>
      <c r="AP161" s="118"/>
      <c r="AQ161" s="118"/>
      <c r="AR161" s="121"/>
      <c r="AS161" s="121"/>
      <c r="AT161" s="116" t="s">
        <v>518</v>
      </c>
      <c r="AU161" s="122"/>
      <c r="AV161" s="120"/>
      <c r="AW161" s="133" t="s">
        <v>836</v>
      </c>
      <c r="AX161" s="194">
        <f>IFERROR(IF(PAC!$X161="F01 - CAPTAÇÃO DE RECURSO",1,""),"")</f>
        <v>1</v>
      </c>
      <c r="AY161" s="194" t="str">
        <f>IFERROR(IF(PAC!$X161="F02 - LICITAÇÃO",1,""),"")</f>
        <v/>
      </c>
      <c r="AZ161" s="123" t="str">
        <f>IFERROR(IF(PAC!$X$6:$X$581="F03 - EXECUÇÃO DO OBJETO",1,""),"")</f>
        <v/>
      </c>
      <c r="BA161" s="123" t="str">
        <f>IFERROR(IF(PAC!$X$6:$X$581="F04 - CONCLUÍDA",1,""),"")</f>
        <v/>
      </c>
      <c r="BB161" s="191">
        <f>IF(PAC!$R161&gt;0,0,PAC!$Q161)</f>
        <v>0</v>
      </c>
    </row>
    <row r="162" spans="1:54" s="1" customFormat="1" ht="64.5" hidden="1" customHeight="1" thickBot="1">
      <c r="A162" s="88">
        <f t="shared" si="2"/>
        <v>157</v>
      </c>
      <c r="B162" s="88">
        <v>2025</v>
      </c>
      <c r="C162" s="88" t="s">
        <v>605</v>
      </c>
      <c r="D162" s="88" t="s">
        <v>1010</v>
      </c>
      <c r="E162" s="102" t="s">
        <v>738</v>
      </c>
      <c r="F162" s="88" t="s">
        <v>53</v>
      </c>
      <c r="G162" s="88" t="s">
        <v>503</v>
      </c>
      <c r="H162" s="40" t="s">
        <v>1244</v>
      </c>
      <c r="I162" s="88" t="s">
        <v>1238</v>
      </c>
      <c r="J162" s="88" t="s">
        <v>222</v>
      </c>
      <c r="K162" s="18">
        <v>1818763.19</v>
      </c>
      <c r="L162" s="18">
        <v>1818763.19</v>
      </c>
      <c r="M162" s="18"/>
      <c r="N162" s="18"/>
      <c r="O162" s="18"/>
      <c r="P162" s="18"/>
      <c r="Q162" s="20">
        <f>SUM(PAC!$M162:$P162)</f>
        <v>0</v>
      </c>
      <c r="R162" s="20"/>
      <c r="S162" s="20">
        <f>IF(PAC!$R162&gt;0,PAC!$R162,PAC!$Q162)</f>
        <v>0</v>
      </c>
      <c r="T162" s="20"/>
      <c r="U162" s="103" t="s">
        <v>1574</v>
      </c>
      <c r="V162" s="103"/>
      <c r="W162" s="104"/>
      <c r="X162" s="104" t="s">
        <v>1419</v>
      </c>
      <c r="Y162" s="101" t="s">
        <v>2478</v>
      </c>
      <c r="Z162" s="87"/>
      <c r="AA162" s="105"/>
      <c r="AB162" s="108"/>
      <c r="AC162" s="40"/>
      <c r="AD162" s="106"/>
      <c r="AE162" s="102" t="s">
        <v>2446</v>
      </c>
      <c r="AF162" s="40" t="s">
        <v>987</v>
      </c>
      <c r="AG162" s="40"/>
      <c r="AH162" s="40"/>
      <c r="AI162" s="40"/>
      <c r="AJ162" s="87"/>
      <c r="AK162" s="40"/>
      <c r="AL162" s="40"/>
      <c r="AM162" s="40" t="s">
        <v>716</v>
      </c>
      <c r="AN162" s="87"/>
      <c r="AO162" s="87"/>
      <c r="AP162" s="87"/>
      <c r="AQ162" s="87"/>
      <c r="AR162" s="107"/>
      <c r="AS162" s="107"/>
      <c r="AT162" s="103" t="s">
        <v>518</v>
      </c>
      <c r="AU162" s="108"/>
      <c r="AV162" s="106"/>
      <c r="AW162" s="132" t="s">
        <v>836</v>
      </c>
      <c r="AX162" s="109">
        <f>IFERROR(IF(PAC!$X162="F01 - CAPTAÇÃO DE RECURSO",1,""),"")</f>
        <v>1</v>
      </c>
      <c r="AY162" s="109" t="str">
        <f>IFERROR(IF(PAC!$X162="F02 - LICITAÇÃO",1,""),"")</f>
        <v/>
      </c>
      <c r="AZ162" s="110" t="str">
        <f>IFERROR(IF(PAC!$X$6:$X$581="F03 - EXECUÇÃO DO OBJETO",1,""),"")</f>
        <v/>
      </c>
      <c r="BA162" s="110" t="str">
        <f>IFERROR(IF(PAC!$X$6:$X$581="F04 - CONCLUÍDA",1,""),"")</f>
        <v/>
      </c>
      <c r="BB162" s="111">
        <f>IF(PAC!$R162&gt;0,0,PAC!$Q162)</f>
        <v>0</v>
      </c>
    </row>
    <row r="163" spans="1:54" s="1" customFormat="1" ht="63" hidden="1" customHeight="1" thickBot="1">
      <c r="A163" s="112">
        <f t="shared" si="2"/>
        <v>158</v>
      </c>
      <c r="B163" s="112">
        <v>2025</v>
      </c>
      <c r="C163" s="112" t="s">
        <v>605</v>
      </c>
      <c r="D163" s="112" t="s">
        <v>1010</v>
      </c>
      <c r="E163" s="114" t="s">
        <v>739</v>
      </c>
      <c r="F163" s="112" t="s">
        <v>53</v>
      </c>
      <c r="G163" s="112" t="s">
        <v>503</v>
      </c>
      <c r="H163" s="115" t="s">
        <v>1244</v>
      </c>
      <c r="I163" s="112" t="s">
        <v>1238</v>
      </c>
      <c r="J163" s="112" t="s">
        <v>222</v>
      </c>
      <c r="K163" s="31">
        <v>2259778.08</v>
      </c>
      <c r="L163" s="31">
        <v>2259778.08</v>
      </c>
      <c r="M163" s="31"/>
      <c r="N163" s="31"/>
      <c r="O163" s="31"/>
      <c r="P163" s="31"/>
      <c r="Q163" s="33">
        <f>SUM(PAC!$M163:$P163)</f>
        <v>0</v>
      </c>
      <c r="R163" s="33"/>
      <c r="S163" s="33">
        <f>IF(PAC!$R163&gt;0,PAC!$R163,PAC!$Q163)</f>
        <v>0</v>
      </c>
      <c r="T163" s="33"/>
      <c r="U163" s="116" t="s">
        <v>1574</v>
      </c>
      <c r="V163" s="116"/>
      <c r="W163" s="117"/>
      <c r="X163" s="117" t="s">
        <v>1419</v>
      </c>
      <c r="Y163" s="113" t="s">
        <v>2478</v>
      </c>
      <c r="Z163" s="118"/>
      <c r="AA163" s="119"/>
      <c r="AB163" s="122"/>
      <c r="AC163" s="115"/>
      <c r="AD163" s="120"/>
      <c r="AE163" s="114"/>
      <c r="AF163" s="115" t="s">
        <v>987</v>
      </c>
      <c r="AG163" s="115"/>
      <c r="AH163" s="115"/>
      <c r="AI163" s="115"/>
      <c r="AJ163" s="118"/>
      <c r="AK163" s="115"/>
      <c r="AL163" s="115"/>
      <c r="AM163" s="115"/>
      <c r="AN163" s="118"/>
      <c r="AO163" s="118"/>
      <c r="AP163" s="118"/>
      <c r="AQ163" s="118"/>
      <c r="AR163" s="121"/>
      <c r="AS163" s="121"/>
      <c r="AT163" s="116" t="s">
        <v>518</v>
      </c>
      <c r="AU163" s="122"/>
      <c r="AV163" s="120"/>
      <c r="AW163" s="133" t="s">
        <v>838</v>
      </c>
      <c r="AX163" s="194">
        <f>IFERROR(IF(PAC!$X163="F01 - CAPTAÇÃO DE RECURSO",1,""),"")</f>
        <v>1</v>
      </c>
      <c r="AY163" s="194" t="str">
        <f>IFERROR(IF(PAC!$X163="F02 - LICITAÇÃO",1,""),"")</f>
        <v/>
      </c>
      <c r="AZ163" s="123" t="str">
        <f>IFERROR(IF(PAC!$X$6:$X$581="F03 - EXECUÇÃO DO OBJETO",1,""),"")</f>
        <v/>
      </c>
      <c r="BA163" s="123" t="str">
        <f>IFERROR(IF(PAC!$X$6:$X$581="F04 - CONCLUÍDA",1,""),"")</f>
        <v/>
      </c>
      <c r="BB163" s="191">
        <f>IF(PAC!$R163&gt;0,0,PAC!$Q163)</f>
        <v>0</v>
      </c>
    </row>
    <row r="164" spans="1:54" s="1" customFormat="1" ht="63" hidden="1" customHeight="1" thickBot="1">
      <c r="A164" s="88">
        <f t="shared" si="2"/>
        <v>159</v>
      </c>
      <c r="B164" s="88">
        <v>2025</v>
      </c>
      <c r="C164" s="88" t="s">
        <v>605</v>
      </c>
      <c r="D164" s="88" t="s">
        <v>1010</v>
      </c>
      <c r="E164" s="102" t="s">
        <v>740</v>
      </c>
      <c r="F164" s="88" t="s">
        <v>53</v>
      </c>
      <c r="G164" s="88" t="s">
        <v>503</v>
      </c>
      <c r="H164" s="40" t="s">
        <v>1244</v>
      </c>
      <c r="I164" s="88" t="s">
        <v>1238</v>
      </c>
      <c r="J164" s="88" t="s">
        <v>227</v>
      </c>
      <c r="K164" s="18">
        <v>2882370</v>
      </c>
      <c r="L164" s="18">
        <v>2882370</v>
      </c>
      <c r="M164" s="18"/>
      <c r="N164" s="18"/>
      <c r="O164" s="18"/>
      <c r="P164" s="18"/>
      <c r="Q164" s="20">
        <f>SUM(PAC!$M164:$P164)</f>
        <v>0</v>
      </c>
      <c r="R164" s="20"/>
      <c r="S164" s="20">
        <f>IF(PAC!$R164&gt;0,PAC!$R164,PAC!$Q164)</f>
        <v>0</v>
      </c>
      <c r="T164" s="20"/>
      <c r="U164" s="103" t="s">
        <v>1574</v>
      </c>
      <c r="V164" s="103"/>
      <c r="W164" s="104"/>
      <c r="X164" s="104" t="s">
        <v>1419</v>
      </c>
      <c r="Y164" s="101" t="s">
        <v>2478</v>
      </c>
      <c r="Z164" s="87"/>
      <c r="AA164" s="105"/>
      <c r="AB164" s="108"/>
      <c r="AC164" s="40"/>
      <c r="AD164" s="106"/>
      <c r="AE164" s="102"/>
      <c r="AF164" s="40" t="s">
        <v>987</v>
      </c>
      <c r="AG164" s="40"/>
      <c r="AH164" s="40"/>
      <c r="AI164" s="40"/>
      <c r="AJ164" s="87"/>
      <c r="AK164" s="40"/>
      <c r="AL164" s="40"/>
      <c r="AM164" s="40"/>
      <c r="AN164" s="87"/>
      <c r="AO164" s="87"/>
      <c r="AP164" s="87"/>
      <c r="AQ164" s="87"/>
      <c r="AR164" s="107"/>
      <c r="AS164" s="107"/>
      <c r="AT164" s="103" t="s">
        <v>518</v>
      </c>
      <c r="AU164" s="108"/>
      <c r="AV164" s="106"/>
      <c r="AW164" s="132" t="s">
        <v>838</v>
      </c>
      <c r="AX164" s="109">
        <f>IFERROR(IF(PAC!$X164="F01 - CAPTAÇÃO DE RECURSO",1,""),"")</f>
        <v>1</v>
      </c>
      <c r="AY164" s="109" t="str">
        <f>IFERROR(IF(PAC!$X164="F02 - LICITAÇÃO",1,""),"")</f>
        <v/>
      </c>
      <c r="AZ164" s="110" t="str">
        <f>IFERROR(IF(PAC!$X$6:$X$581="F03 - EXECUÇÃO DO OBJETO",1,""),"")</f>
        <v/>
      </c>
      <c r="BA164" s="110" t="str">
        <f>IFERROR(IF(PAC!$X$6:$X$581="F04 - CONCLUÍDA",1,""),"")</f>
        <v/>
      </c>
      <c r="BB164" s="111">
        <f>IF(PAC!$R164&gt;0,0,PAC!$Q164)</f>
        <v>0</v>
      </c>
    </row>
    <row r="165" spans="1:54" s="1" customFormat="1" ht="51" hidden="1" customHeight="1" thickBot="1">
      <c r="A165" s="112">
        <f t="shared" si="2"/>
        <v>160</v>
      </c>
      <c r="B165" s="112">
        <v>2025</v>
      </c>
      <c r="C165" s="112" t="s">
        <v>605</v>
      </c>
      <c r="D165" s="112" t="s">
        <v>1010</v>
      </c>
      <c r="E165" s="114" t="s">
        <v>741</v>
      </c>
      <c r="F165" s="112" t="s">
        <v>53</v>
      </c>
      <c r="G165" s="112" t="s">
        <v>503</v>
      </c>
      <c r="H165" s="115" t="s">
        <v>1244</v>
      </c>
      <c r="I165" s="112" t="s">
        <v>1238</v>
      </c>
      <c r="J165" s="112" t="s">
        <v>227</v>
      </c>
      <c r="K165" s="31">
        <v>1755302.26</v>
      </c>
      <c r="L165" s="31">
        <v>1755302.26</v>
      </c>
      <c r="M165" s="31"/>
      <c r="N165" s="31"/>
      <c r="O165" s="31"/>
      <c r="P165" s="31"/>
      <c r="Q165" s="33">
        <f>SUM(PAC!$M165:$P165)</f>
        <v>0</v>
      </c>
      <c r="R165" s="33"/>
      <c r="S165" s="33">
        <f>IF(PAC!$R165&gt;0,PAC!$R165,PAC!$Q165)</f>
        <v>0</v>
      </c>
      <c r="T165" s="33"/>
      <c r="U165" s="116" t="s">
        <v>1574</v>
      </c>
      <c r="V165" s="116"/>
      <c r="W165" s="117"/>
      <c r="X165" s="117" t="s">
        <v>1419</v>
      </c>
      <c r="Y165" s="113" t="s">
        <v>2478</v>
      </c>
      <c r="Z165" s="118"/>
      <c r="AA165" s="119"/>
      <c r="AB165" s="122"/>
      <c r="AC165" s="115"/>
      <c r="AD165" s="120"/>
      <c r="AE165" s="114"/>
      <c r="AF165" s="115" t="s">
        <v>987</v>
      </c>
      <c r="AG165" s="115"/>
      <c r="AH165" s="115"/>
      <c r="AI165" s="115"/>
      <c r="AJ165" s="118"/>
      <c r="AK165" s="115"/>
      <c r="AL165" s="115"/>
      <c r="AM165" s="115" t="s">
        <v>716</v>
      </c>
      <c r="AN165" s="118"/>
      <c r="AO165" s="118"/>
      <c r="AP165" s="118"/>
      <c r="AQ165" s="118"/>
      <c r="AR165" s="121"/>
      <c r="AS165" s="121"/>
      <c r="AT165" s="116" t="s">
        <v>518</v>
      </c>
      <c r="AU165" s="122"/>
      <c r="AV165" s="120"/>
      <c r="AW165" s="133" t="s">
        <v>707</v>
      </c>
      <c r="AX165" s="194">
        <f>IFERROR(IF(PAC!$X165="F01 - CAPTAÇÃO DE RECURSO",1,""),"")</f>
        <v>1</v>
      </c>
      <c r="AY165" s="194" t="str">
        <f>IFERROR(IF(PAC!$X165="F02 - LICITAÇÃO",1,""),"")</f>
        <v/>
      </c>
      <c r="AZ165" s="123" t="str">
        <f>IFERROR(IF(PAC!$X$6:$X$581="F03 - EXECUÇÃO DO OBJETO",1,""),"")</f>
        <v/>
      </c>
      <c r="BA165" s="123" t="str">
        <f>IFERROR(IF(PAC!$X$6:$X$581="F04 - CONCLUÍDA",1,""),"")</f>
        <v/>
      </c>
      <c r="BB165" s="191">
        <f>IF(PAC!$R165&gt;0,0,PAC!$Q165)</f>
        <v>0</v>
      </c>
    </row>
    <row r="166" spans="1:54" s="1" customFormat="1" ht="63" hidden="1" customHeight="1" thickBot="1">
      <c r="A166" s="88">
        <f t="shared" si="2"/>
        <v>161</v>
      </c>
      <c r="B166" s="88">
        <v>2025</v>
      </c>
      <c r="C166" s="88" t="s">
        <v>605</v>
      </c>
      <c r="D166" s="88" t="s">
        <v>1010</v>
      </c>
      <c r="E166" s="102" t="s">
        <v>742</v>
      </c>
      <c r="F166" s="88" t="s">
        <v>53</v>
      </c>
      <c r="G166" s="88" t="s">
        <v>503</v>
      </c>
      <c r="H166" s="40" t="s">
        <v>1244</v>
      </c>
      <c r="I166" s="88" t="s">
        <v>1238</v>
      </c>
      <c r="J166" s="88" t="s">
        <v>229</v>
      </c>
      <c r="K166" s="18">
        <v>2875423.56</v>
      </c>
      <c r="L166" s="18">
        <v>2875423.56</v>
      </c>
      <c r="M166" s="18"/>
      <c r="N166" s="18"/>
      <c r="O166" s="18"/>
      <c r="P166" s="18"/>
      <c r="Q166" s="20">
        <f>SUM(PAC!$M166:$P166)</f>
        <v>0</v>
      </c>
      <c r="R166" s="20"/>
      <c r="S166" s="20">
        <f>IF(PAC!$R166&gt;0,PAC!$R166,PAC!$Q166)</f>
        <v>0</v>
      </c>
      <c r="T166" s="20"/>
      <c r="U166" s="103" t="s">
        <v>1574</v>
      </c>
      <c r="V166" s="103"/>
      <c r="W166" s="104"/>
      <c r="X166" s="104" t="s">
        <v>1419</v>
      </c>
      <c r="Y166" s="101" t="s">
        <v>2478</v>
      </c>
      <c r="Z166" s="87"/>
      <c r="AA166" s="105"/>
      <c r="AB166" s="108"/>
      <c r="AC166" s="40"/>
      <c r="AD166" s="106"/>
      <c r="AE166" s="102"/>
      <c r="AF166" s="40" t="s">
        <v>987</v>
      </c>
      <c r="AG166" s="40"/>
      <c r="AH166" s="40"/>
      <c r="AI166" s="40"/>
      <c r="AJ166" s="87"/>
      <c r="AK166" s="40"/>
      <c r="AL166" s="40"/>
      <c r="AM166" s="40"/>
      <c r="AN166" s="87"/>
      <c r="AO166" s="87"/>
      <c r="AP166" s="87"/>
      <c r="AQ166" s="87"/>
      <c r="AR166" s="107"/>
      <c r="AS166" s="107"/>
      <c r="AT166" s="103" t="s">
        <v>518</v>
      </c>
      <c r="AU166" s="108"/>
      <c r="AV166" s="106"/>
      <c r="AW166" s="132" t="s">
        <v>836</v>
      </c>
      <c r="AX166" s="109">
        <f>IFERROR(IF(PAC!$X166="F01 - CAPTAÇÃO DE RECURSO",1,""),"")</f>
        <v>1</v>
      </c>
      <c r="AY166" s="109" t="str">
        <f>IFERROR(IF(PAC!$X166="F02 - LICITAÇÃO",1,""),"")</f>
        <v/>
      </c>
      <c r="AZ166" s="110" t="str">
        <f>IFERROR(IF(PAC!$X$6:$X$581="F03 - EXECUÇÃO DO OBJETO",1,""),"")</f>
        <v/>
      </c>
      <c r="BA166" s="110" t="str">
        <f>IFERROR(IF(PAC!$X$6:$X$581="F04 - CONCLUÍDA",1,""),"")</f>
        <v/>
      </c>
      <c r="BB166" s="111">
        <f>IF(PAC!$R166&gt;0,0,PAC!$Q166)</f>
        <v>0</v>
      </c>
    </row>
    <row r="167" spans="1:54" s="1" customFormat="1" ht="48" hidden="1" customHeight="1" thickBot="1">
      <c r="A167" s="112">
        <f t="shared" si="2"/>
        <v>162</v>
      </c>
      <c r="B167" s="112">
        <v>2025</v>
      </c>
      <c r="C167" s="112" t="s">
        <v>605</v>
      </c>
      <c r="D167" s="112" t="s">
        <v>1010</v>
      </c>
      <c r="E167" s="114" t="s">
        <v>743</v>
      </c>
      <c r="F167" s="112" t="s">
        <v>53</v>
      </c>
      <c r="G167" s="112" t="s">
        <v>503</v>
      </c>
      <c r="H167" s="115" t="s">
        <v>1244</v>
      </c>
      <c r="I167" s="112" t="s">
        <v>1238</v>
      </c>
      <c r="J167" s="112" t="s">
        <v>229</v>
      </c>
      <c r="K167" s="31">
        <v>1626543.36</v>
      </c>
      <c r="L167" s="31">
        <v>1626543.36</v>
      </c>
      <c r="M167" s="31"/>
      <c r="N167" s="31"/>
      <c r="O167" s="31"/>
      <c r="P167" s="31"/>
      <c r="Q167" s="33">
        <f>SUM(PAC!$M167:$P167)</f>
        <v>0</v>
      </c>
      <c r="R167" s="33"/>
      <c r="S167" s="33">
        <f>IF(PAC!$R167&gt;0,PAC!$R167,PAC!$Q167)</f>
        <v>0</v>
      </c>
      <c r="T167" s="33"/>
      <c r="U167" s="116" t="s">
        <v>1574</v>
      </c>
      <c r="V167" s="116"/>
      <c r="W167" s="117"/>
      <c r="X167" s="117" t="s">
        <v>1419</v>
      </c>
      <c r="Y167" s="113" t="s">
        <v>2478</v>
      </c>
      <c r="Z167" s="118"/>
      <c r="AA167" s="119"/>
      <c r="AB167" s="122"/>
      <c r="AC167" s="115"/>
      <c r="AD167" s="120"/>
      <c r="AE167" s="114"/>
      <c r="AF167" s="115" t="s">
        <v>987</v>
      </c>
      <c r="AG167" s="115"/>
      <c r="AH167" s="115"/>
      <c r="AI167" s="115"/>
      <c r="AJ167" s="118"/>
      <c r="AK167" s="115"/>
      <c r="AL167" s="115"/>
      <c r="AM167" s="115" t="s">
        <v>716</v>
      </c>
      <c r="AN167" s="118"/>
      <c r="AO167" s="118"/>
      <c r="AP167" s="118"/>
      <c r="AQ167" s="118"/>
      <c r="AR167" s="121"/>
      <c r="AS167" s="121"/>
      <c r="AT167" s="116" t="s">
        <v>518</v>
      </c>
      <c r="AU167" s="122"/>
      <c r="AV167" s="120"/>
      <c r="AW167" s="133" t="s">
        <v>707</v>
      </c>
      <c r="AX167" s="194">
        <f>IFERROR(IF(PAC!$X167="F01 - CAPTAÇÃO DE RECURSO",1,""),"")</f>
        <v>1</v>
      </c>
      <c r="AY167" s="194" t="str">
        <f>IFERROR(IF(PAC!$X167="F02 - LICITAÇÃO",1,""),"")</f>
        <v/>
      </c>
      <c r="AZ167" s="123" t="str">
        <f>IFERROR(IF(PAC!$X$6:$X$581="F03 - EXECUÇÃO DO OBJETO",1,""),"")</f>
        <v/>
      </c>
      <c r="BA167" s="123" t="str">
        <f>IFERROR(IF(PAC!$X$6:$X$581="F04 - CONCLUÍDA",1,""),"")</f>
        <v/>
      </c>
      <c r="BB167" s="191">
        <f>IF(PAC!$R167&gt;0,0,PAC!$Q167)</f>
        <v>0</v>
      </c>
    </row>
    <row r="168" spans="1:54" s="1" customFormat="1" ht="50.25" hidden="1" customHeight="1" thickBot="1">
      <c r="A168" s="88">
        <f t="shared" si="2"/>
        <v>163</v>
      </c>
      <c r="B168" s="88">
        <v>2025</v>
      </c>
      <c r="C168" s="88" t="s">
        <v>605</v>
      </c>
      <c r="D168" s="88" t="s">
        <v>1010</v>
      </c>
      <c r="E168" s="102" t="s">
        <v>744</v>
      </c>
      <c r="F168" s="88" t="s">
        <v>53</v>
      </c>
      <c r="G168" s="88" t="s">
        <v>503</v>
      </c>
      <c r="H168" s="40" t="s">
        <v>1244</v>
      </c>
      <c r="I168" s="88" t="s">
        <v>1238</v>
      </c>
      <c r="J168" s="88" t="s">
        <v>233</v>
      </c>
      <c r="K168" s="18">
        <v>3541654.2</v>
      </c>
      <c r="L168" s="18">
        <v>3541654.2</v>
      </c>
      <c r="M168" s="18"/>
      <c r="N168" s="18"/>
      <c r="O168" s="18"/>
      <c r="P168" s="18"/>
      <c r="Q168" s="20">
        <f>SUM(PAC!$M168:$P168)</f>
        <v>0</v>
      </c>
      <c r="R168" s="20"/>
      <c r="S168" s="20">
        <f>IF(PAC!$R168&gt;0,PAC!$R168,PAC!$Q168)</f>
        <v>0</v>
      </c>
      <c r="T168" s="20"/>
      <c r="U168" s="103" t="s">
        <v>1574</v>
      </c>
      <c r="V168" s="103"/>
      <c r="W168" s="104"/>
      <c r="X168" s="104" t="s">
        <v>1419</v>
      </c>
      <c r="Y168" s="101" t="s">
        <v>2478</v>
      </c>
      <c r="Z168" s="87"/>
      <c r="AA168" s="105"/>
      <c r="AB168" s="108"/>
      <c r="AC168" s="40"/>
      <c r="AD168" s="106"/>
      <c r="AE168" s="102"/>
      <c r="AF168" s="40" t="s">
        <v>987</v>
      </c>
      <c r="AG168" s="40"/>
      <c r="AH168" s="40"/>
      <c r="AI168" s="40"/>
      <c r="AJ168" s="87"/>
      <c r="AK168" s="40"/>
      <c r="AL168" s="40"/>
      <c r="AM168" s="40" t="s">
        <v>716</v>
      </c>
      <c r="AN168" s="87"/>
      <c r="AO168" s="87"/>
      <c r="AP168" s="87"/>
      <c r="AQ168" s="87"/>
      <c r="AR168" s="107"/>
      <c r="AS168" s="107"/>
      <c r="AT168" s="103" t="s">
        <v>518</v>
      </c>
      <c r="AU168" s="108"/>
      <c r="AV168" s="106"/>
      <c r="AW168" s="132" t="s">
        <v>836</v>
      </c>
      <c r="AX168" s="109">
        <f>IFERROR(IF(PAC!$X168="F01 - CAPTAÇÃO DE RECURSO",1,""),"")</f>
        <v>1</v>
      </c>
      <c r="AY168" s="109" t="str">
        <f>IFERROR(IF(PAC!$X168="F02 - LICITAÇÃO",1,""),"")</f>
        <v/>
      </c>
      <c r="AZ168" s="110" t="str">
        <f>IFERROR(IF(PAC!$X$6:$X$581="F03 - EXECUÇÃO DO OBJETO",1,""),"")</f>
        <v/>
      </c>
      <c r="BA168" s="110" t="str">
        <f>IFERROR(IF(PAC!$X$6:$X$581="F04 - CONCLUÍDA",1,""),"")</f>
        <v/>
      </c>
      <c r="BB168" s="111">
        <f>IF(PAC!$R168&gt;0,0,PAC!$Q168)</f>
        <v>0</v>
      </c>
    </row>
    <row r="169" spans="1:54" s="1" customFormat="1" ht="63" hidden="1" customHeight="1" thickBot="1">
      <c r="A169" s="112">
        <f t="shared" si="2"/>
        <v>164</v>
      </c>
      <c r="B169" s="112">
        <v>2025</v>
      </c>
      <c r="C169" s="112" t="s">
        <v>605</v>
      </c>
      <c r="D169" s="112" t="s">
        <v>1010</v>
      </c>
      <c r="E169" s="114" t="s">
        <v>745</v>
      </c>
      <c r="F169" s="112" t="s">
        <v>53</v>
      </c>
      <c r="G169" s="112" t="s">
        <v>503</v>
      </c>
      <c r="H169" s="115" t="s">
        <v>1244</v>
      </c>
      <c r="I169" s="112" t="s">
        <v>1238</v>
      </c>
      <c r="J169" s="112" t="s">
        <v>233</v>
      </c>
      <c r="K169" s="31">
        <v>3627943.04</v>
      </c>
      <c r="L169" s="31">
        <v>3627943.04</v>
      </c>
      <c r="M169" s="31"/>
      <c r="N169" s="31"/>
      <c r="O169" s="31"/>
      <c r="P169" s="31"/>
      <c r="Q169" s="33">
        <f>SUM(PAC!$M169:$P169)</f>
        <v>0</v>
      </c>
      <c r="R169" s="33"/>
      <c r="S169" s="33">
        <f>IF(PAC!$R169&gt;0,PAC!$R169,PAC!$Q169)</f>
        <v>0</v>
      </c>
      <c r="T169" s="33"/>
      <c r="U169" s="116" t="s">
        <v>1574</v>
      </c>
      <c r="V169" s="116"/>
      <c r="W169" s="117"/>
      <c r="X169" s="117" t="s">
        <v>1419</v>
      </c>
      <c r="Y169" s="113" t="s">
        <v>2478</v>
      </c>
      <c r="Z169" s="118"/>
      <c r="AA169" s="119"/>
      <c r="AB169" s="122"/>
      <c r="AC169" s="115"/>
      <c r="AD169" s="120"/>
      <c r="AE169" s="114"/>
      <c r="AF169" s="115" t="s">
        <v>987</v>
      </c>
      <c r="AG169" s="115"/>
      <c r="AH169" s="115"/>
      <c r="AI169" s="115"/>
      <c r="AJ169" s="118"/>
      <c r="AK169" s="115"/>
      <c r="AL169" s="115"/>
      <c r="AM169" s="115"/>
      <c r="AN169" s="118"/>
      <c r="AO169" s="118"/>
      <c r="AP169" s="118"/>
      <c r="AQ169" s="118"/>
      <c r="AR169" s="121"/>
      <c r="AS169" s="121"/>
      <c r="AT169" s="116" t="s">
        <v>518</v>
      </c>
      <c r="AU169" s="122"/>
      <c r="AV169" s="120"/>
      <c r="AW169" s="133" t="s">
        <v>836</v>
      </c>
      <c r="AX169" s="194">
        <f>IFERROR(IF(PAC!$X169="F01 - CAPTAÇÃO DE RECURSO",1,""),"")</f>
        <v>1</v>
      </c>
      <c r="AY169" s="194" t="str">
        <f>IFERROR(IF(PAC!$X169="F02 - LICITAÇÃO",1,""),"")</f>
        <v/>
      </c>
      <c r="AZ169" s="123" t="str">
        <f>IFERROR(IF(PAC!$X$6:$X$581="F03 - EXECUÇÃO DO OBJETO",1,""),"")</f>
        <v/>
      </c>
      <c r="BA169" s="123" t="str">
        <f>IFERROR(IF(PAC!$X$6:$X$581="F04 - CONCLUÍDA",1,""),"")</f>
        <v/>
      </c>
      <c r="BB169" s="191">
        <f>IF(PAC!$R169&gt;0,0,PAC!$Q169)</f>
        <v>0</v>
      </c>
    </row>
    <row r="170" spans="1:54" s="1" customFormat="1" ht="42" hidden="1" customHeight="1" thickBot="1">
      <c r="A170" s="88">
        <f t="shared" si="2"/>
        <v>165</v>
      </c>
      <c r="B170" s="88">
        <v>2025</v>
      </c>
      <c r="C170" s="88" t="s">
        <v>605</v>
      </c>
      <c r="D170" s="88" t="s">
        <v>1010</v>
      </c>
      <c r="E170" s="102" t="s">
        <v>746</v>
      </c>
      <c r="F170" s="88" t="s">
        <v>53</v>
      </c>
      <c r="G170" s="88" t="s">
        <v>503</v>
      </c>
      <c r="H170" s="40" t="s">
        <v>1244</v>
      </c>
      <c r="I170" s="88" t="s">
        <v>1238</v>
      </c>
      <c r="J170" s="88" t="s">
        <v>234</v>
      </c>
      <c r="K170" s="18">
        <v>2021134.62</v>
      </c>
      <c r="L170" s="18">
        <v>2021134.62</v>
      </c>
      <c r="M170" s="18"/>
      <c r="N170" s="18"/>
      <c r="O170" s="18"/>
      <c r="P170" s="18"/>
      <c r="Q170" s="20">
        <f>SUM(PAC!$M170:$P170)</f>
        <v>0</v>
      </c>
      <c r="R170" s="20"/>
      <c r="S170" s="20">
        <f>IF(PAC!$R170&gt;0,PAC!$R170,PAC!$Q170)</f>
        <v>0</v>
      </c>
      <c r="T170" s="20"/>
      <c r="U170" s="103" t="s">
        <v>1574</v>
      </c>
      <c r="V170" s="103"/>
      <c r="W170" s="104"/>
      <c r="X170" s="104" t="s">
        <v>1419</v>
      </c>
      <c r="Y170" s="101" t="s">
        <v>2478</v>
      </c>
      <c r="Z170" s="87"/>
      <c r="AA170" s="105"/>
      <c r="AB170" s="108"/>
      <c r="AC170" s="40"/>
      <c r="AD170" s="106"/>
      <c r="AE170" s="102"/>
      <c r="AF170" s="40" t="s">
        <v>987</v>
      </c>
      <c r="AG170" s="40"/>
      <c r="AH170" s="40"/>
      <c r="AI170" s="40"/>
      <c r="AJ170" s="87"/>
      <c r="AK170" s="40"/>
      <c r="AL170" s="40"/>
      <c r="AM170" s="40"/>
      <c r="AN170" s="87"/>
      <c r="AO170" s="87"/>
      <c r="AP170" s="87"/>
      <c r="AQ170" s="87"/>
      <c r="AR170" s="107"/>
      <c r="AS170" s="107"/>
      <c r="AT170" s="103" t="s">
        <v>518</v>
      </c>
      <c r="AU170" s="108"/>
      <c r="AV170" s="106"/>
      <c r="AW170" s="132" t="s">
        <v>836</v>
      </c>
      <c r="AX170" s="109">
        <f>IFERROR(IF(PAC!$X170="F01 - CAPTAÇÃO DE RECURSO",1,""),"")</f>
        <v>1</v>
      </c>
      <c r="AY170" s="109" t="str">
        <f>IFERROR(IF(PAC!$X170="F02 - LICITAÇÃO",1,""),"")</f>
        <v/>
      </c>
      <c r="AZ170" s="110" t="str">
        <f>IFERROR(IF(PAC!$X$6:$X$581="F03 - EXECUÇÃO DO OBJETO",1,""),"")</f>
        <v/>
      </c>
      <c r="BA170" s="110" t="str">
        <f>IFERROR(IF(PAC!$X$6:$X$581="F04 - CONCLUÍDA",1,""),"")</f>
        <v/>
      </c>
      <c r="BB170" s="111">
        <f>IF(PAC!$R170&gt;0,0,PAC!$Q170)</f>
        <v>0</v>
      </c>
    </row>
    <row r="171" spans="1:54" s="1" customFormat="1" ht="56.25" hidden="1" customHeight="1" thickBot="1">
      <c r="A171" s="112">
        <f t="shared" si="2"/>
        <v>166</v>
      </c>
      <c r="B171" s="112">
        <v>2025</v>
      </c>
      <c r="C171" s="112" t="s">
        <v>605</v>
      </c>
      <c r="D171" s="112" t="s">
        <v>1010</v>
      </c>
      <c r="E171" s="114" t="s">
        <v>747</v>
      </c>
      <c r="F171" s="112" t="s">
        <v>53</v>
      </c>
      <c r="G171" s="112" t="s">
        <v>503</v>
      </c>
      <c r="H171" s="115" t="s">
        <v>1244</v>
      </c>
      <c r="I171" s="112" t="s">
        <v>1238</v>
      </c>
      <c r="J171" s="112" t="s">
        <v>234</v>
      </c>
      <c r="K171" s="31">
        <v>1938151.35</v>
      </c>
      <c r="L171" s="31">
        <v>1938151.35</v>
      </c>
      <c r="M171" s="31"/>
      <c r="N171" s="31"/>
      <c r="O171" s="31"/>
      <c r="P171" s="31"/>
      <c r="Q171" s="33">
        <f>SUM(PAC!$M171:$P171)</f>
        <v>0</v>
      </c>
      <c r="R171" s="33"/>
      <c r="S171" s="33">
        <f>IF(PAC!$R171&gt;0,PAC!$R171,PAC!$Q171)</f>
        <v>0</v>
      </c>
      <c r="T171" s="33"/>
      <c r="U171" s="116" t="s">
        <v>1574</v>
      </c>
      <c r="V171" s="116"/>
      <c r="W171" s="117"/>
      <c r="X171" s="117" t="s">
        <v>1419</v>
      </c>
      <c r="Y171" s="113" t="s">
        <v>2478</v>
      </c>
      <c r="Z171" s="118"/>
      <c r="AA171" s="119"/>
      <c r="AB171" s="122"/>
      <c r="AC171" s="115"/>
      <c r="AD171" s="120"/>
      <c r="AE171" s="114"/>
      <c r="AF171" s="115" t="s">
        <v>987</v>
      </c>
      <c r="AG171" s="115"/>
      <c r="AH171" s="115"/>
      <c r="AI171" s="115"/>
      <c r="AJ171" s="118"/>
      <c r="AK171" s="115"/>
      <c r="AL171" s="115"/>
      <c r="AM171" s="115"/>
      <c r="AN171" s="118"/>
      <c r="AO171" s="118"/>
      <c r="AP171" s="118"/>
      <c r="AQ171" s="118"/>
      <c r="AR171" s="121"/>
      <c r="AS171" s="121"/>
      <c r="AT171" s="116" t="s">
        <v>518</v>
      </c>
      <c r="AU171" s="122"/>
      <c r="AV171" s="120"/>
      <c r="AW171" s="133" t="s">
        <v>836</v>
      </c>
      <c r="AX171" s="194">
        <f>IFERROR(IF(PAC!$X171="F01 - CAPTAÇÃO DE RECURSO",1,""),"")</f>
        <v>1</v>
      </c>
      <c r="AY171" s="194" t="str">
        <f>IFERROR(IF(PAC!$X171="F02 - LICITAÇÃO",1,""),"")</f>
        <v/>
      </c>
      <c r="AZ171" s="123" t="str">
        <f>IFERROR(IF(PAC!$X$6:$X$581="F03 - EXECUÇÃO DO OBJETO",1,""),"")</f>
        <v/>
      </c>
      <c r="BA171" s="123" t="str">
        <f>IFERROR(IF(PAC!$X$6:$X$581="F04 - CONCLUÍDA",1,""),"")</f>
        <v/>
      </c>
      <c r="BB171" s="191">
        <f>IF(PAC!$R171&gt;0,0,PAC!$Q171)</f>
        <v>0</v>
      </c>
    </row>
    <row r="172" spans="1:54" s="1" customFormat="1" ht="63" hidden="1" customHeight="1" thickBot="1">
      <c r="A172" s="88">
        <f t="shared" si="2"/>
        <v>167</v>
      </c>
      <c r="B172" s="88">
        <v>2025</v>
      </c>
      <c r="C172" s="88" t="s">
        <v>605</v>
      </c>
      <c r="D172" s="88" t="s">
        <v>1010</v>
      </c>
      <c r="E172" s="102" t="s">
        <v>748</v>
      </c>
      <c r="F172" s="88" t="s">
        <v>53</v>
      </c>
      <c r="G172" s="88" t="s">
        <v>503</v>
      </c>
      <c r="H172" s="40" t="s">
        <v>1244</v>
      </c>
      <c r="I172" s="88" t="s">
        <v>1238</v>
      </c>
      <c r="J172" s="88" t="s">
        <v>234</v>
      </c>
      <c r="K172" s="18">
        <v>1828444.68</v>
      </c>
      <c r="L172" s="18">
        <v>1828444.68</v>
      </c>
      <c r="M172" s="18"/>
      <c r="N172" s="18"/>
      <c r="O172" s="18"/>
      <c r="P172" s="18"/>
      <c r="Q172" s="20">
        <f>SUM(PAC!$M172:$P172)</f>
        <v>0</v>
      </c>
      <c r="R172" s="20"/>
      <c r="S172" s="20">
        <f>IF(PAC!$R172&gt;0,PAC!$R172,PAC!$Q172)</f>
        <v>0</v>
      </c>
      <c r="T172" s="20"/>
      <c r="U172" s="103" t="s">
        <v>1574</v>
      </c>
      <c r="V172" s="103"/>
      <c r="W172" s="104"/>
      <c r="X172" s="104" t="s">
        <v>1419</v>
      </c>
      <c r="Y172" s="101" t="s">
        <v>2478</v>
      </c>
      <c r="Z172" s="87"/>
      <c r="AA172" s="105"/>
      <c r="AB172" s="108"/>
      <c r="AC172" s="40"/>
      <c r="AD172" s="106"/>
      <c r="AE172" s="102"/>
      <c r="AF172" s="40" t="s">
        <v>987</v>
      </c>
      <c r="AG172" s="40"/>
      <c r="AH172" s="40"/>
      <c r="AI172" s="40"/>
      <c r="AJ172" s="87"/>
      <c r="AK172" s="40"/>
      <c r="AL172" s="40"/>
      <c r="AM172" s="40" t="s">
        <v>716</v>
      </c>
      <c r="AN172" s="87"/>
      <c r="AO172" s="87"/>
      <c r="AP172" s="87"/>
      <c r="AQ172" s="87"/>
      <c r="AR172" s="107"/>
      <c r="AS172" s="107"/>
      <c r="AT172" s="103" t="s">
        <v>518</v>
      </c>
      <c r="AU172" s="108"/>
      <c r="AV172" s="106"/>
      <c r="AW172" s="132" t="s">
        <v>836</v>
      </c>
      <c r="AX172" s="109">
        <f>IFERROR(IF(PAC!$X172="F01 - CAPTAÇÃO DE RECURSO",1,""),"")</f>
        <v>1</v>
      </c>
      <c r="AY172" s="109" t="str">
        <f>IFERROR(IF(PAC!$X172="F02 - LICITAÇÃO",1,""),"")</f>
        <v/>
      </c>
      <c r="AZ172" s="110" t="str">
        <f>IFERROR(IF(PAC!$X$6:$X$581="F03 - EXECUÇÃO DO OBJETO",1,""),"")</f>
        <v/>
      </c>
      <c r="BA172" s="110" t="str">
        <f>IFERROR(IF(PAC!$X$6:$X$581="F04 - CONCLUÍDA",1,""),"")</f>
        <v/>
      </c>
      <c r="BB172" s="111">
        <f>IF(PAC!$R172&gt;0,0,PAC!$Q172)</f>
        <v>0</v>
      </c>
    </row>
    <row r="173" spans="1:54" s="1" customFormat="1" ht="63" hidden="1" customHeight="1" thickBot="1">
      <c r="A173" s="112">
        <f t="shared" si="2"/>
        <v>168</v>
      </c>
      <c r="B173" s="112">
        <v>2025</v>
      </c>
      <c r="C173" s="112" t="s">
        <v>605</v>
      </c>
      <c r="D173" s="112" t="s">
        <v>1010</v>
      </c>
      <c r="E173" s="114" t="s">
        <v>749</v>
      </c>
      <c r="F173" s="112" t="s">
        <v>53</v>
      </c>
      <c r="G173" s="112" t="s">
        <v>503</v>
      </c>
      <c r="H173" s="115" t="s">
        <v>1244</v>
      </c>
      <c r="I173" s="112" t="s">
        <v>1238</v>
      </c>
      <c r="J173" s="112" t="s">
        <v>234</v>
      </c>
      <c r="K173" s="31">
        <v>2706098.11</v>
      </c>
      <c r="L173" s="31">
        <v>2706098.11</v>
      </c>
      <c r="M173" s="31"/>
      <c r="N173" s="31"/>
      <c r="O173" s="31"/>
      <c r="P173" s="31"/>
      <c r="Q173" s="33">
        <f>SUM(PAC!$M173:$P173)</f>
        <v>0</v>
      </c>
      <c r="R173" s="33"/>
      <c r="S173" s="33">
        <f>IF(PAC!$R173&gt;0,PAC!$R173,PAC!$Q173)</f>
        <v>0</v>
      </c>
      <c r="T173" s="33"/>
      <c r="U173" s="116" t="s">
        <v>1574</v>
      </c>
      <c r="V173" s="116"/>
      <c r="W173" s="117"/>
      <c r="X173" s="117" t="s">
        <v>1419</v>
      </c>
      <c r="Y173" s="113" t="s">
        <v>2478</v>
      </c>
      <c r="Z173" s="118"/>
      <c r="AA173" s="119"/>
      <c r="AB173" s="122"/>
      <c r="AC173" s="115"/>
      <c r="AD173" s="120"/>
      <c r="AE173" s="114"/>
      <c r="AF173" s="115" t="s">
        <v>987</v>
      </c>
      <c r="AG173" s="115"/>
      <c r="AH173" s="115"/>
      <c r="AI173" s="115"/>
      <c r="AJ173" s="118"/>
      <c r="AK173" s="115"/>
      <c r="AL173" s="115"/>
      <c r="AM173" s="115" t="s">
        <v>716</v>
      </c>
      <c r="AN173" s="118"/>
      <c r="AO173" s="118"/>
      <c r="AP173" s="118"/>
      <c r="AQ173" s="118"/>
      <c r="AR173" s="121"/>
      <c r="AS173" s="121"/>
      <c r="AT173" s="116" t="s">
        <v>518</v>
      </c>
      <c r="AU173" s="122"/>
      <c r="AV173" s="120"/>
      <c r="AW173" s="133" t="s">
        <v>836</v>
      </c>
      <c r="AX173" s="194">
        <f>IFERROR(IF(PAC!$X173="F01 - CAPTAÇÃO DE RECURSO",1,""),"")</f>
        <v>1</v>
      </c>
      <c r="AY173" s="194" t="str">
        <f>IFERROR(IF(PAC!$X173="F02 - LICITAÇÃO",1,""),"")</f>
        <v/>
      </c>
      <c r="AZ173" s="123" t="str">
        <f>IFERROR(IF(PAC!$X$6:$X$581="F03 - EXECUÇÃO DO OBJETO",1,""),"")</f>
        <v/>
      </c>
      <c r="BA173" s="123" t="str">
        <f>IFERROR(IF(PAC!$X$6:$X$581="F04 - CONCLUÍDA",1,""),"")</f>
        <v/>
      </c>
      <c r="BB173" s="191">
        <f>IF(PAC!$R173&gt;0,0,PAC!$Q173)</f>
        <v>0</v>
      </c>
    </row>
    <row r="174" spans="1:54" s="1" customFormat="1" ht="63" hidden="1" customHeight="1" thickBot="1">
      <c r="A174" s="88">
        <f t="shared" si="2"/>
        <v>169</v>
      </c>
      <c r="B174" s="88">
        <v>2025</v>
      </c>
      <c r="C174" s="88" t="s">
        <v>605</v>
      </c>
      <c r="D174" s="88" t="s">
        <v>1010</v>
      </c>
      <c r="E174" s="102" t="s">
        <v>750</v>
      </c>
      <c r="F174" s="88" t="s">
        <v>53</v>
      </c>
      <c r="G174" s="88" t="s">
        <v>503</v>
      </c>
      <c r="H174" s="40" t="s">
        <v>1244</v>
      </c>
      <c r="I174" s="88" t="s">
        <v>1238</v>
      </c>
      <c r="J174" s="88" t="s">
        <v>234</v>
      </c>
      <c r="K174" s="18">
        <v>1597779.34</v>
      </c>
      <c r="L174" s="18">
        <v>1597779.34</v>
      </c>
      <c r="M174" s="18"/>
      <c r="N174" s="18"/>
      <c r="O174" s="18"/>
      <c r="P174" s="18"/>
      <c r="Q174" s="20">
        <f>SUM(PAC!$M174:$P174)</f>
        <v>0</v>
      </c>
      <c r="R174" s="20"/>
      <c r="S174" s="20">
        <f>IF(PAC!$R174&gt;0,PAC!$R174,PAC!$Q174)</f>
        <v>0</v>
      </c>
      <c r="T174" s="20"/>
      <c r="U174" s="103" t="s">
        <v>1574</v>
      </c>
      <c r="V174" s="103"/>
      <c r="W174" s="104"/>
      <c r="X174" s="104" t="s">
        <v>1419</v>
      </c>
      <c r="Y174" s="101" t="s">
        <v>2478</v>
      </c>
      <c r="Z174" s="87"/>
      <c r="AA174" s="105"/>
      <c r="AB174" s="108"/>
      <c r="AC174" s="40"/>
      <c r="AD174" s="106"/>
      <c r="AE174" s="102"/>
      <c r="AF174" s="40" t="s">
        <v>987</v>
      </c>
      <c r="AG174" s="40"/>
      <c r="AH174" s="40"/>
      <c r="AI174" s="40"/>
      <c r="AJ174" s="87"/>
      <c r="AK174" s="40"/>
      <c r="AL174" s="40"/>
      <c r="AM174" s="40" t="s">
        <v>716</v>
      </c>
      <c r="AN174" s="87"/>
      <c r="AO174" s="87"/>
      <c r="AP174" s="87"/>
      <c r="AQ174" s="87"/>
      <c r="AR174" s="107"/>
      <c r="AS174" s="107"/>
      <c r="AT174" s="103" t="s">
        <v>518</v>
      </c>
      <c r="AU174" s="108"/>
      <c r="AV174" s="106"/>
      <c r="AW174" s="132" t="s">
        <v>836</v>
      </c>
      <c r="AX174" s="109">
        <f>IFERROR(IF(PAC!$X174="F01 - CAPTAÇÃO DE RECURSO",1,""),"")</f>
        <v>1</v>
      </c>
      <c r="AY174" s="109" t="str">
        <f>IFERROR(IF(PAC!$X174="F02 - LICITAÇÃO",1,""),"")</f>
        <v/>
      </c>
      <c r="AZ174" s="110" t="str">
        <f>IFERROR(IF(PAC!$X$6:$X$581="F03 - EXECUÇÃO DO OBJETO",1,""),"")</f>
        <v/>
      </c>
      <c r="BA174" s="110" t="str">
        <f>IFERROR(IF(PAC!$X$6:$X$581="F04 - CONCLUÍDA",1,""),"")</f>
        <v/>
      </c>
      <c r="BB174" s="111">
        <f>IF(PAC!$R174&gt;0,0,PAC!$Q174)</f>
        <v>0</v>
      </c>
    </row>
    <row r="175" spans="1:54" s="1" customFormat="1" ht="63" hidden="1" customHeight="1" thickBot="1">
      <c r="A175" s="112">
        <f t="shared" si="2"/>
        <v>170</v>
      </c>
      <c r="B175" s="112">
        <v>2025</v>
      </c>
      <c r="C175" s="112" t="s">
        <v>605</v>
      </c>
      <c r="D175" s="112" t="s">
        <v>1010</v>
      </c>
      <c r="E175" s="114" t="s">
        <v>751</v>
      </c>
      <c r="F175" s="112" t="s">
        <v>53</v>
      </c>
      <c r="G175" s="112" t="s">
        <v>503</v>
      </c>
      <c r="H175" s="115" t="s">
        <v>1244</v>
      </c>
      <c r="I175" s="112" t="s">
        <v>1238</v>
      </c>
      <c r="J175" s="112" t="s">
        <v>234</v>
      </c>
      <c r="K175" s="31">
        <v>2396669.0100000002</v>
      </c>
      <c r="L175" s="31">
        <v>2396669.0100000002</v>
      </c>
      <c r="M175" s="31"/>
      <c r="N175" s="31"/>
      <c r="O175" s="31"/>
      <c r="P175" s="31"/>
      <c r="Q175" s="33">
        <f>SUM(PAC!$M175:$P175)</f>
        <v>0</v>
      </c>
      <c r="R175" s="33"/>
      <c r="S175" s="33">
        <f>IF(PAC!$R175&gt;0,PAC!$R175,PAC!$Q175)</f>
        <v>0</v>
      </c>
      <c r="T175" s="33"/>
      <c r="U175" s="116" t="s">
        <v>1574</v>
      </c>
      <c r="V175" s="116"/>
      <c r="W175" s="117"/>
      <c r="X175" s="117" t="s">
        <v>1419</v>
      </c>
      <c r="Y175" s="113" t="s">
        <v>2479</v>
      </c>
      <c r="Z175" s="118"/>
      <c r="AA175" s="119"/>
      <c r="AB175" s="122"/>
      <c r="AC175" s="115"/>
      <c r="AD175" s="120"/>
      <c r="AE175" s="114"/>
      <c r="AF175" s="115" t="s">
        <v>987</v>
      </c>
      <c r="AG175" s="115"/>
      <c r="AH175" s="115"/>
      <c r="AI175" s="115"/>
      <c r="AJ175" s="118"/>
      <c r="AK175" s="115"/>
      <c r="AL175" s="115"/>
      <c r="AM175" s="115" t="s">
        <v>716</v>
      </c>
      <c r="AN175" s="118"/>
      <c r="AO175" s="118"/>
      <c r="AP175" s="118"/>
      <c r="AQ175" s="118"/>
      <c r="AR175" s="121"/>
      <c r="AS175" s="121"/>
      <c r="AT175" s="116" t="s">
        <v>518</v>
      </c>
      <c r="AU175" s="122"/>
      <c r="AV175" s="120"/>
      <c r="AW175" s="122" t="s">
        <v>836</v>
      </c>
      <c r="AX175" s="194">
        <f>IFERROR(IF(PAC!$X175="F01 - CAPTAÇÃO DE RECURSO",1,""),"")</f>
        <v>1</v>
      </c>
      <c r="AY175" s="194" t="str">
        <f>IFERROR(IF(PAC!$X175="F02 - LICITAÇÃO",1,""),"")</f>
        <v/>
      </c>
      <c r="AZ175" s="123" t="str">
        <f>IFERROR(IF(PAC!$X$6:$X$581="F03 - EXECUÇÃO DO OBJETO",1,""),"")</f>
        <v/>
      </c>
      <c r="BA175" s="123" t="str">
        <f>IFERROR(IF(PAC!$X$6:$X$581="F04 - CONCLUÍDA",1,""),"")</f>
        <v/>
      </c>
      <c r="BB175" s="191">
        <f>IF(PAC!$R175&gt;0,0,PAC!$Q175)</f>
        <v>0</v>
      </c>
    </row>
    <row r="176" spans="1:54" s="1" customFormat="1" ht="63" hidden="1" customHeight="1" thickBot="1">
      <c r="A176" s="88">
        <f t="shared" si="2"/>
        <v>171</v>
      </c>
      <c r="B176" s="88">
        <v>2025</v>
      </c>
      <c r="C176" s="88" t="s">
        <v>605</v>
      </c>
      <c r="D176" s="88" t="s">
        <v>1010</v>
      </c>
      <c r="E176" s="102" t="s">
        <v>752</v>
      </c>
      <c r="F176" s="88" t="s">
        <v>53</v>
      </c>
      <c r="G176" s="88" t="s">
        <v>503</v>
      </c>
      <c r="H176" s="40" t="s">
        <v>1244</v>
      </c>
      <c r="I176" s="88" t="s">
        <v>1238</v>
      </c>
      <c r="J176" s="88" t="s">
        <v>238</v>
      </c>
      <c r="K176" s="18">
        <v>1184503.71</v>
      </c>
      <c r="L176" s="18">
        <v>1184503.71</v>
      </c>
      <c r="M176" s="18"/>
      <c r="N176" s="18"/>
      <c r="O176" s="18"/>
      <c r="P176" s="18"/>
      <c r="Q176" s="20">
        <f>SUM(PAC!$M176:$P176)</f>
        <v>0</v>
      </c>
      <c r="R176" s="20"/>
      <c r="S176" s="20">
        <f>IF(PAC!$R176&gt;0,PAC!$R176,PAC!$Q176)</f>
        <v>0</v>
      </c>
      <c r="T176" s="20"/>
      <c r="U176" s="103" t="s">
        <v>1574</v>
      </c>
      <c r="V176" s="103"/>
      <c r="W176" s="104"/>
      <c r="X176" s="104" t="s">
        <v>1419</v>
      </c>
      <c r="Y176" s="101" t="s">
        <v>2479</v>
      </c>
      <c r="Z176" s="87"/>
      <c r="AA176" s="105"/>
      <c r="AB176" s="108"/>
      <c r="AC176" s="40"/>
      <c r="AD176" s="106"/>
      <c r="AE176" s="102"/>
      <c r="AF176" s="40" t="s">
        <v>987</v>
      </c>
      <c r="AG176" s="40"/>
      <c r="AH176" s="40"/>
      <c r="AI176" s="40"/>
      <c r="AJ176" s="87"/>
      <c r="AK176" s="40"/>
      <c r="AL176" s="40"/>
      <c r="AM176" s="40" t="s">
        <v>716</v>
      </c>
      <c r="AN176" s="87"/>
      <c r="AO176" s="87"/>
      <c r="AP176" s="87"/>
      <c r="AQ176" s="87"/>
      <c r="AR176" s="107"/>
      <c r="AS176" s="107"/>
      <c r="AT176" s="103" t="s">
        <v>518</v>
      </c>
      <c r="AU176" s="108"/>
      <c r="AV176" s="106"/>
      <c r="AW176" s="108" t="s">
        <v>707</v>
      </c>
      <c r="AX176" s="109">
        <f>IFERROR(IF(PAC!$X176="F01 - CAPTAÇÃO DE RECURSO",1,""),"")</f>
        <v>1</v>
      </c>
      <c r="AY176" s="109" t="str">
        <f>IFERROR(IF(PAC!$X176="F02 - LICITAÇÃO",1,""),"")</f>
        <v/>
      </c>
      <c r="AZ176" s="110" t="str">
        <f>IFERROR(IF(PAC!$X$6:$X$581="F03 - EXECUÇÃO DO OBJETO",1,""),"")</f>
        <v/>
      </c>
      <c r="BA176" s="110" t="str">
        <f>IFERROR(IF(PAC!$X$6:$X$581="F04 - CONCLUÍDA",1,""),"")</f>
        <v/>
      </c>
      <c r="BB176" s="111">
        <f>IF(PAC!$R176&gt;0,0,PAC!$Q176)</f>
        <v>0</v>
      </c>
    </row>
    <row r="177" spans="1:54" s="1" customFormat="1" ht="63" hidden="1" customHeight="1" thickBot="1">
      <c r="A177" s="112">
        <f t="shared" si="2"/>
        <v>172</v>
      </c>
      <c r="B177" s="112">
        <v>2025</v>
      </c>
      <c r="C177" s="112" t="s">
        <v>605</v>
      </c>
      <c r="D177" s="112" t="s">
        <v>1010</v>
      </c>
      <c r="E177" s="114" t="s">
        <v>753</v>
      </c>
      <c r="F177" s="112" t="s">
        <v>53</v>
      </c>
      <c r="G177" s="112" t="s">
        <v>503</v>
      </c>
      <c r="H177" s="115" t="s">
        <v>1244</v>
      </c>
      <c r="I177" s="112" t="s">
        <v>1238</v>
      </c>
      <c r="J177" s="112" t="s">
        <v>250</v>
      </c>
      <c r="K177" s="31">
        <v>1573711.18</v>
      </c>
      <c r="L177" s="31">
        <v>1573711.18</v>
      </c>
      <c r="M177" s="31"/>
      <c r="N177" s="31"/>
      <c r="O177" s="31"/>
      <c r="P177" s="31"/>
      <c r="Q177" s="33">
        <f>SUM(PAC!$M177:$P177)</f>
        <v>0</v>
      </c>
      <c r="R177" s="33"/>
      <c r="S177" s="33">
        <f>IF(PAC!$R177&gt;0,PAC!$R177,PAC!$Q177)</f>
        <v>0</v>
      </c>
      <c r="T177" s="33"/>
      <c r="U177" s="116" t="s">
        <v>1574</v>
      </c>
      <c r="V177" s="116"/>
      <c r="W177" s="117"/>
      <c r="X177" s="117" t="s">
        <v>1419</v>
      </c>
      <c r="Y177" s="113" t="s">
        <v>2479</v>
      </c>
      <c r="Z177" s="118"/>
      <c r="AA177" s="119"/>
      <c r="AB177" s="122"/>
      <c r="AC177" s="115"/>
      <c r="AD177" s="120"/>
      <c r="AE177" s="114"/>
      <c r="AF177" s="115" t="s">
        <v>987</v>
      </c>
      <c r="AG177" s="115"/>
      <c r="AH177" s="115"/>
      <c r="AI177" s="115"/>
      <c r="AJ177" s="118"/>
      <c r="AK177" s="115"/>
      <c r="AL177" s="115"/>
      <c r="AM177" s="115" t="s">
        <v>716</v>
      </c>
      <c r="AN177" s="118"/>
      <c r="AO177" s="118"/>
      <c r="AP177" s="118"/>
      <c r="AQ177" s="118"/>
      <c r="AR177" s="121"/>
      <c r="AS177" s="121"/>
      <c r="AT177" s="116" t="s">
        <v>518</v>
      </c>
      <c r="AU177" s="122"/>
      <c r="AV177" s="120"/>
      <c r="AW177" s="122" t="s">
        <v>836</v>
      </c>
      <c r="AX177" s="194">
        <f>IFERROR(IF(PAC!$X177="F01 - CAPTAÇÃO DE RECURSO",1,""),"")</f>
        <v>1</v>
      </c>
      <c r="AY177" s="194" t="str">
        <f>IFERROR(IF(PAC!$X177="F02 - LICITAÇÃO",1,""),"")</f>
        <v/>
      </c>
      <c r="AZ177" s="123" t="str">
        <f>IFERROR(IF(PAC!$X$6:$X$581="F03 - EXECUÇÃO DO OBJETO",1,""),"")</f>
        <v/>
      </c>
      <c r="BA177" s="123" t="str">
        <f>IFERROR(IF(PAC!$X$6:$X$581="F04 - CONCLUÍDA",1,""),"")</f>
        <v/>
      </c>
      <c r="BB177" s="191">
        <f>IF(PAC!$R177&gt;0,0,PAC!$Q177)</f>
        <v>0</v>
      </c>
    </row>
    <row r="178" spans="1:54" s="1" customFormat="1" ht="63" hidden="1" customHeight="1" thickBot="1">
      <c r="A178" s="88">
        <f t="shared" si="2"/>
        <v>173</v>
      </c>
      <c r="B178" s="88">
        <v>2025</v>
      </c>
      <c r="C178" s="88" t="s">
        <v>605</v>
      </c>
      <c r="D178" s="88" t="s">
        <v>1010</v>
      </c>
      <c r="E178" s="102" t="s">
        <v>754</v>
      </c>
      <c r="F178" s="88" t="s">
        <v>53</v>
      </c>
      <c r="G178" s="88" t="s">
        <v>503</v>
      </c>
      <c r="H178" s="40" t="s">
        <v>1244</v>
      </c>
      <c r="I178" s="88" t="s">
        <v>1238</v>
      </c>
      <c r="J178" s="88" t="s">
        <v>250</v>
      </c>
      <c r="K178" s="18">
        <v>2502650.9500000002</v>
      </c>
      <c r="L178" s="18">
        <v>2502650.9500000002</v>
      </c>
      <c r="M178" s="18"/>
      <c r="N178" s="18"/>
      <c r="O178" s="18"/>
      <c r="P178" s="18"/>
      <c r="Q178" s="20">
        <f>SUM(PAC!$M178:$P178)</f>
        <v>0</v>
      </c>
      <c r="R178" s="20"/>
      <c r="S178" s="20">
        <f>IF(PAC!$R178&gt;0,PAC!$R178,PAC!$Q178)</f>
        <v>0</v>
      </c>
      <c r="T178" s="20"/>
      <c r="U178" s="103" t="s">
        <v>1574</v>
      </c>
      <c r="V178" s="103"/>
      <c r="W178" s="104"/>
      <c r="X178" s="104" t="s">
        <v>1419</v>
      </c>
      <c r="Y178" s="101" t="s">
        <v>2478</v>
      </c>
      <c r="Z178" s="87"/>
      <c r="AA178" s="105"/>
      <c r="AB178" s="108"/>
      <c r="AC178" s="40"/>
      <c r="AD178" s="106"/>
      <c r="AE178" s="102"/>
      <c r="AF178" s="40" t="s">
        <v>987</v>
      </c>
      <c r="AG178" s="40"/>
      <c r="AH178" s="40"/>
      <c r="AI178" s="40"/>
      <c r="AJ178" s="87"/>
      <c r="AK178" s="40"/>
      <c r="AL178" s="40"/>
      <c r="AM178" s="40" t="s">
        <v>716</v>
      </c>
      <c r="AN178" s="87"/>
      <c r="AO178" s="87"/>
      <c r="AP178" s="87"/>
      <c r="AQ178" s="87"/>
      <c r="AR178" s="107"/>
      <c r="AS178" s="107"/>
      <c r="AT178" s="103" t="s">
        <v>518</v>
      </c>
      <c r="AU178" s="108"/>
      <c r="AV178" s="106"/>
      <c r="AW178" s="108" t="s">
        <v>836</v>
      </c>
      <c r="AX178" s="109">
        <f>IFERROR(IF(PAC!$X178="F01 - CAPTAÇÃO DE RECURSO",1,""),"")</f>
        <v>1</v>
      </c>
      <c r="AY178" s="109" t="str">
        <f>IFERROR(IF(PAC!$X178="F02 - LICITAÇÃO",1,""),"")</f>
        <v/>
      </c>
      <c r="AZ178" s="110" t="str">
        <f>IFERROR(IF(PAC!$X$6:$X$581="F03 - EXECUÇÃO DO OBJETO",1,""),"")</f>
        <v/>
      </c>
      <c r="BA178" s="110" t="str">
        <f>IFERROR(IF(PAC!$X$6:$X$581="F04 - CONCLUÍDA",1,""),"")</f>
        <v/>
      </c>
      <c r="BB178" s="111">
        <f>IF(PAC!$R178&gt;0,0,PAC!$Q178)</f>
        <v>0</v>
      </c>
    </row>
    <row r="179" spans="1:54" s="1" customFormat="1" ht="63" hidden="1" customHeight="1" thickBot="1">
      <c r="A179" s="112">
        <f t="shared" si="2"/>
        <v>174</v>
      </c>
      <c r="B179" s="112">
        <v>2025</v>
      </c>
      <c r="C179" s="112" t="s">
        <v>605</v>
      </c>
      <c r="D179" s="112" t="s">
        <v>1010</v>
      </c>
      <c r="E179" s="114" t="s">
        <v>755</v>
      </c>
      <c r="F179" s="112" t="s">
        <v>53</v>
      </c>
      <c r="G179" s="112" t="s">
        <v>503</v>
      </c>
      <c r="H179" s="115" t="s">
        <v>1244</v>
      </c>
      <c r="I179" s="112" t="s">
        <v>1238</v>
      </c>
      <c r="J179" s="112" t="s">
        <v>256</v>
      </c>
      <c r="K179" s="31">
        <v>1693421.06</v>
      </c>
      <c r="L179" s="31">
        <v>1693421.06</v>
      </c>
      <c r="M179" s="31"/>
      <c r="N179" s="31"/>
      <c r="O179" s="31"/>
      <c r="P179" s="31"/>
      <c r="Q179" s="33">
        <f>SUM(PAC!$M179:$P179)</f>
        <v>0</v>
      </c>
      <c r="R179" s="33"/>
      <c r="S179" s="33">
        <f>IF(PAC!$R179&gt;0,PAC!$R179,PAC!$Q179)</f>
        <v>0</v>
      </c>
      <c r="T179" s="33"/>
      <c r="U179" s="116" t="s">
        <v>1574</v>
      </c>
      <c r="V179" s="116"/>
      <c r="W179" s="117"/>
      <c r="X179" s="117" t="s">
        <v>1419</v>
      </c>
      <c r="Y179" s="113" t="s">
        <v>2478</v>
      </c>
      <c r="Z179" s="118"/>
      <c r="AA179" s="119"/>
      <c r="AB179" s="122"/>
      <c r="AC179" s="115"/>
      <c r="AD179" s="120"/>
      <c r="AE179" s="114"/>
      <c r="AF179" s="115" t="s">
        <v>987</v>
      </c>
      <c r="AG179" s="115"/>
      <c r="AH179" s="115"/>
      <c r="AI179" s="115"/>
      <c r="AJ179" s="118"/>
      <c r="AK179" s="115"/>
      <c r="AL179" s="115"/>
      <c r="AM179" s="115" t="s">
        <v>716</v>
      </c>
      <c r="AN179" s="118"/>
      <c r="AO179" s="118"/>
      <c r="AP179" s="118"/>
      <c r="AQ179" s="118"/>
      <c r="AR179" s="121"/>
      <c r="AS179" s="121"/>
      <c r="AT179" s="116" t="s">
        <v>518</v>
      </c>
      <c r="AU179" s="122"/>
      <c r="AV179" s="120"/>
      <c r="AW179" s="122" t="s">
        <v>836</v>
      </c>
      <c r="AX179" s="194">
        <f>IFERROR(IF(PAC!$X179="F01 - CAPTAÇÃO DE RECURSO",1,""),"")</f>
        <v>1</v>
      </c>
      <c r="AY179" s="194" t="str">
        <f>IFERROR(IF(PAC!$X179="F02 - LICITAÇÃO",1,""),"")</f>
        <v/>
      </c>
      <c r="AZ179" s="123" t="str">
        <f>IFERROR(IF(PAC!$X$6:$X$581="F03 - EXECUÇÃO DO OBJETO",1,""),"")</f>
        <v/>
      </c>
      <c r="BA179" s="123" t="str">
        <f>IFERROR(IF(PAC!$X$6:$X$581="F04 - CONCLUÍDA",1,""),"")</f>
        <v/>
      </c>
      <c r="BB179" s="191">
        <f>IF(PAC!$R179&gt;0,0,PAC!$Q179)</f>
        <v>0</v>
      </c>
    </row>
    <row r="180" spans="1:54" s="1" customFormat="1" ht="63" hidden="1" customHeight="1" thickBot="1">
      <c r="A180" s="88">
        <f t="shared" si="2"/>
        <v>175</v>
      </c>
      <c r="B180" s="88">
        <v>2025</v>
      </c>
      <c r="C180" s="88" t="s">
        <v>605</v>
      </c>
      <c r="D180" s="88" t="s">
        <v>1010</v>
      </c>
      <c r="E180" s="102" t="s">
        <v>756</v>
      </c>
      <c r="F180" s="88" t="s">
        <v>53</v>
      </c>
      <c r="G180" s="88" t="s">
        <v>503</v>
      </c>
      <c r="H180" s="40" t="s">
        <v>1244</v>
      </c>
      <c r="I180" s="88" t="s">
        <v>1238</v>
      </c>
      <c r="J180" s="88" t="s">
        <v>256</v>
      </c>
      <c r="K180" s="18">
        <v>2162991.42</v>
      </c>
      <c r="L180" s="18">
        <v>2162991.42</v>
      </c>
      <c r="M180" s="18"/>
      <c r="N180" s="18"/>
      <c r="O180" s="18"/>
      <c r="P180" s="18"/>
      <c r="Q180" s="20">
        <f>SUM(PAC!$M180:$P180)</f>
        <v>0</v>
      </c>
      <c r="R180" s="20"/>
      <c r="S180" s="20">
        <f>IF(PAC!$R180&gt;0,PAC!$R180,PAC!$Q180)</f>
        <v>0</v>
      </c>
      <c r="T180" s="20"/>
      <c r="U180" s="103" t="s">
        <v>1574</v>
      </c>
      <c r="V180" s="103"/>
      <c r="W180" s="104"/>
      <c r="X180" s="104" t="s">
        <v>1419</v>
      </c>
      <c r="Y180" s="101" t="s">
        <v>2478</v>
      </c>
      <c r="Z180" s="87"/>
      <c r="AA180" s="105"/>
      <c r="AB180" s="108"/>
      <c r="AC180" s="40"/>
      <c r="AD180" s="106"/>
      <c r="AE180" s="102"/>
      <c r="AF180" s="40" t="s">
        <v>987</v>
      </c>
      <c r="AG180" s="40"/>
      <c r="AH180" s="40"/>
      <c r="AI180" s="40"/>
      <c r="AJ180" s="87"/>
      <c r="AK180" s="40"/>
      <c r="AL180" s="40"/>
      <c r="AM180" s="40" t="s">
        <v>716</v>
      </c>
      <c r="AN180" s="87"/>
      <c r="AO180" s="87"/>
      <c r="AP180" s="87"/>
      <c r="AQ180" s="87"/>
      <c r="AR180" s="107"/>
      <c r="AS180" s="107"/>
      <c r="AT180" s="103" t="s">
        <v>518</v>
      </c>
      <c r="AU180" s="108"/>
      <c r="AV180" s="106"/>
      <c r="AW180" s="108" t="s">
        <v>836</v>
      </c>
      <c r="AX180" s="109">
        <f>IFERROR(IF(PAC!$X180="F01 - CAPTAÇÃO DE RECURSO",1,""),"")</f>
        <v>1</v>
      </c>
      <c r="AY180" s="109" t="str">
        <f>IFERROR(IF(PAC!$X180="F02 - LICITAÇÃO",1,""),"")</f>
        <v/>
      </c>
      <c r="AZ180" s="110" t="str">
        <f>IFERROR(IF(PAC!$X$6:$X$581="F03 - EXECUÇÃO DO OBJETO",1,""),"")</f>
        <v/>
      </c>
      <c r="BA180" s="110" t="str">
        <f>IFERROR(IF(PAC!$X$6:$X$581="F04 - CONCLUÍDA",1,""),"")</f>
        <v/>
      </c>
      <c r="BB180" s="111">
        <f>IF(PAC!$R180&gt;0,0,PAC!$Q180)</f>
        <v>0</v>
      </c>
    </row>
    <row r="181" spans="1:54" s="1" customFormat="1" ht="63" hidden="1" customHeight="1" thickBot="1">
      <c r="A181" s="112">
        <f t="shared" si="2"/>
        <v>176</v>
      </c>
      <c r="B181" s="112">
        <v>2025</v>
      </c>
      <c r="C181" s="112" t="s">
        <v>605</v>
      </c>
      <c r="D181" s="112" t="s">
        <v>1010</v>
      </c>
      <c r="E181" s="114" t="s">
        <v>757</v>
      </c>
      <c r="F181" s="112" t="s">
        <v>53</v>
      </c>
      <c r="G181" s="112" t="s">
        <v>503</v>
      </c>
      <c r="H181" s="115" t="s">
        <v>1244</v>
      </c>
      <c r="I181" s="112" t="s">
        <v>1238</v>
      </c>
      <c r="J181" s="112" t="s">
        <v>256</v>
      </c>
      <c r="K181" s="31">
        <v>1367114.04</v>
      </c>
      <c r="L181" s="31">
        <v>1367114.04</v>
      </c>
      <c r="M181" s="31"/>
      <c r="N181" s="31"/>
      <c r="O181" s="31"/>
      <c r="P181" s="31"/>
      <c r="Q181" s="33">
        <f>SUM(PAC!$M181:$P181)</f>
        <v>0</v>
      </c>
      <c r="R181" s="33"/>
      <c r="S181" s="33">
        <f>IF(PAC!$R181&gt;0,PAC!$R181,PAC!$Q181)</f>
        <v>0</v>
      </c>
      <c r="T181" s="33"/>
      <c r="U181" s="116" t="s">
        <v>1574</v>
      </c>
      <c r="V181" s="116"/>
      <c r="W181" s="117"/>
      <c r="X181" s="117" t="s">
        <v>1419</v>
      </c>
      <c r="Y181" s="113" t="s">
        <v>2478</v>
      </c>
      <c r="Z181" s="118"/>
      <c r="AA181" s="119"/>
      <c r="AB181" s="122"/>
      <c r="AC181" s="115"/>
      <c r="AD181" s="120"/>
      <c r="AE181" s="114"/>
      <c r="AF181" s="115" t="s">
        <v>987</v>
      </c>
      <c r="AG181" s="115"/>
      <c r="AH181" s="115"/>
      <c r="AI181" s="115"/>
      <c r="AJ181" s="118"/>
      <c r="AK181" s="115"/>
      <c r="AL181" s="115"/>
      <c r="AM181" s="115" t="s">
        <v>716</v>
      </c>
      <c r="AN181" s="118"/>
      <c r="AO181" s="118"/>
      <c r="AP181" s="118"/>
      <c r="AQ181" s="118"/>
      <c r="AR181" s="121"/>
      <c r="AS181" s="121"/>
      <c r="AT181" s="116" t="s">
        <v>518</v>
      </c>
      <c r="AU181" s="122"/>
      <c r="AV181" s="120"/>
      <c r="AW181" s="122" t="s">
        <v>836</v>
      </c>
      <c r="AX181" s="194">
        <f>IFERROR(IF(PAC!$X181="F01 - CAPTAÇÃO DE RECURSO",1,""),"")</f>
        <v>1</v>
      </c>
      <c r="AY181" s="194" t="str">
        <f>IFERROR(IF(PAC!$X181="F02 - LICITAÇÃO",1,""),"")</f>
        <v/>
      </c>
      <c r="AZ181" s="123" t="str">
        <f>IFERROR(IF(PAC!$X$6:$X$581="F03 - EXECUÇÃO DO OBJETO",1,""),"")</f>
        <v/>
      </c>
      <c r="BA181" s="123" t="str">
        <f>IFERROR(IF(PAC!$X$6:$X$581="F04 - CONCLUÍDA",1,""),"")</f>
        <v/>
      </c>
      <c r="BB181" s="191">
        <f>IF(PAC!$R181&gt;0,0,PAC!$Q181)</f>
        <v>0</v>
      </c>
    </row>
    <row r="182" spans="1:54" s="1" customFormat="1" ht="63" hidden="1" customHeight="1" thickBot="1">
      <c r="A182" s="88">
        <f t="shared" si="2"/>
        <v>177</v>
      </c>
      <c r="B182" s="88">
        <v>2025</v>
      </c>
      <c r="C182" s="88" t="s">
        <v>605</v>
      </c>
      <c r="D182" s="88" t="s">
        <v>1010</v>
      </c>
      <c r="E182" s="102" t="s">
        <v>759</v>
      </c>
      <c r="F182" s="88" t="s">
        <v>53</v>
      </c>
      <c r="G182" s="88" t="s">
        <v>503</v>
      </c>
      <c r="H182" s="40" t="s">
        <v>1244</v>
      </c>
      <c r="I182" s="88" t="s">
        <v>1238</v>
      </c>
      <c r="J182" s="88" t="s">
        <v>274</v>
      </c>
      <c r="K182" s="18">
        <v>1645925.58</v>
      </c>
      <c r="L182" s="18">
        <v>1645925.58</v>
      </c>
      <c r="M182" s="18"/>
      <c r="N182" s="18"/>
      <c r="O182" s="18"/>
      <c r="P182" s="18"/>
      <c r="Q182" s="20">
        <f>SUM(PAC!$M182:$P182)</f>
        <v>0</v>
      </c>
      <c r="R182" s="20"/>
      <c r="S182" s="20">
        <f>IF(PAC!$R182&gt;0,PAC!$R182,PAC!$Q182)</f>
        <v>0</v>
      </c>
      <c r="T182" s="20"/>
      <c r="U182" s="103" t="s">
        <v>1574</v>
      </c>
      <c r="V182" s="103"/>
      <c r="W182" s="104"/>
      <c r="X182" s="104" t="s">
        <v>1419</v>
      </c>
      <c r="Y182" s="101" t="s">
        <v>2478</v>
      </c>
      <c r="Z182" s="87"/>
      <c r="AA182" s="105"/>
      <c r="AB182" s="108"/>
      <c r="AC182" s="40"/>
      <c r="AD182" s="106"/>
      <c r="AE182" s="102"/>
      <c r="AF182" s="40" t="s">
        <v>987</v>
      </c>
      <c r="AG182" s="40"/>
      <c r="AH182" s="40"/>
      <c r="AI182" s="40"/>
      <c r="AJ182" s="87"/>
      <c r="AK182" s="40"/>
      <c r="AL182" s="40"/>
      <c r="AM182" s="40" t="s">
        <v>716</v>
      </c>
      <c r="AN182" s="87"/>
      <c r="AO182" s="87"/>
      <c r="AP182" s="87"/>
      <c r="AQ182" s="87"/>
      <c r="AR182" s="107"/>
      <c r="AS182" s="107"/>
      <c r="AT182" s="103" t="s">
        <v>518</v>
      </c>
      <c r="AU182" s="108"/>
      <c r="AV182" s="106"/>
      <c r="AW182" s="108" t="s">
        <v>707</v>
      </c>
      <c r="AX182" s="109">
        <f>IFERROR(IF(PAC!$X182="F01 - CAPTAÇÃO DE RECURSO",1,""),"")</f>
        <v>1</v>
      </c>
      <c r="AY182" s="109" t="str">
        <f>IFERROR(IF(PAC!$X182="F02 - LICITAÇÃO",1,""),"")</f>
        <v/>
      </c>
      <c r="AZ182" s="110" t="str">
        <f>IFERROR(IF(PAC!$X$6:$X$581="F03 - EXECUÇÃO DO OBJETO",1,""),"")</f>
        <v/>
      </c>
      <c r="BA182" s="110" t="str">
        <f>IFERROR(IF(PAC!$X$6:$X$581="F04 - CONCLUÍDA",1,""),"")</f>
        <v/>
      </c>
      <c r="BB182" s="111">
        <f>IF(PAC!$R182&gt;0,0,PAC!$Q182)</f>
        <v>0</v>
      </c>
    </row>
    <row r="183" spans="1:54" s="1" customFormat="1" ht="63" hidden="1" customHeight="1" thickBot="1">
      <c r="A183" s="112">
        <f t="shared" si="2"/>
        <v>178</v>
      </c>
      <c r="B183" s="112">
        <v>2025</v>
      </c>
      <c r="C183" s="112" t="s">
        <v>605</v>
      </c>
      <c r="D183" s="112" t="s">
        <v>1010</v>
      </c>
      <c r="E183" s="114" t="s">
        <v>760</v>
      </c>
      <c r="F183" s="112" t="s">
        <v>53</v>
      </c>
      <c r="G183" s="112" t="s">
        <v>503</v>
      </c>
      <c r="H183" s="115" t="s">
        <v>1244</v>
      </c>
      <c r="I183" s="112" t="s">
        <v>1238</v>
      </c>
      <c r="J183" s="112" t="s">
        <v>280</v>
      </c>
      <c r="K183" s="31"/>
      <c r="L183" s="31">
        <v>15174063.029999999</v>
      </c>
      <c r="M183" s="31">
        <v>15174063.029999999</v>
      </c>
      <c r="N183" s="31"/>
      <c r="O183" s="31"/>
      <c r="P183" s="31"/>
      <c r="Q183" s="33">
        <f>SUM(PAC!$M183:$P183)</f>
        <v>15174063.029999999</v>
      </c>
      <c r="R183" s="33"/>
      <c r="S183" s="33">
        <f>IF(PAC!$R183&gt;0,PAC!$R183,PAC!$Q183)</f>
        <v>15174063.029999999</v>
      </c>
      <c r="T183" s="33"/>
      <c r="U183" s="116" t="s">
        <v>1570</v>
      </c>
      <c r="V183" s="116"/>
      <c r="W183" s="117">
        <v>24</v>
      </c>
      <c r="X183" s="117" t="s">
        <v>1418</v>
      </c>
      <c r="Y183" s="113" t="s">
        <v>2472</v>
      </c>
      <c r="Z183" s="118"/>
      <c r="AA183" s="119"/>
      <c r="AB183" s="122" t="s">
        <v>1464</v>
      </c>
      <c r="AC183" s="115" t="s">
        <v>2657</v>
      </c>
      <c r="AD183" s="120">
        <v>46274</v>
      </c>
      <c r="AE183" s="114" t="s">
        <v>2682</v>
      </c>
      <c r="AF183" s="115" t="s">
        <v>1638</v>
      </c>
      <c r="AG183" s="115" t="s">
        <v>1723</v>
      </c>
      <c r="AH183" s="115" t="s">
        <v>977</v>
      </c>
      <c r="AI183" s="115"/>
      <c r="AJ183" s="118"/>
      <c r="AK183" s="115" t="s">
        <v>1674</v>
      </c>
      <c r="AL183" s="115" t="s">
        <v>2114</v>
      </c>
      <c r="AM183" s="115"/>
      <c r="AN183" s="118">
        <v>46247</v>
      </c>
      <c r="AO183" s="118">
        <v>46274</v>
      </c>
      <c r="AP183" s="118"/>
      <c r="AQ183" s="118"/>
      <c r="AR183" s="121"/>
      <c r="AS183" s="121"/>
      <c r="AT183" s="116" t="s">
        <v>2338</v>
      </c>
      <c r="AU183" s="122" t="s">
        <v>2658</v>
      </c>
      <c r="AV183" s="120"/>
      <c r="AW183" s="122" t="s">
        <v>837</v>
      </c>
      <c r="AX183" s="194" t="str">
        <f>IFERROR(IF(PAC!$X183="F01 - CAPTAÇÃO DE RECURSO",1,""),"")</f>
        <v/>
      </c>
      <c r="AY183" s="194">
        <f>IFERROR(IF(PAC!$X183="F02 - LICITAÇÃO",1,""),"")</f>
        <v>1</v>
      </c>
      <c r="AZ183" s="123" t="str">
        <f>IFERROR(IF(PAC!$X$6:$X$581="F03 - EXECUÇÃO DO OBJETO",1,""),"")</f>
        <v/>
      </c>
      <c r="BA183" s="123" t="str">
        <f>IFERROR(IF(PAC!$X$6:$X$581="F04 - CONCLUÍDA",1,""),"")</f>
        <v/>
      </c>
      <c r="BB183" s="191">
        <f>IF(PAC!$R183&gt;0,0,PAC!$Q183)</f>
        <v>15174063.029999999</v>
      </c>
    </row>
    <row r="184" spans="1:54" s="1" customFormat="1" ht="63" hidden="1" customHeight="1" thickBot="1">
      <c r="A184" s="88">
        <f t="shared" si="2"/>
        <v>179</v>
      </c>
      <c r="B184" s="88">
        <v>2025</v>
      </c>
      <c r="C184" s="88" t="s">
        <v>605</v>
      </c>
      <c r="D184" s="88" t="s">
        <v>1010</v>
      </c>
      <c r="E184" s="102" t="s">
        <v>761</v>
      </c>
      <c r="F184" s="88" t="s">
        <v>53</v>
      </c>
      <c r="G184" s="88" t="s">
        <v>503</v>
      </c>
      <c r="H184" s="40" t="s">
        <v>1244</v>
      </c>
      <c r="I184" s="88" t="s">
        <v>1238</v>
      </c>
      <c r="J184" s="88" t="s">
        <v>280</v>
      </c>
      <c r="K184" s="18"/>
      <c r="L184" s="18">
        <v>4054877.56</v>
      </c>
      <c r="M184" s="18">
        <v>4054877.56</v>
      </c>
      <c r="N184" s="18"/>
      <c r="O184" s="18"/>
      <c r="P184" s="18"/>
      <c r="Q184" s="20">
        <f>SUM(PAC!$M184:$P184)</f>
        <v>4054877.56</v>
      </c>
      <c r="R184" s="20"/>
      <c r="S184" s="20">
        <f>IF(PAC!$R184&gt;0,PAC!$R184,PAC!$Q184)</f>
        <v>4054877.56</v>
      </c>
      <c r="T184" s="20"/>
      <c r="U184" s="103" t="s">
        <v>1570</v>
      </c>
      <c r="V184" s="103"/>
      <c r="W184" s="104">
        <v>10</v>
      </c>
      <c r="X184" s="104" t="s">
        <v>1418</v>
      </c>
      <c r="Y184" s="101" t="s">
        <v>2472</v>
      </c>
      <c r="Z184" s="87"/>
      <c r="AA184" s="105"/>
      <c r="AB184" s="108" t="s">
        <v>1464</v>
      </c>
      <c r="AC184" s="40" t="s">
        <v>2657</v>
      </c>
      <c r="AD184" s="106">
        <v>46274</v>
      </c>
      <c r="AE184" s="102" t="s">
        <v>2682</v>
      </c>
      <c r="AF184" s="40" t="s">
        <v>1638</v>
      </c>
      <c r="AG184" s="40" t="s">
        <v>1723</v>
      </c>
      <c r="AH184" s="40" t="s">
        <v>977</v>
      </c>
      <c r="AI184" s="40"/>
      <c r="AJ184" s="87"/>
      <c r="AK184" s="40" t="s">
        <v>1675</v>
      </c>
      <c r="AL184" s="40" t="s">
        <v>2114</v>
      </c>
      <c r="AM184" s="40"/>
      <c r="AN184" s="87">
        <v>46247</v>
      </c>
      <c r="AO184" s="87">
        <v>46274</v>
      </c>
      <c r="AP184" s="87"/>
      <c r="AQ184" s="87"/>
      <c r="AR184" s="107"/>
      <c r="AS184" s="107"/>
      <c r="AT184" s="103" t="s">
        <v>2339</v>
      </c>
      <c r="AU184" s="108" t="s">
        <v>2658</v>
      </c>
      <c r="AV184" s="106"/>
      <c r="AW184" s="108" t="s">
        <v>837</v>
      </c>
      <c r="AX184" s="109" t="str">
        <f>IFERROR(IF(PAC!$X184="F01 - CAPTAÇÃO DE RECURSO",1,""),"")</f>
        <v/>
      </c>
      <c r="AY184" s="109">
        <f>IFERROR(IF(PAC!$X184="F02 - LICITAÇÃO",1,""),"")</f>
        <v>1</v>
      </c>
      <c r="AZ184" s="110" t="str">
        <f>IFERROR(IF(PAC!$X$6:$X$581="F03 - EXECUÇÃO DO OBJETO",1,""),"")</f>
        <v/>
      </c>
      <c r="BA184" s="110" t="str">
        <f>IFERROR(IF(PAC!$X$6:$X$581="F04 - CONCLUÍDA",1,""),"")</f>
        <v/>
      </c>
      <c r="BB184" s="111">
        <f>IF(PAC!$R184&gt;0,0,PAC!$Q184)</f>
        <v>4054877.56</v>
      </c>
    </row>
    <row r="185" spans="1:54" s="1" customFormat="1" ht="63" hidden="1" customHeight="1" thickBot="1">
      <c r="A185" s="112">
        <f t="shared" si="2"/>
        <v>180</v>
      </c>
      <c r="B185" s="112">
        <v>2025</v>
      </c>
      <c r="C185" s="112" t="s">
        <v>605</v>
      </c>
      <c r="D185" s="112" t="s">
        <v>1010</v>
      </c>
      <c r="E185" s="114" t="s">
        <v>762</v>
      </c>
      <c r="F185" s="112" t="s">
        <v>53</v>
      </c>
      <c r="G185" s="112" t="s">
        <v>503</v>
      </c>
      <c r="H185" s="115" t="s">
        <v>1244</v>
      </c>
      <c r="I185" s="112" t="s">
        <v>1238</v>
      </c>
      <c r="J185" s="112" t="s">
        <v>280</v>
      </c>
      <c r="K185" s="31"/>
      <c r="L185" s="31">
        <v>20293047.440000001</v>
      </c>
      <c r="M185" s="31">
        <v>20293047.440000001</v>
      </c>
      <c r="N185" s="31"/>
      <c r="O185" s="31"/>
      <c r="P185" s="31"/>
      <c r="Q185" s="33">
        <f>SUM(PAC!$M185:$P185)</f>
        <v>20293047.440000001</v>
      </c>
      <c r="R185" s="33"/>
      <c r="S185" s="33">
        <f>IF(PAC!$R185&gt;0,PAC!$R185,PAC!$Q185)</f>
        <v>20293047.440000001</v>
      </c>
      <c r="T185" s="33"/>
      <c r="U185" s="116" t="s">
        <v>1570</v>
      </c>
      <c r="V185" s="116"/>
      <c r="W185" s="117">
        <v>24</v>
      </c>
      <c r="X185" s="117" t="s">
        <v>1418</v>
      </c>
      <c r="Y185" s="113" t="s">
        <v>2472</v>
      </c>
      <c r="Z185" s="118"/>
      <c r="AA185" s="119"/>
      <c r="AB185" s="122" t="s">
        <v>1464</v>
      </c>
      <c r="AC185" s="115" t="s">
        <v>2657</v>
      </c>
      <c r="AD185" s="120">
        <v>46274</v>
      </c>
      <c r="AE185" s="114" t="s">
        <v>2682</v>
      </c>
      <c r="AF185" s="115" t="s">
        <v>1638</v>
      </c>
      <c r="AG185" s="115" t="s">
        <v>1723</v>
      </c>
      <c r="AH185" s="115" t="s">
        <v>977</v>
      </c>
      <c r="AI185" s="115"/>
      <c r="AJ185" s="118"/>
      <c r="AK185" s="115" t="s">
        <v>1676</v>
      </c>
      <c r="AL185" s="115" t="s">
        <v>2114</v>
      </c>
      <c r="AM185" s="115"/>
      <c r="AN185" s="118">
        <v>46247</v>
      </c>
      <c r="AO185" s="118">
        <v>46274</v>
      </c>
      <c r="AP185" s="118"/>
      <c r="AQ185" s="118"/>
      <c r="AR185" s="121"/>
      <c r="AS185" s="121"/>
      <c r="AT185" s="116" t="s">
        <v>2340</v>
      </c>
      <c r="AU185" s="122" t="s">
        <v>2658</v>
      </c>
      <c r="AV185" s="120"/>
      <c r="AW185" s="122" t="s">
        <v>837</v>
      </c>
      <c r="AX185" s="194" t="str">
        <f>IFERROR(IF(PAC!$X185="F01 - CAPTAÇÃO DE RECURSO",1,""),"")</f>
        <v/>
      </c>
      <c r="AY185" s="194">
        <f>IFERROR(IF(PAC!$X185="F02 - LICITAÇÃO",1,""),"")</f>
        <v>1</v>
      </c>
      <c r="AZ185" s="123" t="str">
        <f>IFERROR(IF(PAC!$X$6:$X$581="F03 - EXECUÇÃO DO OBJETO",1,""),"")</f>
        <v/>
      </c>
      <c r="BA185" s="123" t="str">
        <f>IFERROR(IF(PAC!$X$6:$X$581="F04 - CONCLUÍDA",1,""),"")</f>
        <v/>
      </c>
      <c r="BB185" s="191">
        <f>IF(PAC!$R185&gt;0,0,PAC!$Q185)</f>
        <v>20293047.440000001</v>
      </c>
    </row>
    <row r="186" spans="1:54" s="1" customFormat="1" ht="63" hidden="1" customHeight="1" thickBot="1">
      <c r="A186" s="88">
        <f t="shared" si="2"/>
        <v>181</v>
      </c>
      <c r="B186" s="88">
        <v>2025</v>
      </c>
      <c r="C186" s="88" t="s">
        <v>605</v>
      </c>
      <c r="D186" s="88" t="s">
        <v>1010</v>
      </c>
      <c r="E186" s="102" t="s">
        <v>763</v>
      </c>
      <c r="F186" s="88" t="s">
        <v>53</v>
      </c>
      <c r="G186" s="88" t="s">
        <v>503</v>
      </c>
      <c r="H186" s="40" t="s">
        <v>1244</v>
      </c>
      <c r="I186" s="88" t="s">
        <v>1238</v>
      </c>
      <c r="J186" s="88" t="s">
        <v>292</v>
      </c>
      <c r="K186" s="18">
        <v>2332990.2799999998</v>
      </c>
      <c r="L186" s="18"/>
      <c r="M186" s="18"/>
      <c r="N186" s="18"/>
      <c r="O186" s="18"/>
      <c r="P186" s="18"/>
      <c r="Q186" s="20">
        <f>SUM(PAC!$M186:$P186)</f>
        <v>0</v>
      </c>
      <c r="R186" s="20"/>
      <c r="S186" s="20">
        <f>IF(PAC!$R186&gt;0,PAC!$R186,PAC!$Q186)</f>
        <v>0</v>
      </c>
      <c r="T186" s="20"/>
      <c r="U186" s="103" t="s">
        <v>1574</v>
      </c>
      <c r="V186" s="103"/>
      <c r="W186" s="104"/>
      <c r="X186" s="104" t="s">
        <v>1419</v>
      </c>
      <c r="Y186" s="101" t="s">
        <v>2478</v>
      </c>
      <c r="Z186" s="87"/>
      <c r="AA186" s="105"/>
      <c r="AB186" s="108"/>
      <c r="AC186" s="40"/>
      <c r="AD186" s="106"/>
      <c r="AE186" s="102"/>
      <c r="AF186" s="40" t="s">
        <v>987</v>
      </c>
      <c r="AG186" s="40"/>
      <c r="AH186" s="40"/>
      <c r="AI186" s="40"/>
      <c r="AJ186" s="87"/>
      <c r="AK186" s="40"/>
      <c r="AL186" s="40"/>
      <c r="AM186" s="40"/>
      <c r="AN186" s="87"/>
      <c r="AO186" s="87"/>
      <c r="AP186" s="87"/>
      <c r="AQ186" s="87"/>
      <c r="AR186" s="107"/>
      <c r="AS186" s="107"/>
      <c r="AT186" s="103" t="s">
        <v>518</v>
      </c>
      <c r="AU186" s="108"/>
      <c r="AV186" s="106"/>
      <c r="AW186" s="108" t="s">
        <v>836</v>
      </c>
      <c r="AX186" s="109">
        <f>IFERROR(IF(PAC!$X186="F01 - CAPTAÇÃO DE RECURSO",1,""),"")</f>
        <v>1</v>
      </c>
      <c r="AY186" s="109" t="str">
        <f>IFERROR(IF(PAC!$X186="F02 - LICITAÇÃO",1,""),"")</f>
        <v/>
      </c>
      <c r="AZ186" s="110" t="str">
        <f>IFERROR(IF(PAC!$X$6:$X$581="F03 - EXECUÇÃO DO OBJETO",1,""),"")</f>
        <v/>
      </c>
      <c r="BA186" s="110" t="str">
        <f>IFERROR(IF(PAC!$X$6:$X$581="F04 - CONCLUÍDA",1,""),"")</f>
        <v/>
      </c>
      <c r="BB186" s="111">
        <f>IF(PAC!$R186&gt;0,0,PAC!$Q186)</f>
        <v>0</v>
      </c>
    </row>
    <row r="187" spans="1:54" s="1" customFormat="1" ht="63" hidden="1" customHeight="1" thickBot="1">
      <c r="A187" s="112">
        <f t="shared" si="2"/>
        <v>182</v>
      </c>
      <c r="B187" s="112">
        <v>2025</v>
      </c>
      <c r="C187" s="112" t="s">
        <v>605</v>
      </c>
      <c r="D187" s="112" t="s">
        <v>1010</v>
      </c>
      <c r="E187" s="114" t="s">
        <v>764</v>
      </c>
      <c r="F187" s="112" t="s">
        <v>53</v>
      </c>
      <c r="G187" s="112" t="s">
        <v>503</v>
      </c>
      <c r="H187" s="115" t="s">
        <v>1244</v>
      </c>
      <c r="I187" s="112" t="s">
        <v>1238</v>
      </c>
      <c r="J187" s="112" t="s">
        <v>292</v>
      </c>
      <c r="K187" s="31">
        <v>1873540.5</v>
      </c>
      <c r="L187" s="31">
        <v>1873540.5</v>
      </c>
      <c r="M187" s="31"/>
      <c r="N187" s="31"/>
      <c r="O187" s="31"/>
      <c r="P187" s="31"/>
      <c r="Q187" s="33">
        <f>SUM(PAC!$M187:$P187)</f>
        <v>0</v>
      </c>
      <c r="R187" s="33"/>
      <c r="S187" s="33">
        <f>IF(PAC!$R187&gt;0,PAC!$R187,PAC!$Q187)</f>
        <v>0</v>
      </c>
      <c r="T187" s="33"/>
      <c r="U187" s="116" t="s">
        <v>1574</v>
      </c>
      <c r="V187" s="116"/>
      <c r="W187" s="117"/>
      <c r="X187" s="117" t="s">
        <v>1419</v>
      </c>
      <c r="Y187" s="113" t="s">
        <v>2478</v>
      </c>
      <c r="Z187" s="118"/>
      <c r="AA187" s="119"/>
      <c r="AB187" s="122"/>
      <c r="AC187" s="115"/>
      <c r="AD187" s="120"/>
      <c r="AE187" s="114"/>
      <c r="AF187" s="115" t="s">
        <v>987</v>
      </c>
      <c r="AG187" s="115"/>
      <c r="AH187" s="115"/>
      <c r="AI187" s="115"/>
      <c r="AJ187" s="118"/>
      <c r="AK187" s="115"/>
      <c r="AL187" s="115"/>
      <c r="AM187" s="115"/>
      <c r="AN187" s="118"/>
      <c r="AO187" s="118"/>
      <c r="AP187" s="118"/>
      <c r="AQ187" s="118"/>
      <c r="AR187" s="121"/>
      <c r="AS187" s="121"/>
      <c r="AT187" s="116" t="s">
        <v>518</v>
      </c>
      <c r="AU187" s="122"/>
      <c r="AV187" s="120"/>
      <c r="AW187" s="122" t="s">
        <v>836</v>
      </c>
      <c r="AX187" s="194">
        <f>IFERROR(IF(PAC!$X187="F01 - CAPTAÇÃO DE RECURSO",1,""),"")</f>
        <v>1</v>
      </c>
      <c r="AY187" s="194" t="str">
        <f>IFERROR(IF(PAC!$X187="F02 - LICITAÇÃO",1,""),"")</f>
        <v/>
      </c>
      <c r="AZ187" s="123" t="str">
        <f>IFERROR(IF(PAC!$X$6:$X$581="F03 - EXECUÇÃO DO OBJETO",1,""),"")</f>
        <v/>
      </c>
      <c r="BA187" s="123" t="str">
        <f>IFERROR(IF(PAC!$X$6:$X$581="F04 - CONCLUÍDA",1,""),"")</f>
        <v/>
      </c>
      <c r="BB187" s="191">
        <f>IF(PAC!$R187&gt;0,0,PAC!$Q187)</f>
        <v>0</v>
      </c>
    </row>
    <row r="188" spans="1:54" s="1" customFormat="1" ht="63" hidden="1" customHeight="1" thickBot="1">
      <c r="A188" s="88">
        <f t="shared" si="2"/>
        <v>183</v>
      </c>
      <c r="B188" s="88">
        <v>2025</v>
      </c>
      <c r="C188" s="88" t="s">
        <v>605</v>
      </c>
      <c r="D188" s="88" t="s">
        <v>1010</v>
      </c>
      <c r="E188" s="102" t="s">
        <v>765</v>
      </c>
      <c r="F188" s="88" t="s">
        <v>53</v>
      </c>
      <c r="G188" s="88" t="s">
        <v>503</v>
      </c>
      <c r="H188" s="40" t="s">
        <v>1244</v>
      </c>
      <c r="I188" s="88" t="s">
        <v>1238</v>
      </c>
      <c r="J188" s="88" t="s">
        <v>292</v>
      </c>
      <c r="K188" s="18">
        <v>2102688.92</v>
      </c>
      <c r="L188" s="18">
        <v>2102688.92</v>
      </c>
      <c r="M188" s="18"/>
      <c r="N188" s="18"/>
      <c r="O188" s="18"/>
      <c r="P188" s="18"/>
      <c r="Q188" s="20">
        <f>SUM(PAC!$M188:$P188)</f>
        <v>0</v>
      </c>
      <c r="R188" s="20"/>
      <c r="S188" s="20">
        <f>IF(PAC!$R188&gt;0,PAC!$R188,PAC!$Q188)</f>
        <v>0</v>
      </c>
      <c r="T188" s="20"/>
      <c r="U188" s="103" t="s">
        <v>1574</v>
      </c>
      <c r="V188" s="103"/>
      <c r="W188" s="104"/>
      <c r="X188" s="104" t="s">
        <v>1419</v>
      </c>
      <c r="Y188" s="101" t="s">
        <v>2478</v>
      </c>
      <c r="Z188" s="87"/>
      <c r="AA188" s="105"/>
      <c r="AB188" s="108"/>
      <c r="AC188" s="40"/>
      <c r="AD188" s="106"/>
      <c r="AE188" s="102"/>
      <c r="AF188" s="40" t="s">
        <v>987</v>
      </c>
      <c r="AG188" s="40"/>
      <c r="AH188" s="40"/>
      <c r="AI188" s="40"/>
      <c r="AJ188" s="87"/>
      <c r="AK188" s="40"/>
      <c r="AL188" s="40"/>
      <c r="AM188" s="40"/>
      <c r="AN188" s="87"/>
      <c r="AO188" s="87"/>
      <c r="AP188" s="87"/>
      <c r="AQ188" s="87"/>
      <c r="AR188" s="107"/>
      <c r="AS188" s="107"/>
      <c r="AT188" s="103" t="s">
        <v>518</v>
      </c>
      <c r="AU188" s="108"/>
      <c r="AV188" s="106"/>
      <c r="AW188" s="108" t="s">
        <v>836</v>
      </c>
      <c r="AX188" s="109">
        <f>IFERROR(IF(PAC!$X188="F01 - CAPTAÇÃO DE RECURSO",1,""),"")</f>
        <v>1</v>
      </c>
      <c r="AY188" s="109" t="str">
        <f>IFERROR(IF(PAC!$X188="F02 - LICITAÇÃO",1,""),"")</f>
        <v/>
      </c>
      <c r="AZ188" s="110" t="str">
        <f>IFERROR(IF(PAC!$X$6:$X$581="F03 - EXECUÇÃO DO OBJETO",1,""),"")</f>
        <v/>
      </c>
      <c r="BA188" s="110" t="str">
        <f>IFERROR(IF(PAC!$X$6:$X$581="F04 - CONCLUÍDA",1,""),"")</f>
        <v/>
      </c>
      <c r="BB188" s="111">
        <f>IF(PAC!$R188&gt;0,0,PAC!$Q188)</f>
        <v>0</v>
      </c>
    </row>
    <row r="189" spans="1:54" s="1" customFormat="1" ht="63" hidden="1" customHeight="1" thickBot="1">
      <c r="A189" s="112">
        <f t="shared" si="2"/>
        <v>184</v>
      </c>
      <c r="B189" s="112">
        <v>2025</v>
      </c>
      <c r="C189" s="112" t="s">
        <v>605</v>
      </c>
      <c r="D189" s="112" t="s">
        <v>1010</v>
      </c>
      <c r="E189" s="114" t="s">
        <v>766</v>
      </c>
      <c r="F189" s="112" t="s">
        <v>53</v>
      </c>
      <c r="G189" s="112" t="s">
        <v>503</v>
      </c>
      <c r="H189" s="115" t="s">
        <v>1244</v>
      </c>
      <c r="I189" s="112" t="s">
        <v>1238</v>
      </c>
      <c r="J189" s="112" t="s">
        <v>292</v>
      </c>
      <c r="K189" s="31"/>
      <c r="L189" s="31">
        <v>1435612.87</v>
      </c>
      <c r="M189" s="31">
        <v>1435612.87</v>
      </c>
      <c r="N189" s="31"/>
      <c r="O189" s="31"/>
      <c r="P189" s="31"/>
      <c r="Q189" s="33">
        <f>SUM(PAC!$M189:$P189)</f>
        <v>1435612.87</v>
      </c>
      <c r="R189" s="33"/>
      <c r="S189" s="33">
        <f>IF(PAC!$R189&gt;0,PAC!$R189,PAC!$Q189)</f>
        <v>1435612.87</v>
      </c>
      <c r="T189" s="33"/>
      <c r="U189" s="116" t="s">
        <v>1570</v>
      </c>
      <c r="V189" s="116"/>
      <c r="W189" s="117">
        <v>16</v>
      </c>
      <c r="X189" s="117" t="s">
        <v>1418</v>
      </c>
      <c r="Y189" s="113" t="s">
        <v>2472</v>
      </c>
      <c r="Z189" s="118"/>
      <c r="AA189" s="119"/>
      <c r="AB189" s="122" t="s">
        <v>1464</v>
      </c>
      <c r="AC189" s="115" t="s">
        <v>2657</v>
      </c>
      <c r="AD189" s="120">
        <v>46274</v>
      </c>
      <c r="AE189" s="114" t="s">
        <v>2682</v>
      </c>
      <c r="AF189" s="115" t="s">
        <v>1638</v>
      </c>
      <c r="AG189" s="115" t="s">
        <v>1723</v>
      </c>
      <c r="AH189" s="115" t="s">
        <v>977</v>
      </c>
      <c r="AI189" s="115"/>
      <c r="AJ189" s="118"/>
      <c r="AK189" s="115" t="s">
        <v>1677</v>
      </c>
      <c r="AL189" s="115" t="s">
        <v>2115</v>
      </c>
      <c r="AM189" s="115" t="s">
        <v>716</v>
      </c>
      <c r="AN189" s="118">
        <v>46247</v>
      </c>
      <c r="AO189" s="118">
        <v>46274</v>
      </c>
      <c r="AP189" s="118"/>
      <c r="AQ189" s="118"/>
      <c r="AR189" s="121"/>
      <c r="AS189" s="121"/>
      <c r="AT189" s="116" t="s">
        <v>2341</v>
      </c>
      <c r="AU189" s="122" t="s">
        <v>2658</v>
      </c>
      <c r="AV189" s="120"/>
      <c r="AW189" s="122" t="s">
        <v>707</v>
      </c>
      <c r="AX189" s="194" t="str">
        <f>IFERROR(IF(PAC!$X189="F01 - CAPTAÇÃO DE RECURSO",1,""),"")</f>
        <v/>
      </c>
      <c r="AY189" s="194">
        <f>IFERROR(IF(PAC!$X189="F02 - LICITAÇÃO",1,""),"")</f>
        <v>1</v>
      </c>
      <c r="AZ189" s="123" t="str">
        <f>IFERROR(IF(PAC!$X$6:$X$581="F03 - EXECUÇÃO DO OBJETO",1,""),"")</f>
        <v/>
      </c>
      <c r="BA189" s="123" t="str">
        <f>IFERROR(IF(PAC!$X$6:$X$581="F04 - CONCLUÍDA",1,""),"")</f>
        <v/>
      </c>
      <c r="BB189" s="191">
        <f>IF(PAC!$R189&gt;0,0,PAC!$Q189)</f>
        <v>1435612.87</v>
      </c>
    </row>
    <row r="190" spans="1:54" s="1" customFormat="1" ht="63" hidden="1" customHeight="1" thickBot="1">
      <c r="A190" s="88">
        <f t="shared" si="2"/>
        <v>185</v>
      </c>
      <c r="B190" s="88">
        <v>2025</v>
      </c>
      <c r="C190" s="88" t="s">
        <v>605</v>
      </c>
      <c r="D190" s="88" t="s">
        <v>1010</v>
      </c>
      <c r="E190" s="102" t="s">
        <v>835</v>
      </c>
      <c r="F190" s="88" t="s">
        <v>53</v>
      </c>
      <c r="G190" s="88" t="s">
        <v>503</v>
      </c>
      <c r="H190" s="40" t="s">
        <v>1244</v>
      </c>
      <c r="I190" s="88" t="s">
        <v>1238</v>
      </c>
      <c r="J190" s="88" t="s">
        <v>296</v>
      </c>
      <c r="K190" s="18">
        <v>8687856.6500000004</v>
      </c>
      <c r="L190" s="18">
        <v>8687856.6500000004</v>
      </c>
      <c r="M190" s="18"/>
      <c r="N190" s="18"/>
      <c r="O190" s="18"/>
      <c r="P190" s="18"/>
      <c r="Q190" s="20">
        <f>SUM(PAC!$M190:$P190)</f>
        <v>0</v>
      </c>
      <c r="R190" s="20"/>
      <c r="S190" s="20">
        <f>IF(PAC!$R190&gt;0,PAC!$R190,PAC!$Q190)</f>
        <v>0</v>
      </c>
      <c r="T190" s="20"/>
      <c r="U190" s="103" t="s">
        <v>1574</v>
      </c>
      <c r="V190" s="103"/>
      <c r="W190" s="104"/>
      <c r="X190" s="104" t="s">
        <v>1419</v>
      </c>
      <c r="Y190" s="101" t="s">
        <v>2478</v>
      </c>
      <c r="Z190" s="87"/>
      <c r="AA190" s="105"/>
      <c r="AB190" s="108"/>
      <c r="AC190" s="40"/>
      <c r="AD190" s="106"/>
      <c r="AE190" s="102"/>
      <c r="AF190" s="40" t="s">
        <v>987</v>
      </c>
      <c r="AG190" s="40"/>
      <c r="AH190" s="40"/>
      <c r="AI190" s="40"/>
      <c r="AJ190" s="87"/>
      <c r="AK190" s="40"/>
      <c r="AL190" s="40"/>
      <c r="AM190" s="40"/>
      <c r="AN190" s="87"/>
      <c r="AO190" s="87"/>
      <c r="AP190" s="87"/>
      <c r="AQ190" s="87"/>
      <c r="AR190" s="107"/>
      <c r="AS190" s="107"/>
      <c r="AT190" s="103" t="s">
        <v>518</v>
      </c>
      <c r="AU190" s="108"/>
      <c r="AV190" s="106"/>
      <c r="AW190" s="108" t="s">
        <v>836</v>
      </c>
      <c r="AX190" s="109">
        <f>IFERROR(IF(PAC!$X190="F01 - CAPTAÇÃO DE RECURSO",1,""),"")</f>
        <v>1</v>
      </c>
      <c r="AY190" s="109" t="str">
        <f>IFERROR(IF(PAC!$X190="F02 - LICITAÇÃO",1,""),"")</f>
        <v/>
      </c>
      <c r="AZ190" s="110" t="str">
        <f>IFERROR(IF(PAC!$X$6:$X$581="F03 - EXECUÇÃO DO OBJETO",1,""),"")</f>
        <v/>
      </c>
      <c r="BA190" s="110" t="str">
        <f>IFERROR(IF(PAC!$X$6:$X$581="F04 - CONCLUÍDA",1,""),"")</f>
        <v/>
      </c>
      <c r="BB190" s="111">
        <f>IF(PAC!$R190&gt;0,0,PAC!$Q190)</f>
        <v>0</v>
      </c>
    </row>
    <row r="191" spans="1:54" s="1" customFormat="1" ht="63" hidden="1" customHeight="1" thickBot="1">
      <c r="A191" s="112">
        <f t="shared" si="2"/>
        <v>186</v>
      </c>
      <c r="B191" s="112">
        <v>2025</v>
      </c>
      <c r="C191" s="112" t="s">
        <v>605</v>
      </c>
      <c r="D191" s="112" t="s">
        <v>1010</v>
      </c>
      <c r="E191" s="114" t="s">
        <v>767</v>
      </c>
      <c r="F191" s="112" t="s">
        <v>53</v>
      </c>
      <c r="G191" s="112" t="s">
        <v>503</v>
      </c>
      <c r="H191" s="115" t="s">
        <v>1244</v>
      </c>
      <c r="I191" s="112" t="s">
        <v>1238</v>
      </c>
      <c r="J191" s="112" t="s">
        <v>296</v>
      </c>
      <c r="K191" s="31">
        <v>4988421.68</v>
      </c>
      <c r="L191" s="31">
        <v>4988421.68</v>
      </c>
      <c r="M191" s="31"/>
      <c r="N191" s="31"/>
      <c r="O191" s="31"/>
      <c r="P191" s="31"/>
      <c r="Q191" s="33">
        <f>SUM(PAC!$M191:$P191)</f>
        <v>0</v>
      </c>
      <c r="R191" s="33"/>
      <c r="S191" s="33">
        <f>IF(PAC!$R191&gt;0,PAC!$R191,PAC!$Q191)</f>
        <v>0</v>
      </c>
      <c r="T191" s="33"/>
      <c r="U191" s="116" t="s">
        <v>1574</v>
      </c>
      <c r="V191" s="116"/>
      <c r="W191" s="117"/>
      <c r="X191" s="117" t="s">
        <v>1419</v>
      </c>
      <c r="Y191" s="113" t="s">
        <v>2478</v>
      </c>
      <c r="Z191" s="118"/>
      <c r="AA191" s="119"/>
      <c r="AB191" s="122"/>
      <c r="AC191" s="115"/>
      <c r="AD191" s="120"/>
      <c r="AE191" s="114"/>
      <c r="AF191" s="115" t="s">
        <v>987</v>
      </c>
      <c r="AG191" s="115"/>
      <c r="AH191" s="115"/>
      <c r="AI191" s="115"/>
      <c r="AJ191" s="118"/>
      <c r="AK191" s="115"/>
      <c r="AL191" s="115"/>
      <c r="AM191" s="115"/>
      <c r="AN191" s="118"/>
      <c r="AO191" s="118"/>
      <c r="AP191" s="118"/>
      <c r="AQ191" s="118"/>
      <c r="AR191" s="121"/>
      <c r="AS191" s="121"/>
      <c r="AT191" s="116" t="s">
        <v>518</v>
      </c>
      <c r="AU191" s="122"/>
      <c r="AV191" s="120"/>
      <c r="AW191" s="122" t="s">
        <v>836</v>
      </c>
      <c r="AX191" s="194">
        <f>IFERROR(IF(PAC!$X191="F01 - CAPTAÇÃO DE RECURSO",1,""),"")</f>
        <v>1</v>
      </c>
      <c r="AY191" s="194" t="str">
        <f>IFERROR(IF(PAC!$X191="F02 - LICITAÇÃO",1,""),"")</f>
        <v/>
      </c>
      <c r="AZ191" s="123" t="str">
        <f>IFERROR(IF(PAC!$X$6:$X$581="F03 - EXECUÇÃO DO OBJETO",1,""),"")</f>
        <v/>
      </c>
      <c r="BA191" s="123" t="str">
        <f>IFERROR(IF(PAC!$X$6:$X$581="F04 - CONCLUÍDA",1,""),"")</f>
        <v/>
      </c>
      <c r="BB191" s="191">
        <f>IF(PAC!$R191&gt;0,0,PAC!$Q191)</f>
        <v>0</v>
      </c>
    </row>
    <row r="192" spans="1:54" s="1" customFormat="1" ht="63" hidden="1" customHeight="1" thickBot="1">
      <c r="A192" s="88">
        <f t="shared" si="2"/>
        <v>187</v>
      </c>
      <c r="B192" s="88">
        <v>2025</v>
      </c>
      <c r="C192" s="88" t="s">
        <v>605</v>
      </c>
      <c r="D192" s="88" t="s">
        <v>1010</v>
      </c>
      <c r="E192" s="102" t="s">
        <v>768</v>
      </c>
      <c r="F192" s="88" t="s">
        <v>53</v>
      </c>
      <c r="G192" s="88" t="s">
        <v>503</v>
      </c>
      <c r="H192" s="40" t="s">
        <v>1244</v>
      </c>
      <c r="I192" s="88" t="s">
        <v>1238</v>
      </c>
      <c r="J192" s="88" t="s">
        <v>297</v>
      </c>
      <c r="K192" s="18">
        <v>1856246.28</v>
      </c>
      <c r="L192" s="18">
        <v>1856246.28</v>
      </c>
      <c r="M192" s="18"/>
      <c r="N192" s="18"/>
      <c r="O192" s="18"/>
      <c r="P192" s="18"/>
      <c r="Q192" s="20">
        <f>SUM(PAC!$M192:$P192)</f>
        <v>0</v>
      </c>
      <c r="R192" s="20"/>
      <c r="S192" s="20">
        <f>IF(PAC!$R192&gt;0,PAC!$R192,PAC!$Q192)</f>
        <v>0</v>
      </c>
      <c r="T192" s="20"/>
      <c r="U192" s="103" t="s">
        <v>1574</v>
      </c>
      <c r="V192" s="103"/>
      <c r="W192" s="104"/>
      <c r="X192" s="104" t="s">
        <v>1419</v>
      </c>
      <c r="Y192" s="101" t="s">
        <v>2478</v>
      </c>
      <c r="Z192" s="87"/>
      <c r="AA192" s="105"/>
      <c r="AB192" s="108"/>
      <c r="AC192" s="40"/>
      <c r="AD192" s="106"/>
      <c r="AE192" s="102"/>
      <c r="AF192" s="40" t="s">
        <v>987</v>
      </c>
      <c r="AG192" s="40"/>
      <c r="AH192" s="40"/>
      <c r="AI192" s="40"/>
      <c r="AJ192" s="87"/>
      <c r="AK192" s="40"/>
      <c r="AL192" s="40"/>
      <c r="AM192" s="40"/>
      <c r="AN192" s="87"/>
      <c r="AO192" s="87"/>
      <c r="AP192" s="87"/>
      <c r="AQ192" s="87"/>
      <c r="AR192" s="107"/>
      <c r="AS192" s="107"/>
      <c r="AT192" s="103" t="s">
        <v>518</v>
      </c>
      <c r="AU192" s="108"/>
      <c r="AV192" s="106"/>
      <c r="AW192" s="108" t="s">
        <v>836</v>
      </c>
      <c r="AX192" s="109">
        <f>IFERROR(IF(PAC!$X192="F01 - CAPTAÇÃO DE RECURSO",1,""),"")</f>
        <v>1</v>
      </c>
      <c r="AY192" s="109" t="str">
        <f>IFERROR(IF(PAC!$X192="F02 - LICITAÇÃO",1,""),"")</f>
        <v/>
      </c>
      <c r="AZ192" s="110" t="str">
        <f>IFERROR(IF(PAC!$X$6:$X$581="F03 - EXECUÇÃO DO OBJETO",1,""),"")</f>
        <v/>
      </c>
      <c r="BA192" s="110" t="str">
        <f>IFERROR(IF(PAC!$X$6:$X$581="F04 - CONCLUÍDA",1,""),"")</f>
        <v/>
      </c>
      <c r="BB192" s="111">
        <f>IF(PAC!$R192&gt;0,0,PAC!$Q192)</f>
        <v>0</v>
      </c>
    </row>
    <row r="193" spans="1:54" s="1" customFormat="1" ht="63" hidden="1" customHeight="1" thickBot="1">
      <c r="A193" s="112">
        <f t="shared" si="2"/>
        <v>188</v>
      </c>
      <c r="B193" s="112">
        <v>2025</v>
      </c>
      <c r="C193" s="112" t="s">
        <v>605</v>
      </c>
      <c r="D193" s="112" t="s">
        <v>1010</v>
      </c>
      <c r="E193" s="114" t="s">
        <v>769</v>
      </c>
      <c r="F193" s="112" t="s">
        <v>53</v>
      </c>
      <c r="G193" s="112" t="s">
        <v>503</v>
      </c>
      <c r="H193" s="115" t="s">
        <v>1244</v>
      </c>
      <c r="I193" s="112" t="s">
        <v>1238</v>
      </c>
      <c r="J193" s="112" t="s">
        <v>297</v>
      </c>
      <c r="K193" s="31">
        <v>1602597.72</v>
      </c>
      <c r="L193" s="31">
        <v>1602597.72</v>
      </c>
      <c r="M193" s="31"/>
      <c r="N193" s="31"/>
      <c r="O193" s="31"/>
      <c r="P193" s="31"/>
      <c r="Q193" s="33">
        <f>SUM(PAC!$M193:$P193)</f>
        <v>0</v>
      </c>
      <c r="R193" s="33"/>
      <c r="S193" s="33">
        <f>IF(PAC!$R193&gt;0,PAC!$R193,PAC!$Q193)</f>
        <v>0</v>
      </c>
      <c r="T193" s="33"/>
      <c r="U193" s="116" t="s">
        <v>1574</v>
      </c>
      <c r="V193" s="116"/>
      <c r="W193" s="117"/>
      <c r="X193" s="117" t="s">
        <v>1419</v>
      </c>
      <c r="Y193" s="113" t="s">
        <v>2478</v>
      </c>
      <c r="Z193" s="118"/>
      <c r="AA193" s="119"/>
      <c r="AB193" s="122"/>
      <c r="AC193" s="115"/>
      <c r="AD193" s="120"/>
      <c r="AE193" s="114"/>
      <c r="AF193" s="115" t="s">
        <v>987</v>
      </c>
      <c r="AG193" s="115"/>
      <c r="AH193" s="115"/>
      <c r="AI193" s="115"/>
      <c r="AJ193" s="118"/>
      <c r="AK193" s="115"/>
      <c r="AL193" s="115"/>
      <c r="AM193" s="115"/>
      <c r="AN193" s="118"/>
      <c r="AO193" s="118"/>
      <c r="AP193" s="118"/>
      <c r="AQ193" s="118"/>
      <c r="AR193" s="121"/>
      <c r="AS193" s="121"/>
      <c r="AT193" s="116" t="s">
        <v>518</v>
      </c>
      <c r="AU193" s="122"/>
      <c r="AV193" s="120"/>
      <c r="AW193" s="122" t="s">
        <v>836</v>
      </c>
      <c r="AX193" s="194">
        <f>IFERROR(IF(PAC!$X193="F01 - CAPTAÇÃO DE RECURSO",1,""),"")</f>
        <v>1</v>
      </c>
      <c r="AY193" s="194" t="str">
        <f>IFERROR(IF(PAC!$X193="F02 - LICITAÇÃO",1,""),"")</f>
        <v/>
      </c>
      <c r="AZ193" s="123" t="str">
        <f>IFERROR(IF(PAC!$X$6:$X$581="F03 - EXECUÇÃO DO OBJETO",1,""),"")</f>
        <v/>
      </c>
      <c r="BA193" s="123" t="str">
        <f>IFERROR(IF(PAC!$X$6:$X$581="F04 - CONCLUÍDA",1,""),"")</f>
        <v/>
      </c>
      <c r="BB193" s="191">
        <f>IF(PAC!$R193&gt;0,0,PAC!$Q193)</f>
        <v>0</v>
      </c>
    </row>
    <row r="194" spans="1:54" s="1" customFormat="1" ht="54.75" hidden="1" customHeight="1" thickBot="1">
      <c r="A194" s="88">
        <f t="shared" si="2"/>
        <v>189</v>
      </c>
      <c r="B194" s="88">
        <v>2025</v>
      </c>
      <c r="C194" s="88" t="s">
        <v>605</v>
      </c>
      <c r="D194" s="88" t="s">
        <v>1010</v>
      </c>
      <c r="E194" s="102" t="s">
        <v>770</v>
      </c>
      <c r="F194" s="88" t="s">
        <v>53</v>
      </c>
      <c r="G194" s="88" t="s">
        <v>503</v>
      </c>
      <c r="H194" s="40" t="s">
        <v>1244</v>
      </c>
      <c r="I194" s="88" t="s">
        <v>1238</v>
      </c>
      <c r="J194" s="88" t="s">
        <v>297</v>
      </c>
      <c r="K194" s="18">
        <v>2793977.32</v>
      </c>
      <c r="L194" s="18">
        <v>2793977.32</v>
      </c>
      <c r="M194" s="18"/>
      <c r="N194" s="18"/>
      <c r="O194" s="18"/>
      <c r="P194" s="18"/>
      <c r="Q194" s="20">
        <f>SUM(PAC!$M194:$P194)</f>
        <v>0</v>
      </c>
      <c r="R194" s="20"/>
      <c r="S194" s="20">
        <f>IF(PAC!$R194&gt;0,PAC!$R194,PAC!$Q194)</f>
        <v>0</v>
      </c>
      <c r="T194" s="20"/>
      <c r="U194" s="103" t="s">
        <v>1574</v>
      </c>
      <c r="V194" s="103"/>
      <c r="W194" s="104"/>
      <c r="X194" s="104" t="s">
        <v>1419</v>
      </c>
      <c r="Y194" s="101" t="s">
        <v>2478</v>
      </c>
      <c r="Z194" s="87"/>
      <c r="AA194" s="105"/>
      <c r="AB194" s="108"/>
      <c r="AC194" s="40"/>
      <c r="AD194" s="106"/>
      <c r="AE194" s="102"/>
      <c r="AF194" s="40" t="s">
        <v>987</v>
      </c>
      <c r="AG194" s="40"/>
      <c r="AH194" s="40"/>
      <c r="AI194" s="40"/>
      <c r="AJ194" s="87"/>
      <c r="AK194" s="40"/>
      <c r="AL194" s="40"/>
      <c r="AM194" s="40"/>
      <c r="AN194" s="87"/>
      <c r="AO194" s="87"/>
      <c r="AP194" s="87"/>
      <c r="AQ194" s="87"/>
      <c r="AR194" s="107"/>
      <c r="AS194" s="107"/>
      <c r="AT194" s="103" t="s">
        <v>518</v>
      </c>
      <c r="AU194" s="108"/>
      <c r="AV194" s="106"/>
      <c r="AW194" s="108" t="s">
        <v>836</v>
      </c>
      <c r="AX194" s="109">
        <f>IFERROR(IF(PAC!$X194="F01 - CAPTAÇÃO DE RECURSO",1,""),"")</f>
        <v>1</v>
      </c>
      <c r="AY194" s="109" t="str">
        <f>IFERROR(IF(PAC!$X194="F02 - LICITAÇÃO",1,""),"")</f>
        <v/>
      </c>
      <c r="AZ194" s="110" t="str">
        <f>IFERROR(IF(PAC!$X$6:$X$581="F03 - EXECUÇÃO DO OBJETO",1,""),"")</f>
        <v/>
      </c>
      <c r="BA194" s="110" t="str">
        <f>IFERROR(IF(PAC!$X$6:$X$581="F04 - CONCLUÍDA",1,""),"")</f>
        <v/>
      </c>
      <c r="BB194" s="111">
        <f>IF(PAC!$R194&gt;0,0,PAC!$Q194)</f>
        <v>0</v>
      </c>
    </row>
    <row r="195" spans="1:54" s="1" customFormat="1" ht="58.5" hidden="1" customHeight="1" thickBot="1">
      <c r="A195" s="112">
        <f t="shared" si="2"/>
        <v>190</v>
      </c>
      <c r="B195" s="112">
        <v>2025</v>
      </c>
      <c r="C195" s="112" t="s">
        <v>605</v>
      </c>
      <c r="D195" s="112" t="s">
        <v>1010</v>
      </c>
      <c r="E195" s="114" t="s">
        <v>771</v>
      </c>
      <c r="F195" s="112" t="s">
        <v>53</v>
      </c>
      <c r="G195" s="112" t="s">
        <v>503</v>
      </c>
      <c r="H195" s="115" t="s">
        <v>1244</v>
      </c>
      <c r="I195" s="112" t="s">
        <v>1238</v>
      </c>
      <c r="J195" s="112" t="s">
        <v>297</v>
      </c>
      <c r="K195" s="31">
        <v>2572791</v>
      </c>
      <c r="L195" s="31">
        <v>2572791</v>
      </c>
      <c r="M195" s="31"/>
      <c r="N195" s="31"/>
      <c r="O195" s="31"/>
      <c r="P195" s="31"/>
      <c r="Q195" s="33">
        <f>SUM(PAC!$M195:$P195)</f>
        <v>0</v>
      </c>
      <c r="R195" s="33"/>
      <c r="S195" s="33">
        <f>IF(PAC!$R195&gt;0,PAC!$R195,PAC!$Q195)</f>
        <v>0</v>
      </c>
      <c r="T195" s="33"/>
      <c r="U195" s="116" t="s">
        <v>1574</v>
      </c>
      <c r="V195" s="116"/>
      <c r="W195" s="117"/>
      <c r="X195" s="117" t="s">
        <v>1419</v>
      </c>
      <c r="Y195" s="113" t="s">
        <v>2478</v>
      </c>
      <c r="Z195" s="118"/>
      <c r="AA195" s="119"/>
      <c r="AB195" s="122"/>
      <c r="AC195" s="115"/>
      <c r="AD195" s="120"/>
      <c r="AE195" s="114"/>
      <c r="AF195" s="115" t="s">
        <v>987</v>
      </c>
      <c r="AG195" s="115"/>
      <c r="AH195" s="115"/>
      <c r="AI195" s="115"/>
      <c r="AJ195" s="118"/>
      <c r="AK195" s="115"/>
      <c r="AL195" s="115"/>
      <c r="AM195" s="115"/>
      <c r="AN195" s="118"/>
      <c r="AO195" s="118"/>
      <c r="AP195" s="118"/>
      <c r="AQ195" s="118"/>
      <c r="AR195" s="121"/>
      <c r="AS195" s="121"/>
      <c r="AT195" s="116" t="s">
        <v>518</v>
      </c>
      <c r="AU195" s="122"/>
      <c r="AV195" s="120"/>
      <c r="AW195" s="122" t="s">
        <v>836</v>
      </c>
      <c r="AX195" s="194">
        <f>IFERROR(IF(PAC!$X195="F01 - CAPTAÇÃO DE RECURSO",1,""),"")</f>
        <v>1</v>
      </c>
      <c r="AY195" s="194" t="str">
        <f>IFERROR(IF(PAC!$X195="F02 - LICITAÇÃO",1,""),"")</f>
        <v/>
      </c>
      <c r="AZ195" s="123" t="str">
        <f>IFERROR(IF(PAC!$X$6:$X$581="F03 - EXECUÇÃO DO OBJETO",1,""),"")</f>
        <v/>
      </c>
      <c r="BA195" s="123" t="str">
        <f>IFERROR(IF(PAC!$X$6:$X$581="F04 - CONCLUÍDA",1,""),"")</f>
        <v/>
      </c>
      <c r="BB195" s="191">
        <f>IF(PAC!$R195&gt;0,0,PAC!$Q195)</f>
        <v>0</v>
      </c>
    </row>
    <row r="196" spans="1:54" s="1" customFormat="1" ht="57.75" hidden="1" customHeight="1" thickBot="1">
      <c r="A196" s="88">
        <f t="shared" si="2"/>
        <v>191</v>
      </c>
      <c r="B196" s="88">
        <v>2025</v>
      </c>
      <c r="C196" s="88" t="s">
        <v>605</v>
      </c>
      <c r="D196" s="88" t="s">
        <v>1010</v>
      </c>
      <c r="E196" s="102" t="s">
        <v>772</v>
      </c>
      <c r="F196" s="88" t="s">
        <v>53</v>
      </c>
      <c r="G196" s="88" t="s">
        <v>503</v>
      </c>
      <c r="H196" s="40" t="s">
        <v>1244</v>
      </c>
      <c r="I196" s="88" t="s">
        <v>1238</v>
      </c>
      <c r="J196" s="88" t="s">
        <v>297</v>
      </c>
      <c r="K196" s="18"/>
      <c r="L196" s="18">
        <v>2610972.54</v>
      </c>
      <c r="M196" s="18">
        <v>2610972.54</v>
      </c>
      <c r="N196" s="18"/>
      <c r="O196" s="18"/>
      <c r="P196" s="18"/>
      <c r="Q196" s="20">
        <f>SUM(PAC!$M196:$P196)</f>
        <v>2610972.54</v>
      </c>
      <c r="R196" s="20"/>
      <c r="S196" s="20">
        <f>IF(PAC!$R196&gt;0,PAC!$R196,PAC!$Q196)</f>
        <v>2610972.54</v>
      </c>
      <c r="T196" s="20"/>
      <c r="U196" s="103" t="s">
        <v>1570</v>
      </c>
      <c r="V196" s="103"/>
      <c r="W196" s="104">
        <v>10</v>
      </c>
      <c r="X196" s="104" t="s">
        <v>1418</v>
      </c>
      <c r="Y196" s="101" t="s">
        <v>2473</v>
      </c>
      <c r="Z196" s="87"/>
      <c r="AA196" s="105"/>
      <c r="AB196" s="108" t="s">
        <v>1464</v>
      </c>
      <c r="AC196" s="40" t="s">
        <v>2657</v>
      </c>
      <c r="AD196" s="106">
        <v>46274</v>
      </c>
      <c r="AE196" s="102" t="s">
        <v>2451</v>
      </c>
      <c r="AF196" s="40" t="s">
        <v>1638</v>
      </c>
      <c r="AG196" s="40" t="s">
        <v>1723</v>
      </c>
      <c r="AH196" s="40" t="s">
        <v>977</v>
      </c>
      <c r="AI196" s="40"/>
      <c r="AJ196" s="87"/>
      <c r="AK196" s="40" t="s">
        <v>1678</v>
      </c>
      <c r="AL196" s="40" t="s">
        <v>2116</v>
      </c>
      <c r="AM196" s="40" t="s">
        <v>716</v>
      </c>
      <c r="AN196" s="87">
        <v>46247</v>
      </c>
      <c r="AO196" s="87">
        <v>46274</v>
      </c>
      <c r="AP196" s="87"/>
      <c r="AQ196" s="87"/>
      <c r="AR196" s="107"/>
      <c r="AS196" s="107"/>
      <c r="AT196" s="103" t="s">
        <v>2342</v>
      </c>
      <c r="AU196" s="108" t="s">
        <v>2658</v>
      </c>
      <c r="AV196" s="106"/>
      <c r="AW196" s="108" t="s">
        <v>707</v>
      </c>
      <c r="AX196" s="109" t="str">
        <f>IFERROR(IF(PAC!$X196="F01 - CAPTAÇÃO DE RECURSO",1,""),"")</f>
        <v/>
      </c>
      <c r="AY196" s="109">
        <f>IFERROR(IF(PAC!$X196="F02 - LICITAÇÃO",1,""),"")</f>
        <v>1</v>
      </c>
      <c r="AZ196" s="110" t="str">
        <f>IFERROR(IF(PAC!$X$6:$X$581="F03 - EXECUÇÃO DO OBJETO",1,""),"")</f>
        <v/>
      </c>
      <c r="BA196" s="110" t="str">
        <f>IFERROR(IF(PAC!$X$6:$X$581="F04 - CONCLUÍDA",1,""),"")</f>
        <v/>
      </c>
      <c r="BB196" s="111">
        <f>IF(PAC!$R196&gt;0,0,PAC!$Q196)</f>
        <v>2610972.54</v>
      </c>
    </row>
    <row r="197" spans="1:54" s="1" customFormat="1" ht="63" hidden="1" customHeight="1" thickBot="1">
      <c r="A197" s="112">
        <f t="shared" ref="A197:A260" si="3">ROW()-5</f>
        <v>192</v>
      </c>
      <c r="B197" s="112">
        <v>2025</v>
      </c>
      <c r="C197" s="112" t="s">
        <v>605</v>
      </c>
      <c r="D197" s="112" t="s">
        <v>1010</v>
      </c>
      <c r="E197" s="114" t="s">
        <v>773</v>
      </c>
      <c r="F197" s="112" t="s">
        <v>53</v>
      </c>
      <c r="G197" s="112" t="s">
        <v>503</v>
      </c>
      <c r="H197" s="115" t="s">
        <v>1244</v>
      </c>
      <c r="I197" s="112" t="s">
        <v>1238</v>
      </c>
      <c r="J197" s="112" t="s">
        <v>298</v>
      </c>
      <c r="K197" s="31">
        <v>1459762.49</v>
      </c>
      <c r="L197" s="31">
        <v>1459762.49</v>
      </c>
      <c r="M197" s="31"/>
      <c r="N197" s="31"/>
      <c r="O197" s="31"/>
      <c r="P197" s="31"/>
      <c r="Q197" s="33">
        <f>SUM(PAC!$M197:$P197)</f>
        <v>0</v>
      </c>
      <c r="R197" s="33"/>
      <c r="S197" s="33">
        <f>IF(PAC!$R197&gt;0,PAC!$R197,PAC!$Q197)</f>
        <v>0</v>
      </c>
      <c r="T197" s="33"/>
      <c r="U197" s="116" t="s">
        <v>1574</v>
      </c>
      <c r="V197" s="116"/>
      <c r="W197" s="117"/>
      <c r="X197" s="117" t="s">
        <v>1419</v>
      </c>
      <c r="Y197" s="113" t="s">
        <v>2478</v>
      </c>
      <c r="Z197" s="118"/>
      <c r="AA197" s="119"/>
      <c r="AB197" s="122"/>
      <c r="AC197" s="115"/>
      <c r="AD197" s="120"/>
      <c r="AE197" s="114"/>
      <c r="AF197" s="115" t="s">
        <v>987</v>
      </c>
      <c r="AG197" s="115"/>
      <c r="AH197" s="115"/>
      <c r="AI197" s="115"/>
      <c r="AJ197" s="118"/>
      <c r="AK197" s="115"/>
      <c r="AL197" s="115"/>
      <c r="AM197" s="115" t="s">
        <v>716</v>
      </c>
      <c r="AN197" s="118"/>
      <c r="AO197" s="118"/>
      <c r="AP197" s="118"/>
      <c r="AQ197" s="118"/>
      <c r="AR197" s="121"/>
      <c r="AS197" s="121"/>
      <c r="AT197" s="116" t="s">
        <v>518</v>
      </c>
      <c r="AU197" s="122"/>
      <c r="AV197" s="120"/>
      <c r="AW197" s="122" t="s">
        <v>707</v>
      </c>
      <c r="AX197" s="194">
        <f>IFERROR(IF(PAC!$X197="F01 - CAPTAÇÃO DE RECURSO",1,""),"")</f>
        <v>1</v>
      </c>
      <c r="AY197" s="194" t="str">
        <f>IFERROR(IF(PAC!$X197="F02 - LICITAÇÃO",1,""),"")</f>
        <v/>
      </c>
      <c r="AZ197" s="123" t="str">
        <f>IFERROR(IF(PAC!$X$6:$X$581="F03 - EXECUÇÃO DO OBJETO",1,""),"")</f>
        <v/>
      </c>
      <c r="BA197" s="123" t="str">
        <f>IFERROR(IF(PAC!$X$6:$X$581="F04 - CONCLUÍDA",1,""),"")</f>
        <v/>
      </c>
      <c r="BB197" s="191">
        <f>IF(PAC!$R197&gt;0,0,PAC!$Q197)</f>
        <v>0</v>
      </c>
    </row>
    <row r="198" spans="1:54" s="1" customFormat="1" ht="63" hidden="1" customHeight="1" thickBot="1">
      <c r="A198" s="88">
        <f t="shared" si="3"/>
        <v>193</v>
      </c>
      <c r="B198" s="88">
        <v>2025</v>
      </c>
      <c r="C198" s="88" t="s">
        <v>605</v>
      </c>
      <c r="D198" s="88" t="s">
        <v>1010</v>
      </c>
      <c r="E198" s="102" t="s">
        <v>774</v>
      </c>
      <c r="F198" s="88" t="s">
        <v>53</v>
      </c>
      <c r="G198" s="88" t="s">
        <v>503</v>
      </c>
      <c r="H198" s="40" t="s">
        <v>1244</v>
      </c>
      <c r="I198" s="88" t="s">
        <v>1238</v>
      </c>
      <c r="J198" s="88" t="s">
        <v>318</v>
      </c>
      <c r="K198" s="18">
        <v>11529480</v>
      </c>
      <c r="L198" s="18">
        <v>11529480</v>
      </c>
      <c r="M198" s="18"/>
      <c r="N198" s="18"/>
      <c r="O198" s="18"/>
      <c r="P198" s="18"/>
      <c r="Q198" s="20">
        <f>SUM(PAC!$M198:$P198)</f>
        <v>0</v>
      </c>
      <c r="R198" s="20"/>
      <c r="S198" s="20">
        <f>IF(PAC!$R198&gt;0,PAC!$R198,PAC!$Q198)</f>
        <v>0</v>
      </c>
      <c r="T198" s="20"/>
      <c r="U198" s="103" t="s">
        <v>1574</v>
      </c>
      <c r="V198" s="103"/>
      <c r="W198" s="104"/>
      <c r="X198" s="104" t="s">
        <v>1419</v>
      </c>
      <c r="Y198" s="101" t="s">
        <v>2478</v>
      </c>
      <c r="Z198" s="87"/>
      <c r="AA198" s="105"/>
      <c r="AB198" s="108"/>
      <c r="AC198" s="40"/>
      <c r="AD198" s="106"/>
      <c r="AE198" s="102"/>
      <c r="AF198" s="40" t="s">
        <v>987</v>
      </c>
      <c r="AG198" s="40"/>
      <c r="AH198" s="40"/>
      <c r="AI198" s="40"/>
      <c r="AJ198" s="87"/>
      <c r="AK198" s="40"/>
      <c r="AL198" s="40"/>
      <c r="AM198" s="40"/>
      <c r="AN198" s="87"/>
      <c r="AO198" s="87"/>
      <c r="AP198" s="87"/>
      <c r="AQ198" s="87"/>
      <c r="AR198" s="107"/>
      <c r="AS198" s="107"/>
      <c r="AT198" s="103" t="s">
        <v>518</v>
      </c>
      <c r="AU198" s="108"/>
      <c r="AV198" s="106"/>
      <c r="AW198" s="108" t="s">
        <v>836</v>
      </c>
      <c r="AX198" s="109">
        <f>IFERROR(IF(PAC!$X198="F01 - CAPTAÇÃO DE RECURSO",1,""),"")</f>
        <v>1</v>
      </c>
      <c r="AY198" s="109" t="str">
        <f>IFERROR(IF(PAC!$X198="F02 - LICITAÇÃO",1,""),"")</f>
        <v/>
      </c>
      <c r="AZ198" s="110" t="str">
        <f>IFERROR(IF(PAC!$X$6:$X$581="F03 - EXECUÇÃO DO OBJETO",1,""),"")</f>
        <v/>
      </c>
      <c r="BA198" s="110" t="str">
        <f>IFERROR(IF(PAC!$X$6:$X$581="F04 - CONCLUÍDA",1,""),"")</f>
        <v/>
      </c>
      <c r="BB198" s="111">
        <f>IF(PAC!$R198&gt;0,0,PAC!$Q198)</f>
        <v>0</v>
      </c>
    </row>
    <row r="199" spans="1:54" s="1" customFormat="1" ht="63" hidden="1" customHeight="1" thickBot="1">
      <c r="A199" s="112">
        <f t="shared" si="3"/>
        <v>194</v>
      </c>
      <c r="B199" s="112">
        <v>2025</v>
      </c>
      <c r="C199" s="112" t="s">
        <v>605</v>
      </c>
      <c r="D199" s="112" t="s">
        <v>1010</v>
      </c>
      <c r="E199" s="114" t="s">
        <v>775</v>
      </c>
      <c r="F199" s="112" t="s">
        <v>53</v>
      </c>
      <c r="G199" s="112" t="s">
        <v>503</v>
      </c>
      <c r="H199" s="115" t="s">
        <v>1244</v>
      </c>
      <c r="I199" s="112" t="s">
        <v>1238</v>
      </c>
      <c r="J199" s="112" t="s">
        <v>318</v>
      </c>
      <c r="K199" s="31">
        <v>2203811.9500000002</v>
      </c>
      <c r="L199" s="31">
        <v>2203811.9500000002</v>
      </c>
      <c r="M199" s="31"/>
      <c r="N199" s="31"/>
      <c r="O199" s="31"/>
      <c r="P199" s="31"/>
      <c r="Q199" s="33">
        <f>SUM(PAC!$M199:$P199)</f>
        <v>0</v>
      </c>
      <c r="R199" s="33"/>
      <c r="S199" s="33">
        <f>IF(PAC!$R199&gt;0,PAC!$R199,PAC!$Q199)</f>
        <v>0</v>
      </c>
      <c r="T199" s="33"/>
      <c r="U199" s="116" t="s">
        <v>1574</v>
      </c>
      <c r="V199" s="116"/>
      <c r="W199" s="117"/>
      <c r="X199" s="117" t="s">
        <v>1419</v>
      </c>
      <c r="Y199" s="113" t="s">
        <v>2478</v>
      </c>
      <c r="Z199" s="118"/>
      <c r="AA199" s="119"/>
      <c r="AB199" s="122"/>
      <c r="AC199" s="115"/>
      <c r="AD199" s="120"/>
      <c r="AE199" s="114"/>
      <c r="AF199" s="115" t="s">
        <v>987</v>
      </c>
      <c r="AG199" s="115"/>
      <c r="AH199" s="115"/>
      <c r="AI199" s="115"/>
      <c r="AJ199" s="118"/>
      <c r="AK199" s="115"/>
      <c r="AL199" s="115"/>
      <c r="AM199" s="115" t="s">
        <v>716</v>
      </c>
      <c r="AN199" s="118"/>
      <c r="AO199" s="118"/>
      <c r="AP199" s="118"/>
      <c r="AQ199" s="118"/>
      <c r="AR199" s="121"/>
      <c r="AS199" s="121"/>
      <c r="AT199" s="116" t="s">
        <v>518</v>
      </c>
      <c r="AU199" s="122"/>
      <c r="AV199" s="120"/>
      <c r="AW199" s="122" t="s">
        <v>707</v>
      </c>
      <c r="AX199" s="194">
        <f>IFERROR(IF(PAC!$X199="F01 - CAPTAÇÃO DE RECURSO",1,""),"")</f>
        <v>1</v>
      </c>
      <c r="AY199" s="194" t="str">
        <f>IFERROR(IF(PAC!$X199="F02 - LICITAÇÃO",1,""),"")</f>
        <v/>
      </c>
      <c r="AZ199" s="123" t="str">
        <f>IFERROR(IF(PAC!$X$6:$X$581="F03 - EXECUÇÃO DO OBJETO",1,""),"")</f>
        <v/>
      </c>
      <c r="BA199" s="123" t="str">
        <f>IFERROR(IF(PAC!$X$6:$X$581="F04 - CONCLUÍDA",1,""),"")</f>
        <v/>
      </c>
      <c r="BB199" s="191">
        <f>IF(PAC!$R199&gt;0,0,PAC!$Q199)</f>
        <v>0</v>
      </c>
    </row>
    <row r="200" spans="1:54" s="1" customFormat="1" ht="66" hidden="1" customHeight="1" thickBot="1">
      <c r="A200" s="88">
        <f t="shared" si="3"/>
        <v>195</v>
      </c>
      <c r="B200" s="88">
        <v>2025</v>
      </c>
      <c r="C200" s="88" t="s">
        <v>605</v>
      </c>
      <c r="D200" s="88" t="s">
        <v>1010</v>
      </c>
      <c r="E200" s="102" t="s">
        <v>776</v>
      </c>
      <c r="F200" s="88" t="s">
        <v>53</v>
      </c>
      <c r="G200" s="88" t="s">
        <v>503</v>
      </c>
      <c r="H200" s="40" t="s">
        <v>1244</v>
      </c>
      <c r="I200" s="88" t="s">
        <v>1238</v>
      </c>
      <c r="J200" s="88" t="s">
        <v>338</v>
      </c>
      <c r="K200" s="18">
        <v>1945099.52</v>
      </c>
      <c r="L200" s="18">
        <v>1945099.52</v>
      </c>
      <c r="M200" s="18"/>
      <c r="N200" s="18"/>
      <c r="O200" s="18"/>
      <c r="P200" s="18"/>
      <c r="Q200" s="20">
        <f>SUM(PAC!$M200:$P200)</f>
        <v>0</v>
      </c>
      <c r="R200" s="20"/>
      <c r="S200" s="20">
        <f>IF(PAC!$R200&gt;0,PAC!$R200,PAC!$Q200)</f>
        <v>0</v>
      </c>
      <c r="T200" s="20"/>
      <c r="U200" s="103" t="s">
        <v>1574</v>
      </c>
      <c r="V200" s="103"/>
      <c r="W200" s="104"/>
      <c r="X200" s="104" t="s">
        <v>1419</v>
      </c>
      <c r="Y200" s="101" t="s">
        <v>2478</v>
      </c>
      <c r="Z200" s="87"/>
      <c r="AA200" s="105"/>
      <c r="AB200" s="108"/>
      <c r="AC200" s="40"/>
      <c r="AD200" s="106"/>
      <c r="AE200" s="102"/>
      <c r="AF200" s="40" t="s">
        <v>987</v>
      </c>
      <c r="AG200" s="40"/>
      <c r="AH200" s="40"/>
      <c r="AI200" s="40"/>
      <c r="AJ200" s="87"/>
      <c r="AK200" s="40"/>
      <c r="AL200" s="40"/>
      <c r="AM200" s="40" t="s">
        <v>716</v>
      </c>
      <c r="AN200" s="87"/>
      <c r="AO200" s="87"/>
      <c r="AP200" s="87"/>
      <c r="AQ200" s="87"/>
      <c r="AR200" s="107"/>
      <c r="AS200" s="107"/>
      <c r="AT200" s="103" t="s">
        <v>518</v>
      </c>
      <c r="AU200" s="108"/>
      <c r="AV200" s="106"/>
      <c r="AW200" s="108" t="s">
        <v>707</v>
      </c>
      <c r="AX200" s="109">
        <f>IFERROR(IF(PAC!$X200="F01 - CAPTAÇÃO DE RECURSO",1,""),"")</f>
        <v>1</v>
      </c>
      <c r="AY200" s="109" t="str">
        <f>IFERROR(IF(PAC!$X200="F02 - LICITAÇÃO",1,""),"")</f>
        <v/>
      </c>
      <c r="AZ200" s="110" t="str">
        <f>IFERROR(IF(PAC!$X$6:$X$581="F03 - EXECUÇÃO DO OBJETO",1,""),"")</f>
        <v/>
      </c>
      <c r="BA200" s="110" t="str">
        <f>IFERROR(IF(PAC!$X$6:$X$581="F04 - CONCLUÍDA",1,""),"")</f>
        <v/>
      </c>
      <c r="BB200" s="111">
        <f>IF(PAC!$R200&gt;0,0,PAC!$Q200)</f>
        <v>0</v>
      </c>
    </row>
    <row r="201" spans="1:54" s="1" customFormat="1" ht="63" hidden="1" customHeight="1" thickBot="1">
      <c r="A201" s="112">
        <f t="shared" si="3"/>
        <v>196</v>
      </c>
      <c r="B201" s="112">
        <v>2025</v>
      </c>
      <c r="C201" s="112" t="s">
        <v>605</v>
      </c>
      <c r="D201" s="112" t="s">
        <v>1010</v>
      </c>
      <c r="E201" s="114" t="s">
        <v>777</v>
      </c>
      <c r="F201" s="112" t="s">
        <v>53</v>
      </c>
      <c r="G201" s="112" t="s">
        <v>503</v>
      </c>
      <c r="H201" s="115" t="s">
        <v>1244</v>
      </c>
      <c r="I201" s="112" t="s">
        <v>1238</v>
      </c>
      <c r="J201" s="112" t="s">
        <v>341</v>
      </c>
      <c r="K201" s="31">
        <v>4996108</v>
      </c>
      <c r="L201" s="31">
        <v>4996108</v>
      </c>
      <c r="M201" s="31"/>
      <c r="N201" s="31"/>
      <c r="O201" s="31"/>
      <c r="P201" s="31"/>
      <c r="Q201" s="33">
        <f>SUM(PAC!$M201:$P201)</f>
        <v>0</v>
      </c>
      <c r="R201" s="33"/>
      <c r="S201" s="33">
        <f>IF(PAC!$R201&gt;0,PAC!$R201,PAC!$Q201)</f>
        <v>0</v>
      </c>
      <c r="T201" s="33"/>
      <c r="U201" s="116" t="s">
        <v>1574</v>
      </c>
      <c r="V201" s="116"/>
      <c r="W201" s="117"/>
      <c r="X201" s="117" t="s">
        <v>1419</v>
      </c>
      <c r="Y201" s="113" t="s">
        <v>2478</v>
      </c>
      <c r="Z201" s="118"/>
      <c r="AA201" s="119"/>
      <c r="AB201" s="122"/>
      <c r="AC201" s="115"/>
      <c r="AD201" s="120"/>
      <c r="AE201" s="114"/>
      <c r="AF201" s="115" t="s">
        <v>987</v>
      </c>
      <c r="AG201" s="115"/>
      <c r="AH201" s="115"/>
      <c r="AI201" s="115"/>
      <c r="AJ201" s="118"/>
      <c r="AK201" s="115"/>
      <c r="AL201" s="115"/>
      <c r="AM201" s="115" t="s">
        <v>716</v>
      </c>
      <c r="AN201" s="118"/>
      <c r="AO201" s="118"/>
      <c r="AP201" s="118"/>
      <c r="AQ201" s="118"/>
      <c r="AR201" s="121"/>
      <c r="AS201" s="121"/>
      <c r="AT201" s="116" t="s">
        <v>518</v>
      </c>
      <c r="AU201" s="122"/>
      <c r="AV201" s="120"/>
      <c r="AW201" s="122" t="s">
        <v>707</v>
      </c>
      <c r="AX201" s="194">
        <f>IFERROR(IF(PAC!$X201="F01 - CAPTAÇÃO DE RECURSO",1,""),"")</f>
        <v>1</v>
      </c>
      <c r="AY201" s="194" t="str">
        <f>IFERROR(IF(PAC!$X201="F02 - LICITAÇÃO",1,""),"")</f>
        <v/>
      </c>
      <c r="AZ201" s="123" t="str">
        <f>IFERROR(IF(PAC!$X$6:$X$581="F03 - EXECUÇÃO DO OBJETO",1,""),"")</f>
        <v/>
      </c>
      <c r="BA201" s="123" t="str">
        <f>IFERROR(IF(PAC!$X$6:$X$581="F04 - CONCLUÍDA",1,""),"")</f>
        <v/>
      </c>
      <c r="BB201" s="191">
        <f>IF(PAC!$R201&gt;0,0,PAC!$Q201)</f>
        <v>0</v>
      </c>
    </row>
    <row r="202" spans="1:54" s="1" customFormat="1" ht="63" hidden="1" customHeight="1" thickBot="1">
      <c r="A202" s="88">
        <f t="shared" si="3"/>
        <v>197</v>
      </c>
      <c r="B202" s="88">
        <v>2025</v>
      </c>
      <c r="C202" s="88" t="s">
        <v>605</v>
      </c>
      <c r="D202" s="88" t="s">
        <v>1010</v>
      </c>
      <c r="E202" s="102" t="s">
        <v>778</v>
      </c>
      <c r="F202" s="88" t="s">
        <v>53</v>
      </c>
      <c r="G202" s="88" t="s">
        <v>503</v>
      </c>
      <c r="H202" s="40" t="s">
        <v>1244</v>
      </c>
      <c r="I202" s="88" t="s">
        <v>1238</v>
      </c>
      <c r="J202" s="88" t="s">
        <v>353</v>
      </c>
      <c r="K202" s="18">
        <v>2090466.17</v>
      </c>
      <c r="L202" s="18">
        <v>2090466.17</v>
      </c>
      <c r="M202" s="18"/>
      <c r="N202" s="18"/>
      <c r="O202" s="18"/>
      <c r="P202" s="18"/>
      <c r="Q202" s="20">
        <f>SUM(PAC!$M202:$P202)</f>
        <v>0</v>
      </c>
      <c r="R202" s="20"/>
      <c r="S202" s="20">
        <f>IF(PAC!$R202&gt;0,PAC!$R202,PAC!$Q202)</f>
        <v>0</v>
      </c>
      <c r="T202" s="20"/>
      <c r="U202" s="103" t="s">
        <v>1574</v>
      </c>
      <c r="V202" s="103"/>
      <c r="W202" s="104"/>
      <c r="X202" s="104" t="s">
        <v>1419</v>
      </c>
      <c r="Y202" s="101" t="s">
        <v>2478</v>
      </c>
      <c r="Z202" s="87"/>
      <c r="AA202" s="105"/>
      <c r="AB202" s="108"/>
      <c r="AC202" s="40"/>
      <c r="AD202" s="106"/>
      <c r="AE202" s="102"/>
      <c r="AF202" s="40" t="s">
        <v>987</v>
      </c>
      <c r="AG202" s="40"/>
      <c r="AH202" s="40"/>
      <c r="AI202" s="40"/>
      <c r="AJ202" s="87"/>
      <c r="AK202" s="40"/>
      <c r="AL202" s="40"/>
      <c r="AM202" s="40"/>
      <c r="AN202" s="87"/>
      <c r="AO202" s="87"/>
      <c r="AP202" s="87"/>
      <c r="AQ202" s="87"/>
      <c r="AR202" s="107"/>
      <c r="AS202" s="107"/>
      <c r="AT202" s="103" t="s">
        <v>518</v>
      </c>
      <c r="AU202" s="108"/>
      <c r="AV202" s="106"/>
      <c r="AW202" s="108" t="s">
        <v>707</v>
      </c>
      <c r="AX202" s="109">
        <f>IFERROR(IF(PAC!$X202="F01 - CAPTAÇÃO DE RECURSO",1,""),"")</f>
        <v>1</v>
      </c>
      <c r="AY202" s="109" t="str">
        <f>IFERROR(IF(PAC!$X202="F02 - LICITAÇÃO",1,""),"")</f>
        <v/>
      </c>
      <c r="AZ202" s="110" t="str">
        <f>IFERROR(IF(PAC!$X$6:$X$581="F03 - EXECUÇÃO DO OBJETO",1,""),"")</f>
        <v/>
      </c>
      <c r="BA202" s="110" t="str">
        <f>IFERROR(IF(PAC!$X$6:$X$581="F04 - CONCLUÍDA",1,""),"")</f>
        <v/>
      </c>
      <c r="BB202" s="111">
        <f>IF(PAC!$R202&gt;0,0,PAC!$Q202)</f>
        <v>0</v>
      </c>
    </row>
    <row r="203" spans="1:54" s="1" customFormat="1" ht="63" hidden="1" customHeight="1" thickBot="1">
      <c r="A203" s="112">
        <f t="shared" si="3"/>
        <v>198</v>
      </c>
      <c r="B203" s="112">
        <v>2025</v>
      </c>
      <c r="C203" s="112" t="s">
        <v>605</v>
      </c>
      <c r="D203" s="112" t="s">
        <v>1010</v>
      </c>
      <c r="E203" s="114" t="s">
        <v>779</v>
      </c>
      <c r="F203" s="112" t="s">
        <v>53</v>
      </c>
      <c r="G203" s="112" t="s">
        <v>503</v>
      </c>
      <c r="H203" s="115" t="s">
        <v>1244</v>
      </c>
      <c r="I203" s="112" t="s">
        <v>1238</v>
      </c>
      <c r="J203" s="112" t="s">
        <v>368</v>
      </c>
      <c r="K203" s="31">
        <v>2363028.63</v>
      </c>
      <c r="L203" s="31">
        <v>2363028.63</v>
      </c>
      <c r="M203" s="31"/>
      <c r="N203" s="31"/>
      <c r="O203" s="31"/>
      <c r="P203" s="31"/>
      <c r="Q203" s="33">
        <f>SUM(PAC!$M203:$P203)</f>
        <v>0</v>
      </c>
      <c r="R203" s="33"/>
      <c r="S203" s="33">
        <f>IF(PAC!$R203&gt;0,PAC!$R203,PAC!$Q203)</f>
        <v>0</v>
      </c>
      <c r="T203" s="33"/>
      <c r="U203" s="116" t="s">
        <v>1574</v>
      </c>
      <c r="V203" s="116"/>
      <c r="W203" s="117"/>
      <c r="X203" s="117" t="s">
        <v>1419</v>
      </c>
      <c r="Y203" s="113" t="s">
        <v>2478</v>
      </c>
      <c r="Z203" s="118"/>
      <c r="AA203" s="119"/>
      <c r="AB203" s="122"/>
      <c r="AC203" s="115"/>
      <c r="AD203" s="120"/>
      <c r="AE203" s="114"/>
      <c r="AF203" s="115" t="s">
        <v>987</v>
      </c>
      <c r="AG203" s="115"/>
      <c r="AH203" s="115"/>
      <c r="AI203" s="115"/>
      <c r="AJ203" s="118"/>
      <c r="AK203" s="115"/>
      <c r="AL203" s="115"/>
      <c r="AM203" s="115" t="s">
        <v>716</v>
      </c>
      <c r="AN203" s="118"/>
      <c r="AO203" s="118"/>
      <c r="AP203" s="118"/>
      <c r="AQ203" s="118"/>
      <c r="AR203" s="121"/>
      <c r="AS203" s="121"/>
      <c r="AT203" s="116" t="s">
        <v>518</v>
      </c>
      <c r="AU203" s="122"/>
      <c r="AV203" s="120"/>
      <c r="AW203" s="122" t="s">
        <v>707</v>
      </c>
      <c r="AX203" s="194">
        <f>IFERROR(IF(PAC!$X203="F01 - CAPTAÇÃO DE RECURSO",1,""),"")</f>
        <v>1</v>
      </c>
      <c r="AY203" s="194" t="str">
        <f>IFERROR(IF(PAC!$X203="F02 - LICITAÇÃO",1,""),"")</f>
        <v/>
      </c>
      <c r="AZ203" s="123" t="str">
        <f>IFERROR(IF(PAC!$X$6:$X$581="F03 - EXECUÇÃO DO OBJETO",1,""),"")</f>
        <v/>
      </c>
      <c r="BA203" s="123" t="str">
        <f>IFERROR(IF(PAC!$X$6:$X$581="F04 - CONCLUÍDA",1,""),"")</f>
        <v/>
      </c>
      <c r="BB203" s="191">
        <f>IF(PAC!$R203&gt;0,0,PAC!$Q203)</f>
        <v>0</v>
      </c>
    </row>
    <row r="204" spans="1:54" s="1" customFormat="1" ht="63" hidden="1" customHeight="1" thickBot="1">
      <c r="A204" s="88">
        <f t="shared" si="3"/>
        <v>199</v>
      </c>
      <c r="B204" s="88">
        <v>2025</v>
      </c>
      <c r="C204" s="88" t="s">
        <v>605</v>
      </c>
      <c r="D204" s="88" t="s">
        <v>1010</v>
      </c>
      <c r="E204" s="102" t="s">
        <v>780</v>
      </c>
      <c r="F204" s="88" t="s">
        <v>53</v>
      </c>
      <c r="G204" s="88" t="s">
        <v>503</v>
      </c>
      <c r="H204" s="40" t="s">
        <v>1244</v>
      </c>
      <c r="I204" s="88" t="s">
        <v>1238</v>
      </c>
      <c r="J204" s="88" t="s">
        <v>374</v>
      </c>
      <c r="K204" s="18">
        <v>2274753.56</v>
      </c>
      <c r="L204" s="18">
        <v>2274753.56</v>
      </c>
      <c r="M204" s="18"/>
      <c r="N204" s="18"/>
      <c r="O204" s="18"/>
      <c r="P204" s="18"/>
      <c r="Q204" s="20">
        <f>SUM(PAC!$M204:$P204)</f>
        <v>0</v>
      </c>
      <c r="R204" s="20"/>
      <c r="S204" s="20">
        <f>IF(PAC!$R204&gt;0,PAC!$R204,PAC!$Q204)</f>
        <v>0</v>
      </c>
      <c r="T204" s="20"/>
      <c r="U204" s="103" t="s">
        <v>1574</v>
      </c>
      <c r="V204" s="103"/>
      <c r="W204" s="104"/>
      <c r="X204" s="104" t="s">
        <v>1419</v>
      </c>
      <c r="Y204" s="101" t="s">
        <v>2478</v>
      </c>
      <c r="Z204" s="87"/>
      <c r="AA204" s="105"/>
      <c r="AB204" s="108"/>
      <c r="AC204" s="40"/>
      <c r="AD204" s="106"/>
      <c r="AE204" s="102"/>
      <c r="AF204" s="40" t="s">
        <v>987</v>
      </c>
      <c r="AG204" s="40"/>
      <c r="AH204" s="40"/>
      <c r="AI204" s="40"/>
      <c r="AJ204" s="87"/>
      <c r="AK204" s="40"/>
      <c r="AL204" s="40"/>
      <c r="AM204" s="40" t="s">
        <v>716</v>
      </c>
      <c r="AN204" s="87"/>
      <c r="AO204" s="87"/>
      <c r="AP204" s="87"/>
      <c r="AQ204" s="87"/>
      <c r="AR204" s="107"/>
      <c r="AS204" s="107"/>
      <c r="AT204" s="103" t="s">
        <v>518</v>
      </c>
      <c r="AU204" s="108"/>
      <c r="AV204" s="106"/>
      <c r="AW204" s="108" t="s">
        <v>836</v>
      </c>
      <c r="AX204" s="109">
        <f>IFERROR(IF(PAC!$X204="F01 - CAPTAÇÃO DE RECURSO",1,""),"")</f>
        <v>1</v>
      </c>
      <c r="AY204" s="109" t="str">
        <f>IFERROR(IF(PAC!$X204="F02 - LICITAÇÃO",1,""),"")</f>
        <v/>
      </c>
      <c r="AZ204" s="110" t="str">
        <f>IFERROR(IF(PAC!$X$6:$X$581="F03 - EXECUÇÃO DO OBJETO",1,""),"")</f>
        <v/>
      </c>
      <c r="BA204" s="110" t="str">
        <f>IFERROR(IF(PAC!$X$6:$X$581="F04 - CONCLUÍDA",1,""),"")</f>
        <v/>
      </c>
      <c r="BB204" s="111">
        <f>IF(PAC!$R204&gt;0,0,PAC!$Q204)</f>
        <v>0</v>
      </c>
    </row>
    <row r="205" spans="1:54" s="1" customFormat="1" ht="63" hidden="1" customHeight="1" thickBot="1">
      <c r="A205" s="112">
        <f t="shared" si="3"/>
        <v>200</v>
      </c>
      <c r="B205" s="112">
        <v>2025</v>
      </c>
      <c r="C205" s="112" t="s">
        <v>605</v>
      </c>
      <c r="D205" s="112" t="s">
        <v>1010</v>
      </c>
      <c r="E205" s="114" t="s">
        <v>781</v>
      </c>
      <c r="F205" s="112" t="s">
        <v>53</v>
      </c>
      <c r="G205" s="112" t="s">
        <v>503</v>
      </c>
      <c r="H205" s="115" t="s">
        <v>1244</v>
      </c>
      <c r="I205" s="112" t="s">
        <v>1238</v>
      </c>
      <c r="J205" s="112" t="s">
        <v>374</v>
      </c>
      <c r="K205" s="31">
        <v>1862568.78</v>
      </c>
      <c r="L205" s="31">
        <v>1862568.78</v>
      </c>
      <c r="M205" s="31"/>
      <c r="N205" s="31"/>
      <c r="O205" s="31"/>
      <c r="P205" s="31"/>
      <c r="Q205" s="33">
        <f>SUM(PAC!$M205:$P205)</f>
        <v>0</v>
      </c>
      <c r="R205" s="33"/>
      <c r="S205" s="33">
        <f>IF(PAC!$R205&gt;0,PAC!$R205,PAC!$Q205)</f>
        <v>0</v>
      </c>
      <c r="T205" s="33"/>
      <c r="U205" s="116" t="s">
        <v>1574</v>
      </c>
      <c r="V205" s="116"/>
      <c r="W205" s="117"/>
      <c r="X205" s="117" t="s">
        <v>1419</v>
      </c>
      <c r="Y205" s="113" t="s">
        <v>2478</v>
      </c>
      <c r="Z205" s="118"/>
      <c r="AA205" s="119"/>
      <c r="AB205" s="122"/>
      <c r="AC205" s="115"/>
      <c r="AD205" s="120"/>
      <c r="AE205" s="114"/>
      <c r="AF205" s="115" t="s">
        <v>987</v>
      </c>
      <c r="AG205" s="115"/>
      <c r="AH205" s="115"/>
      <c r="AI205" s="115"/>
      <c r="AJ205" s="118"/>
      <c r="AK205" s="115"/>
      <c r="AL205" s="115"/>
      <c r="AM205" s="115" t="s">
        <v>716</v>
      </c>
      <c r="AN205" s="118"/>
      <c r="AO205" s="118"/>
      <c r="AP205" s="118"/>
      <c r="AQ205" s="118"/>
      <c r="AR205" s="121"/>
      <c r="AS205" s="121"/>
      <c r="AT205" s="116" t="s">
        <v>518</v>
      </c>
      <c r="AU205" s="122"/>
      <c r="AV205" s="120"/>
      <c r="AW205" s="122" t="s">
        <v>836</v>
      </c>
      <c r="AX205" s="194">
        <f>IFERROR(IF(PAC!$X205="F01 - CAPTAÇÃO DE RECURSO",1,""),"")</f>
        <v>1</v>
      </c>
      <c r="AY205" s="194" t="str">
        <f>IFERROR(IF(PAC!$X205="F02 - LICITAÇÃO",1,""),"")</f>
        <v/>
      </c>
      <c r="AZ205" s="123" t="str">
        <f>IFERROR(IF(PAC!$X$6:$X$581="F03 - EXECUÇÃO DO OBJETO",1,""),"")</f>
        <v/>
      </c>
      <c r="BA205" s="123" t="str">
        <f>IFERROR(IF(PAC!$X$6:$X$581="F04 - CONCLUÍDA",1,""),"")</f>
        <v/>
      </c>
      <c r="BB205" s="191">
        <f>IF(PAC!$R205&gt;0,0,PAC!$Q205)</f>
        <v>0</v>
      </c>
    </row>
    <row r="206" spans="1:54" s="1" customFormat="1" ht="63" hidden="1" customHeight="1" thickBot="1">
      <c r="A206" s="88">
        <f t="shared" si="3"/>
        <v>201</v>
      </c>
      <c r="B206" s="88">
        <v>2025</v>
      </c>
      <c r="C206" s="88" t="s">
        <v>605</v>
      </c>
      <c r="D206" s="88" t="s">
        <v>1010</v>
      </c>
      <c r="E206" s="102" t="s">
        <v>782</v>
      </c>
      <c r="F206" s="88" t="s">
        <v>53</v>
      </c>
      <c r="G206" s="88" t="s">
        <v>503</v>
      </c>
      <c r="H206" s="40" t="s">
        <v>1244</v>
      </c>
      <c r="I206" s="88" t="s">
        <v>1238</v>
      </c>
      <c r="J206" s="88" t="s">
        <v>374</v>
      </c>
      <c r="K206" s="18">
        <v>1853659.21</v>
      </c>
      <c r="L206" s="18">
        <v>1853659.21</v>
      </c>
      <c r="M206" s="18"/>
      <c r="N206" s="18"/>
      <c r="O206" s="18"/>
      <c r="P206" s="18"/>
      <c r="Q206" s="20">
        <f>SUM(PAC!$M206:$P206)</f>
        <v>0</v>
      </c>
      <c r="R206" s="20"/>
      <c r="S206" s="20">
        <f>IF(PAC!$R206&gt;0,PAC!$R206,PAC!$Q206)</f>
        <v>0</v>
      </c>
      <c r="T206" s="20"/>
      <c r="U206" s="103" t="s">
        <v>1574</v>
      </c>
      <c r="V206" s="103"/>
      <c r="W206" s="104"/>
      <c r="X206" s="104" t="s">
        <v>1419</v>
      </c>
      <c r="Y206" s="101" t="s">
        <v>2478</v>
      </c>
      <c r="Z206" s="87"/>
      <c r="AA206" s="105"/>
      <c r="AB206" s="108"/>
      <c r="AC206" s="40"/>
      <c r="AD206" s="106"/>
      <c r="AE206" s="102"/>
      <c r="AF206" s="40" t="s">
        <v>987</v>
      </c>
      <c r="AG206" s="40"/>
      <c r="AH206" s="40"/>
      <c r="AI206" s="40"/>
      <c r="AJ206" s="87"/>
      <c r="AK206" s="40"/>
      <c r="AL206" s="40"/>
      <c r="AM206" s="40" t="s">
        <v>716</v>
      </c>
      <c r="AN206" s="87"/>
      <c r="AO206" s="87"/>
      <c r="AP206" s="87"/>
      <c r="AQ206" s="87"/>
      <c r="AR206" s="107"/>
      <c r="AS206" s="107"/>
      <c r="AT206" s="103" t="s">
        <v>518</v>
      </c>
      <c r="AU206" s="108"/>
      <c r="AV206" s="106"/>
      <c r="AW206" s="108" t="s">
        <v>836</v>
      </c>
      <c r="AX206" s="109">
        <f>IFERROR(IF(PAC!$X206="F01 - CAPTAÇÃO DE RECURSO",1,""),"")</f>
        <v>1</v>
      </c>
      <c r="AY206" s="109" t="str">
        <f>IFERROR(IF(PAC!$X206="F02 - LICITAÇÃO",1,""),"")</f>
        <v/>
      </c>
      <c r="AZ206" s="110" t="str">
        <f>IFERROR(IF(PAC!$X$6:$X$581="F03 - EXECUÇÃO DO OBJETO",1,""),"")</f>
        <v/>
      </c>
      <c r="BA206" s="110" t="str">
        <f>IFERROR(IF(PAC!$X$6:$X$581="F04 - CONCLUÍDA",1,""),"")</f>
        <v/>
      </c>
      <c r="BB206" s="111">
        <f>IF(PAC!$R206&gt;0,0,PAC!$Q206)</f>
        <v>0</v>
      </c>
    </row>
    <row r="207" spans="1:54" s="1" customFormat="1" ht="66" hidden="1" customHeight="1" thickBot="1">
      <c r="A207" s="112">
        <f t="shared" si="3"/>
        <v>202</v>
      </c>
      <c r="B207" s="112">
        <v>2025</v>
      </c>
      <c r="C207" s="112" t="s">
        <v>605</v>
      </c>
      <c r="D207" s="112" t="s">
        <v>1010</v>
      </c>
      <c r="E207" s="114" t="s">
        <v>783</v>
      </c>
      <c r="F207" s="112" t="s">
        <v>53</v>
      </c>
      <c r="G207" s="112" t="s">
        <v>503</v>
      </c>
      <c r="H207" s="115" t="s">
        <v>1244</v>
      </c>
      <c r="I207" s="112" t="s">
        <v>1238</v>
      </c>
      <c r="J207" s="112" t="s">
        <v>380</v>
      </c>
      <c r="K207" s="31">
        <v>2854374.23</v>
      </c>
      <c r="L207" s="31">
        <v>2854374.23</v>
      </c>
      <c r="M207" s="31"/>
      <c r="N207" s="31"/>
      <c r="O207" s="31"/>
      <c r="P207" s="31"/>
      <c r="Q207" s="33">
        <f>SUM(PAC!$M207:$P207)</f>
        <v>0</v>
      </c>
      <c r="R207" s="33"/>
      <c r="S207" s="33">
        <f>IF(PAC!$R207&gt;0,PAC!$R207,PAC!$Q207)</f>
        <v>0</v>
      </c>
      <c r="T207" s="33"/>
      <c r="U207" s="116" t="s">
        <v>1574</v>
      </c>
      <c r="V207" s="116"/>
      <c r="W207" s="117"/>
      <c r="X207" s="117" t="s">
        <v>1419</v>
      </c>
      <c r="Y207" s="113" t="s">
        <v>2478</v>
      </c>
      <c r="Z207" s="118"/>
      <c r="AA207" s="119"/>
      <c r="AB207" s="122"/>
      <c r="AC207" s="115"/>
      <c r="AD207" s="120"/>
      <c r="AE207" s="114"/>
      <c r="AF207" s="115" t="s">
        <v>987</v>
      </c>
      <c r="AG207" s="115"/>
      <c r="AH207" s="115"/>
      <c r="AI207" s="115"/>
      <c r="AJ207" s="118"/>
      <c r="AK207" s="115"/>
      <c r="AL207" s="115"/>
      <c r="AM207" s="115"/>
      <c r="AN207" s="118"/>
      <c r="AO207" s="118"/>
      <c r="AP207" s="118"/>
      <c r="AQ207" s="118"/>
      <c r="AR207" s="121"/>
      <c r="AS207" s="121"/>
      <c r="AT207" s="116" t="s">
        <v>518</v>
      </c>
      <c r="AU207" s="122"/>
      <c r="AV207" s="120"/>
      <c r="AW207" s="122" t="s">
        <v>836</v>
      </c>
      <c r="AX207" s="194">
        <f>IFERROR(IF(PAC!$X207="F01 - CAPTAÇÃO DE RECURSO",1,""),"")</f>
        <v>1</v>
      </c>
      <c r="AY207" s="194" t="str">
        <f>IFERROR(IF(PAC!$X207="F02 - LICITAÇÃO",1,""),"")</f>
        <v/>
      </c>
      <c r="AZ207" s="123" t="str">
        <f>IFERROR(IF(PAC!$X$6:$X$581="F03 - EXECUÇÃO DO OBJETO",1,""),"")</f>
        <v/>
      </c>
      <c r="BA207" s="123" t="str">
        <f>IFERROR(IF(PAC!$X$6:$X$581="F04 - CONCLUÍDA",1,""),"")</f>
        <v/>
      </c>
      <c r="BB207" s="191">
        <f>IF(PAC!$R207&gt;0,0,PAC!$Q207)</f>
        <v>0</v>
      </c>
    </row>
    <row r="208" spans="1:54" s="1" customFormat="1" ht="63" hidden="1" customHeight="1" thickBot="1">
      <c r="A208" s="88">
        <f t="shared" si="3"/>
        <v>203</v>
      </c>
      <c r="B208" s="88">
        <v>2025</v>
      </c>
      <c r="C208" s="88" t="s">
        <v>605</v>
      </c>
      <c r="D208" s="88" t="s">
        <v>1010</v>
      </c>
      <c r="E208" s="102" t="s">
        <v>868</v>
      </c>
      <c r="F208" s="88" t="s">
        <v>53</v>
      </c>
      <c r="G208" s="88" t="s">
        <v>503</v>
      </c>
      <c r="H208" s="40" t="s">
        <v>1244</v>
      </c>
      <c r="I208" s="88" t="s">
        <v>1238</v>
      </c>
      <c r="J208" s="88" t="s">
        <v>380</v>
      </c>
      <c r="K208" s="18">
        <v>1968076.83</v>
      </c>
      <c r="L208" s="18">
        <v>1968076.83</v>
      </c>
      <c r="M208" s="18"/>
      <c r="N208" s="18"/>
      <c r="O208" s="18"/>
      <c r="P208" s="18"/>
      <c r="Q208" s="20">
        <f>SUM(PAC!$M208:$P208)</f>
        <v>0</v>
      </c>
      <c r="R208" s="20"/>
      <c r="S208" s="20">
        <f>IF(PAC!$R208&gt;0,PAC!$R208,PAC!$Q208)</f>
        <v>0</v>
      </c>
      <c r="T208" s="20"/>
      <c r="U208" s="103" t="s">
        <v>1574</v>
      </c>
      <c r="V208" s="103"/>
      <c r="W208" s="104"/>
      <c r="X208" s="104" t="s">
        <v>1419</v>
      </c>
      <c r="Y208" s="101" t="s">
        <v>2478</v>
      </c>
      <c r="Z208" s="87"/>
      <c r="AA208" s="105"/>
      <c r="AB208" s="108"/>
      <c r="AC208" s="40"/>
      <c r="AD208" s="106"/>
      <c r="AE208" s="102"/>
      <c r="AF208" s="40" t="s">
        <v>987</v>
      </c>
      <c r="AG208" s="40"/>
      <c r="AH208" s="40"/>
      <c r="AI208" s="40"/>
      <c r="AJ208" s="87"/>
      <c r="AK208" s="40"/>
      <c r="AL208" s="40"/>
      <c r="AM208" s="40" t="s">
        <v>716</v>
      </c>
      <c r="AN208" s="87"/>
      <c r="AO208" s="87"/>
      <c r="AP208" s="87"/>
      <c r="AQ208" s="87"/>
      <c r="AR208" s="107"/>
      <c r="AS208" s="107"/>
      <c r="AT208" s="103" t="s">
        <v>518</v>
      </c>
      <c r="AU208" s="108"/>
      <c r="AV208" s="106"/>
      <c r="AW208" s="108" t="s">
        <v>707</v>
      </c>
      <c r="AX208" s="109">
        <f>IFERROR(IF(PAC!$X208="F01 - CAPTAÇÃO DE RECURSO",1,""),"")</f>
        <v>1</v>
      </c>
      <c r="AY208" s="109" t="str">
        <f>IFERROR(IF(PAC!$X208="F02 - LICITAÇÃO",1,""),"")</f>
        <v/>
      </c>
      <c r="AZ208" s="110" t="str">
        <f>IFERROR(IF(PAC!$X$6:$X$581="F03 - EXECUÇÃO DO OBJETO",1,""),"")</f>
        <v/>
      </c>
      <c r="BA208" s="110" t="str">
        <f>IFERROR(IF(PAC!$X$6:$X$581="F04 - CONCLUÍDA",1,""),"")</f>
        <v/>
      </c>
      <c r="BB208" s="111">
        <f>IF(PAC!$R208&gt;0,0,PAC!$Q208)</f>
        <v>0</v>
      </c>
    </row>
    <row r="209" spans="1:54" s="1" customFormat="1" ht="63" hidden="1" customHeight="1" thickBot="1">
      <c r="A209" s="112">
        <f t="shared" si="3"/>
        <v>204</v>
      </c>
      <c r="B209" s="112">
        <v>2025</v>
      </c>
      <c r="C209" s="112" t="s">
        <v>605</v>
      </c>
      <c r="D209" s="112" t="s">
        <v>1010</v>
      </c>
      <c r="E209" s="114" t="s">
        <v>2788</v>
      </c>
      <c r="F209" s="112" t="s">
        <v>53</v>
      </c>
      <c r="G209" s="112" t="s">
        <v>503</v>
      </c>
      <c r="H209" s="115" t="s">
        <v>1244</v>
      </c>
      <c r="I209" s="112" t="s">
        <v>1238</v>
      </c>
      <c r="J209" s="112" t="s">
        <v>361</v>
      </c>
      <c r="K209" s="31"/>
      <c r="L209" s="31">
        <v>1582620.75</v>
      </c>
      <c r="M209" s="31">
        <v>1582620.75</v>
      </c>
      <c r="N209" s="31"/>
      <c r="O209" s="31"/>
      <c r="P209" s="31"/>
      <c r="Q209" s="33">
        <f>SUM(PAC!$M209:$P209)</f>
        <v>1582620.75</v>
      </c>
      <c r="R209" s="33"/>
      <c r="S209" s="33">
        <f>IF(PAC!$R209&gt;0,PAC!$R209,PAC!$Q209)</f>
        <v>1582620.75</v>
      </c>
      <c r="T209" s="33"/>
      <c r="U209" s="116" t="s">
        <v>1570</v>
      </c>
      <c r="V209" s="116"/>
      <c r="W209" s="117"/>
      <c r="X209" s="117" t="s">
        <v>1419</v>
      </c>
      <c r="Y209" s="113" t="s">
        <v>2473</v>
      </c>
      <c r="Z209" s="118"/>
      <c r="AA209" s="119"/>
      <c r="AB209" s="122" t="s">
        <v>1459</v>
      </c>
      <c r="AC209" s="115" t="s">
        <v>2531</v>
      </c>
      <c r="AD209" s="120"/>
      <c r="AE209" s="114" t="s">
        <v>2434</v>
      </c>
      <c r="AF209" s="115" t="s">
        <v>1637</v>
      </c>
      <c r="AG209" s="115" t="s">
        <v>1701</v>
      </c>
      <c r="AH209" s="115" t="s">
        <v>977</v>
      </c>
      <c r="AI209" s="115"/>
      <c r="AJ209" s="118"/>
      <c r="AK209" s="115" t="s">
        <v>1679</v>
      </c>
      <c r="AL209" s="115" t="s">
        <v>2098</v>
      </c>
      <c r="AM209" s="115" t="s">
        <v>716</v>
      </c>
      <c r="AN209" s="118">
        <v>46265</v>
      </c>
      <c r="AO209" s="118"/>
      <c r="AP209" s="118"/>
      <c r="AQ209" s="118"/>
      <c r="AR209" s="121"/>
      <c r="AS209" s="121"/>
      <c r="AT209" s="116" t="s">
        <v>2789</v>
      </c>
      <c r="AU209" s="122" t="s">
        <v>2693</v>
      </c>
      <c r="AV209" s="120"/>
      <c r="AW209" s="122" t="s">
        <v>707</v>
      </c>
      <c r="AX209" s="194">
        <f>IFERROR(IF(PAC!$X209="F01 - CAPTAÇÃO DE RECURSO",1,""),"")</f>
        <v>1</v>
      </c>
      <c r="AY209" s="194" t="str">
        <f>IFERROR(IF(PAC!$X209="F02 - LICITAÇÃO",1,""),"")</f>
        <v/>
      </c>
      <c r="AZ209" s="123" t="str">
        <f>IFERROR(IF(PAC!$X$6:$X$581="F03 - EXECUÇÃO DO OBJETO",1,""),"")</f>
        <v/>
      </c>
      <c r="BA209" s="123" t="str">
        <f>IFERROR(IF(PAC!$X$6:$X$581="F04 - CONCLUÍDA",1,""),"")</f>
        <v/>
      </c>
      <c r="BB209" s="191">
        <f>IF(PAC!$R209&gt;0,0,PAC!$Q209)</f>
        <v>1582620.75</v>
      </c>
    </row>
    <row r="210" spans="1:54" s="1" customFormat="1" ht="63" hidden="1" customHeight="1" thickBot="1">
      <c r="A210" s="88">
        <f t="shared" si="3"/>
        <v>205</v>
      </c>
      <c r="B210" s="88">
        <v>2025</v>
      </c>
      <c r="C210" s="88" t="s">
        <v>605</v>
      </c>
      <c r="D210" s="88" t="s">
        <v>1010</v>
      </c>
      <c r="E210" s="102" t="s">
        <v>785</v>
      </c>
      <c r="F210" s="88" t="s">
        <v>53</v>
      </c>
      <c r="G210" s="88" t="s">
        <v>503</v>
      </c>
      <c r="H210" s="40" t="s">
        <v>1244</v>
      </c>
      <c r="I210" s="88" t="s">
        <v>1238</v>
      </c>
      <c r="J210" s="88" t="s">
        <v>410</v>
      </c>
      <c r="K210" s="18">
        <v>1813971.52</v>
      </c>
      <c r="L210" s="18">
        <v>1813971.52</v>
      </c>
      <c r="M210" s="18"/>
      <c r="N210" s="18"/>
      <c r="O210" s="18"/>
      <c r="P210" s="18"/>
      <c r="Q210" s="20">
        <f>SUM(PAC!$M210:$P210)</f>
        <v>0</v>
      </c>
      <c r="R210" s="20"/>
      <c r="S210" s="20">
        <f>IF(PAC!$R210&gt;0,PAC!$R210,PAC!$Q210)</f>
        <v>0</v>
      </c>
      <c r="T210" s="20"/>
      <c r="U210" s="103" t="s">
        <v>1574</v>
      </c>
      <c r="V210" s="103"/>
      <c r="W210" s="104"/>
      <c r="X210" s="104" t="s">
        <v>1419</v>
      </c>
      <c r="Y210" s="101" t="s">
        <v>2478</v>
      </c>
      <c r="Z210" s="87"/>
      <c r="AA210" s="105"/>
      <c r="AB210" s="108"/>
      <c r="AC210" s="40"/>
      <c r="AD210" s="106"/>
      <c r="AE210" s="102"/>
      <c r="AF210" s="40" t="s">
        <v>987</v>
      </c>
      <c r="AG210" s="40"/>
      <c r="AH210" s="40"/>
      <c r="AI210" s="40"/>
      <c r="AJ210" s="87"/>
      <c r="AK210" s="40"/>
      <c r="AL210" s="40"/>
      <c r="AM210" s="40"/>
      <c r="AN210" s="87"/>
      <c r="AO210" s="87"/>
      <c r="AP210" s="87"/>
      <c r="AQ210" s="87"/>
      <c r="AR210" s="107"/>
      <c r="AS210" s="107"/>
      <c r="AT210" s="103" t="s">
        <v>518</v>
      </c>
      <c r="AU210" s="108"/>
      <c r="AV210" s="106"/>
      <c r="AW210" s="108" t="s">
        <v>836</v>
      </c>
      <c r="AX210" s="109">
        <f>IFERROR(IF(PAC!$X210="F01 - CAPTAÇÃO DE RECURSO",1,""),"")</f>
        <v>1</v>
      </c>
      <c r="AY210" s="109" t="str">
        <f>IFERROR(IF(PAC!$X210="F02 - LICITAÇÃO",1,""),"")</f>
        <v/>
      </c>
      <c r="AZ210" s="110" t="str">
        <f>IFERROR(IF(PAC!$X$6:$X$581="F03 - EXECUÇÃO DO OBJETO",1,""),"")</f>
        <v/>
      </c>
      <c r="BA210" s="110" t="str">
        <f>IFERROR(IF(PAC!$X$6:$X$581="F04 - CONCLUÍDA",1,""),"")</f>
        <v/>
      </c>
      <c r="BB210" s="111">
        <f>IF(PAC!$R210&gt;0,0,PAC!$Q210)</f>
        <v>0</v>
      </c>
    </row>
    <row r="211" spans="1:54" s="1" customFormat="1" ht="63" hidden="1" customHeight="1" thickBot="1">
      <c r="A211" s="112">
        <f t="shared" si="3"/>
        <v>206</v>
      </c>
      <c r="B211" s="112">
        <v>2025</v>
      </c>
      <c r="C211" s="112" t="s">
        <v>605</v>
      </c>
      <c r="D211" s="112" t="s">
        <v>1010</v>
      </c>
      <c r="E211" s="114" t="s">
        <v>786</v>
      </c>
      <c r="F211" s="112" t="s">
        <v>53</v>
      </c>
      <c r="G211" s="112" t="s">
        <v>503</v>
      </c>
      <c r="H211" s="115" t="s">
        <v>1244</v>
      </c>
      <c r="I211" s="112" t="s">
        <v>1238</v>
      </c>
      <c r="J211" s="112" t="s">
        <v>410</v>
      </c>
      <c r="K211" s="31">
        <v>2252245.17</v>
      </c>
      <c r="L211" s="31">
        <v>2252245.17</v>
      </c>
      <c r="M211" s="31"/>
      <c r="N211" s="31"/>
      <c r="O211" s="31"/>
      <c r="P211" s="31"/>
      <c r="Q211" s="33">
        <f>SUM(PAC!$M211:$P211)</f>
        <v>0</v>
      </c>
      <c r="R211" s="33"/>
      <c r="S211" s="33">
        <f>IF(PAC!$R211&gt;0,PAC!$R211,PAC!$Q211)</f>
        <v>0</v>
      </c>
      <c r="T211" s="33"/>
      <c r="U211" s="116" t="s">
        <v>1574</v>
      </c>
      <c r="V211" s="116"/>
      <c r="W211" s="117"/>
      <c r="X211" s="117" t="s">
        <v>1419</v>
      </c>
      <c r="Y211" s="113" t="s">
        <v>2478</v>
      </c>
      <c r="Z211" s="118"/>
      <c r="AA211" s="119"/>
      <c r="AB211" s="122"/>
      <c r="AC211" s="115"/>
      <c r="AD211" s="120"/>
      <c r="AE211" s="114"/>
      <c r="AF211" s="115" t="s">
        <v>987</v>
      </c>
      <c r="AG211" s="115"/>
      <c r="AH211" s="115"/>
      <c r="AI211" s="115"/>
      <c r="AJ211" s="118"/>
      <c r="AK211" s="115"/>
      <c r="AL211" s="115"/>
      <c r="AM211" s="115" t="s">
        <v>716</v>
      </c>
      <c r="AN211" s="118"/>
      <c r="AO211" s="118"/>
      <c r="AP211" s="118"/>
      <c r="AQ211" s="118"/>
      <c r="AR211" s="121"/>
      <c r="AS211" s="121"/>
      <c r="AT211" s="116" t="s">
        <v>518</v>
      </c>
      <c r="AU211" s="122"/>
      <c r="AV211" s="120"/>
      <c r="AW211" s="122" t="s">
        <v>707</v>
      </c>
      <c r="AX211" s="194">
        <f>IFERROR(IF(PAC!$X211="F01 - CAPTAÇÃO DE RECURSO",1,""),"")</f>
        <v>1</v>
      </c>
      <c r="AY211" s="194" t="str">
        <f>IFERROR(IF(PAC!$X211="F02 - LICITAÇÃO",1,""),"")</f>
        <v/>
      </c>
      <c r="AZ211" s="123" t="str">
        <f>IFERROR(IF(PAC!$X$6:$X$581="F03 - EXECUÇÃO DO OBJETO",1,""),"")</f>
        <v/>
      </c>
      <c r="BA211" s="123" t="str">
        <f>IFERROR(IF(PAC!$X$6:$X$581="F04 - CONCLUÍDA",1,""),"")</f>
        <v/>
      </c>
      <c r="BB211" s="191">
        <f>IF(PAC!$R211&gt;0,0,PAC!$Q211)</f>
        <v>0</v>
      </c>
    </row>
    <row r="212" spans="1:54" s="1" customFormat="1" ht="63" hidden="1" customHeight="1" thickBot="1">
      <c r="A212" s="88">
        <f t="shared" si="3"/>
        <v>207</v>
      </c>
      <c r="B212" s="88">
        <v>2025</v>
      </c>
      <c r="C212" s="88" t="s">
        <v>605</v>
      </c>
      <c r="D212" s="88" t="s">
        <v>1010</v>
      </c>
      <c r="E212" s="102" t="s">
        <v>787</v>
      </c>
      <c r="F212" s="88" t="s">
        <v>53</v>
      </c>
      <c r="G212" s="88" t="s">
        <v>503</v>
      </c>
      <c r="H212" s="40" t="s">
        <v>1244</v>
      </c>
      <c r="I212" s="88" t="s">
        <v>1238</v>
      </c>
      <c r="J212" s="88" t="s">
        <v>410</v>
      </c>
      <c r="K212" s="18">
        <v>1813971.52</v>
      </c>
      <c r="L212" s="18">
        <v>1813971.52</v>
      </c>
      <c r="M212" s="18"/>
      <c r="N212" s="18"/>
      <c r="O212" s="18"/>
      <c r="P212" s="18"/>
      <c r="Q212" s="20">
        <f>SUM(PAC!$M212:$P212)</f>
        <v>0</v>
      </c>
      <c r="R212" s="20"/>
      <c r="S212" s="20">
        <f>IF(PAC!$R212&gt;0,PAC!$R212,PAC!$Q212)</f>
        <v>0</v>
      </c>
      <c r="T212" s="20"/>
      <c r="U212" s="103" t="s">
        <v>1574</v>
      </c>
      <c r="V212" s="103"/>
      <c r="W212" s="104"/>
      <c r="X212" s="104" t="s">
        <v>1419</v>
      </c>
      <c r="Y212" s="101" t="s">
        <v>2478</v>
      </c>
      <c r="Z212" s="87"/>
      <c r="AA212" s="105"/>
      <c r="AB212" s="108"/>
      <c r="AC212" s="40"/>
      <c r="AD212" s="106"/>
      <c r="AE212" s="102"/>
      <c r="AF212" s="40" t="s">
        <v>987</v>
      </c>
      <c r="AG212" s="40"/>
      <c r="AH212" s="40"/>
      <c r="AI212" s="40"/>
      <c r="AJ212" s="87"/>
      <c r="AK212" s="40"/>
      <c r="AL212" s="40"/>
      <c r="AM212" s="40"/>
      <c r="AN212" s="87"/>
      <c r="AO212" s="87"/>
      <c r="AP212" s="87"/>
      <c r="AQ212" s="87"/>
      <c r="AR212" s="107"/>
      <c r="AS212" s="107"/>
      <c r="AT212" s="103" t="s">
        <v>518</v>
      </c>
      <c r="AU212" s="108"/>
      <c r="AV212" s="106"/>
      <c r="AW212" s="108" t="s">
        <v>836</v>
      </c>
      <c r="AX212" s="109">
        <f>IFERROR(IF(PAC!$X212="F01 - CAPTAÇÃO DE RECURSO",1,""),"")</f>
        <v>1</v>
      </c>
      <c r="AY212" s="109" t="str">
        <f>IFERROR(IF(PAC!$X212="F02 - LICITAÇÃO",1,""),"")</f>
        <v/>
      </c>
      <c r="AZ212" s="110" t="str">
        <f>IFERROR(IF(PAC!$X$6:$X$581="F03 - EXECUÇÃO DO OBJETO",1,""),"")</f>
        <v/>
      </c>
      <c r="BA212" s="110" t="str">
        <f>IFERROR(IF(PAC!$X$6:$X$581="F04 - CONCLUÍDA",1,""),"")</f>
        <v/>
      </c>
      <c r="BB212" s="111">
        <f>IF(PAC!$R212&gt;0,0,PAC!$Q212)</f>
        <v>0</v>
      </c>
    </row>
    <row r="213" spans="1:54" s="1" customFormat="1" ht="63" hidden="1" customHeight="1" thickBot="1">
      <c r="A213" s="112">
        <f t="shared" si="3"/>
        <v>208</v>
      </c>
      <c r="B213" s="112">
        <v>2025</v>
      </c>
      <c r="C213" s="112" t="s">
        <v>605</v>
      </c>
      <c r="D213" s="112" t="s">
        <v>1010</v>
      </c>
      <c r="E213" s="114" t="s">
        <v>788</v>
      </c>
      <c r="F213" s="112" t="s">
        <v>53</v>
      </c>
      <c r="G213" s="112" t="s">
        <v>503</v>
      </c>
      <c r="H213" s="115" t="s">
        <v>1244</v>
      </c>
      <c r="I213" s="112" t="s">
        <v>1238</v>
      </c>
      <c r="J213" s="112" t="s">
        <v>420</v>
      </c>
      <c r="K213" s="31">
        <v>2067957.78</v>
      </c>
      <c r="L213" s="31">
        <v>2067957.78</v>
      </c>
      <c r="M213" s="31"/>
      <c r="N213" s="31"/>
      <c r="O213" s="31"/>
      <c r="P213" s="31"/>
      <c r="Q213" s="33">
        <f>SUM(PAC!$M213:$P213)</f>
        <v>0</v>
      </c>
      <c r="R213" s="33"/>
      <c r="S213" s="33">
        <f>IF(PAC!$R213&gt;0,PAC!$R213,PAC!$Q213)</f>
        <v>0</v>
      </c>
      <c r="T213" s="33"/>
      <c r="U213" s="116" t="s">
        <v>1574</v>
      </c>
      <c r="V213" s="116"/>
      <c r="W213" s="117"/>
      <c r="X213" s="117" t="s">
        <v>1419</v>
      </c>
      <c r="Y213" s="113" t="s">
        <v>2478</v>
      </c>
      <c r="Z213" s="118"/>
      <c r="AA213" s="119"/>
      <c r="AB213" s="122"/>
      <c r="AC213" s="115"/>
      <c r="AD213" s="120"/>
      <c r="AE213" s="114"/>
      <c r="AF213" s="115" t="s">
        <v>987</v>
      </c>
      <c r="AG213" s="115"/>
      <c r="AH213" s="115"/>
      <c r="AI213" s="115"/>
      <c r="AJ213" s="118"/>
      <c r="AK213" s="115"/>
      <c r="AL213" s="115"/>
      <c r="AM213" s="115" t="s">
        <v>716</v>
      </c>
      <c r="AN213" s="118"/>
      <c r="AO213" s="118"/>
      <c r="AP213" s="118"/>
      <c r="AQ213" s="118"/>
      <c r="AR213" s="121"/>
      <c r="AS213" s="121"/>
      <c r="AT213" s="116" t="s">
        <v>518</v>
      </c>
      <c r="AU213" s="122"/>
      <c r="AV213" s="120"/>
      <c r="AW213" s="122" t="s">
        <v>836</v>
      </c>
      <c r="AX213" s="194">
        <f>IFERROR(IF(PAC!$X213="F01 - CAPTAÇÃO DE RECURSO",1,""),"")</f>
        <v>1</v>
      </c>
      <c r="AY213" s="194" t="str">
        <f>IFERROR(IF(PAC!$X213="F02 - LICITAÇÃO",1,""),"")</f>
        <v/>
      </c>
      <c r="AZ213" s="123" t="str">
        <f>IFERROR(IF(PAC!$X$6:$X$581="F03 - EXECUÇÃO DO OBJETO",1,""),"")</f>
        <v/>
      </c>
      <c r="BA213" s="123" t="str">
        <f>IFERROR(IF(PAC!$X$6:$X$581="F04 - CONCLUÍDA",1,""),"")</f>
        <v/>
      </c>
      <c r="BB213" s="191">
        <f>IF(PAC!$R213&gt;0,0,PAC!$Q213)</f>
        <v>0</v>
      </c>
    </row>
    <row r="214" spans="1:54" s="1" customFormat="1" ht="63" hidden="1" customHeight="1" thickBot="1">
      <c r="A214" s="88">
        <f t="shared" si="3"/>
        <v>209</v>
      </c>
      <c r="B214" s="88">
        <v>2025</v>
      </c>
      <c r="C214" s="88" t="s">
        <v>605</v>
      </c>
      <c r="D214" s="88" t="s">
        <v>1010</v>
      </c>
      <c r="E214" s="102" t="s">
        <v>789</v>
      </c>
      <c r="F214" s="88" t="s">
        <v>53</v>
      </c>
      <c r="G214" s="88" t="s">
        <v>503</v>
      </c>
      <c r="H214" s="40" t="s">
        <v>1244</v>
      </c>
      <c r="I214" s="88" t="s">
        <v>1238</v>
      </c>
      <c r="J214" s="88" t="s">
        <v>422</v>
      </c>
      <c r="K214" s="18">
        <v>2101720.36</v>
      </c>
      <c r="L214" s="18">
        <v>2101720.36</v>
      </c>
      <c r="M214" s="18"/>
      <c r="N214" s="18"/>
      <c r="O214" s="18"/>
      <c r="P214" s="18"/>
      <c r="Q214" s="20">
        <f>SUM(PAC!$M214:$P214)</f>
        <v>0</v>
      </c>
      <c r="R214" s="20"/>
      <c r="S214" s="20">
        <f>IF(PAC!$R214&gt;0,PAC!$R214,PAC!$Q214)</f>
        <v>0</v>
      </c>
      <c r="T214" s="20"/>
      <c r="U214" s="103" t="s">
        <v>1574</v>
      </c>
      <c r="V214" s="103"/>
      <c r="W214" s="104"/>
      <c r="X214" s="104" t="s">
        <v>1419</v>
      </c>
      <c r="Y214" s="101" t="s">
        <v>2478</v>
      </c>
      <c r="Z214" s="87"/>
      <c r="AA214" s="105"/>
      <c r="AB214" s="108"/>
      <c r="AC214" s="40"/>
      <c r="AD214" s="106"/>
      <c r="AE214" s="102"/>
      <c r="AF214" s="40" t="s">
        <v>987</v>
      </c>
      <c r="AG214" s="40"/>
      <c r="AH214" s="40"/>
      <c r="AI214" s="40"/>
      <c r="AJ214" s="87"/>
      <c r="AK214" s="40"/>
      <c r="AL214" s="40"/>
      <c r="AM214" s="40" t="s">
        <v>716</v>
      </c>
      <c r="AN214" s="87"/>
      <c r="AO214" s="87"/>
      <c r="AP214" s="87"/>
      <c r="AQ214" s="87"/>
      <c r="AR214" s="107"/>
      <c r="AS214" s="107"/>
      <c r="AT214" s="103" t="s">
        <v>518</v>
      </c>
      <c r="AU214" s="108"/>
      <c r="AV214" s="106"/>
      <c r="AW214" s="108" t="s">
        <v>707</v>
      </c>
      <c r="AX214" s="109">
        <f>IFERROR(IF(PAC!$X214="F01 - CAPTAÇÃO DE RECURSO",1,""),"")</f>
        <v>1</v>
      </c>
      <c r="AY214" s="109" t="str">
        <f>IFERROR(IF(PAC!$X214="F02 - LICITAÇÃO",1,""),"")</f>
        <v/>
      </c>
      <c r="AZ214" s="110" t="str">
        <f>IFERROR(IF(PAC!$X$6:$X$581="F03 - EXECUÇÃO DO OBJETO",1,""),"")</f>
        <v/>
      </c>
      <c r="BA214" s="110" t="str">
        <f>IFERROR(IF(PAC!$X$6:$X$581="F04 - CONCLUÍDA",1,""),"")</f>
        <v/>
      </c>
      <c r="BB214" s="111">
        <f>IF(PAC!$R214&gt;0,0,PAC!$Q214)</f>
        <v>0</v>
      </c>
    </row>
    <row r="215" spans="1:54" s="1" customFormat="1" ht="63" hidden="1" customHeight="1" thickBot="1">
      <c r="A215" s="112">
        <f t="shared" si="3"/>
        <v>210</v>
      </c>
      <c r="B215" s="112">
        <v>2025</v>
      </c>
      <c r="C215" s="112" t="s">
        <v>605</v>
      </c>
      <c r="D215" s="112" t="s">
        <v>1010</v>
      </c>
      <c r="E215" s="114" t="s">
        <v>790</v>
      </c>
      <c r="F215" s="112" t="s">
        <v>53</v>
      </c>
      <c r="G215" s="112" t="s">
        <v>503</v>
      </c>
      <c r="H215" s="115" t="s">
        <v>1244</v>
      </c>
      <c r="I215" s="112" t="s">
        <v>1238</v>
      </c>
      <c r="J215" s="112" t="s">
        <v>429</v>
      </c>
      <c r="K215" s="31">
        <v>3694188.52</v>
      </c>
      <c r="L215" s="31">
        <v>3694188.52</v>
      </c>
      <c r="M215" s="31"/>
      <c r="N215" s="31"/>
      <c r="O215" s="31"/>
      <c r="P215" s="31"/>
      <c r="Q215" s="33">
        <f>SUM(PAC!$M215:$P215)</f>
        <v>0</v>
      </c>
      <c r="R215" s="33"/>
      <c r="S215" s="33">
        <f>IF(PAC!$R215&gt;0,PAC!$R215,PAC!$Q215)</f>
        <v>0</v>
      </c>
      <c r="T215" s="33"/>
      <c r="U215" s="116" t="s">
        <v>1574</v>
      </c>
      <c r="V215" s="116"/>
      <c r="W215" s="117"/>
      <c r="X215" s="117" t="s">
        <v>1419</v>
      </c>
      <c r="Y215" s="113" t="s">
        <v>2478</v>
      </c>
      <c r="Z215" s="118"/>
      <c r="AA215" s="119"/>
      <c r="AB215" s="122"/>
      <c r="AC215" s="115"/>
      <c r="AD215" s="120"/>
      <c r="AE215" s="114"/>
      <c r="AF215" s="115" t="s">
        <v>987</v>
      </c>
      <c r="AG215" s="115"/>
      <c r="AH215" s="115"/>
      <c r="AI215" s="115"/>
      <c r="AJ215" s="118"/>
      <c r="AK215" s="115"/>
      <c r="AL215" s="115"/>
      <c r="AM215" s="115" t="s">
        <v>716</v>
      </c>
      <c r="AN215" s="118"/>
      <c r="AO215" s="118"/>
      <c r="AP215" s="118"/>
      <c r="AQ215" s="118"/>
      <c r="AR215" s="121"/>
      <c r="AS215" s="121"/>
      <c r="AT215" s="116" t="s">
        <v>518</v>
      </c>
      <c r="AU215" s="122"/>
      <c r="AV215" s="120"/>
      <c r="AW215" s="122" t="s">
        <v>836</v>
      </c>
      <c r="AX215" s="194">
        <f>IFERROR(IF(PAC!$X215="F01 - CAPTAÇÃO DE RECURSO",1,""),"")</f>
        <v>1</v>
      </c>
      <c r="AY215" s="194" t="str">
        <f>IFERROR(IF(PAC!$X215="F02 - LICITAÇÃO",1,""),"")</f>
        <v/>
      </c>
      <c r="AZ215" s="123" t="str">
        <f>IFERROR(IF(PAC!$X$6:$X$581="F03 - EXECUÇÃO DO OBJETO",1,""),"")</f>
        <v/>
      </c>
      <c r="BA215" s="123" t="str">
        <f>IFERROR(IF(PAC!$X$6:$X$581="F04 - CONCLUÍDA",1,""),"")</f>
        <v/>
      </c>
      <c r="BB215" s="191">
        <f>IF(PAC!$R215&gt;0,0,PAC!$Q215)</f>
        <v>0</v>
      </c>
    </row>
    <row r="216" spans="1:54" s="1" customFormat="1" ht="63" hidden="1" customHeight="1" thickBot="1">
      <c r="A216" s="88">
        <f t="shared" si="3"/>
        <v>211</v>
      </c>
      <c r="B216" s="88">
        <v>2025</v>
      </c>
      <c r="C216" s="88" t="s">
        <v>605</v>
      </c>
      <c r="D216" s="88" t="s">
        <v>1010</v>
      </c>
      <c r="E216" s="102" t="s">
        <v>791</v>
      </c>
      <c r="F216" s="88" t="s">
        <v>53</v>
      </c>
      <c r="G216" s="88" t="s">
        <v>503</v>
      </c>
      <c r="H216" s="40" t="s">
        <v>1244</v>
      </c>
      <c r="I216" s="88" t="s">
        <v>1238</v>
      </c>
      <c r="J216" s="88" t="s">
        <v>429</v>
      </c>
      <c r="K216" s="18">
        <v>2270084.38</v>
      </c>
      <c r="L216" s="18">
        <v>2270084.38</v>
      </c>
      <c r="M216" s="18"/>
      <c r="N216" s="18"/>
      <c r="O216" s="18"/>
      <c r="P216" s="18"/>
      <c r="Q216" s="20">
        <f>SUM(PAC!$M216:$P216)</f>
        <v>0</v>
      </c>
      <c r="R216" s="20"/>
      <c r="S216" s="20">
        <f>IF(PAC!$R216&gt;0,PAC!$R216,PAC!$Q216)</f>
        <v>0</v>
      </c>
      <c r="T216" s="20"/>
      <c r="U216" s="103" t="s">
        <v>1574</v>
      </c>
      <c r="V216" s="103"/>
      <c r="W216" s="104"/>
      <c r="X216" s="104" t="s">
        <v>1419</v>
      </c>
      <c r="Y216" s="101" t="s">
        <v>2478</v>
      </c>
      <c r="Z216" s="87"/>
      <c r="AA216" s="105"/>
      <c r="AB216" s="108"/>
      <c r="AC216" s="40"/>
      <c r="AD216" s="106"/>
      <c r="AE216" s="102"/>
      <c r="AF216" s="40" t="s">
        <v>987</v>
      </c>
      <c r="AG216" s="40"/>
      <c r="AH216" s="40"/>
      <c r="AI216" s="40"/>
      <c r="AJ216" s="87"/>
      <c r="AK216" s="40"/>
      <c r="AL216" s="40"/>
      <c r="AM216" s="40" t="s">
        <v>716</v>
      </c>
      <c r="AN216" s="87"/>
      <c r="AO216" s="87"/>
      <c r="AP216" s="87"/>
      <c r="AQ216" s="87"/>
      <c r="AR216" s="107"/>
      <c r="AS216" s="107"/>
      <c r="AT216" s="103" t="s">
        <v>518</v>
      </c>
      <c r="AU216" s="108"/>
      <c r="AV216" s="106"/>
      <c r="AW216" s="108" t="s">
        <v>836</v>
      </c>
      <c r="AX216" s="109">
        <f>IFERROR(IF(PAC!$X216="F01 - CAPTAÇÃO DE RECURSO",1,""),"")</f>
        <v>1</v>
      </c>
      <c r="AY216" s="109" t="str">
        <f>IFERROR(IF(PAC!$X216="F02 - LICITAÇÃO",1,""),"")</f>
        <v/>
      </c>
      <c r="AZ216" s="110" t="str">
        <f>IFERROR(IF(PAC!$X$6:$X$581="F03 - EXECUÇÃO DO OBJETO",1,""),"")</f>
        <v/>
      </c>
      <c r="BA216" s="110" t="str">
        <f>IFERROR(IF(PAC!$X$6:$X$581="F04 - CONCLUÍDA",1,""),"")</f>
        <v/>
      </c>
      <c r="BB216" s="111">
        <f>IF(PAC!$R216&gt;0,0,PAC!$Q216)</f>
        <v>0</v>
      </c>
    </row>
    <row r="217" spans="1:54" s="1" customFormat="1" ht="63" hidden="1" customHeight="1" thickBot="1">
      <c r="A217" s="112">
        <f t="shared" si="3"/>
        <v>212</v>
      </c>
      <c r="B217" s="112">
        <v>2025</v>
      </c>
      <c r="C217" s="112" t="s">
        <v>605</v>
      </c>
      <c r="D217" s="112" t="s">
        <v>1010</v>
      </c>
      <c r="E217" s="114" t="s">
        <v>2790</v>
      </c>
      <c r="F217" s="112" t="s">
        <v>53</v>
      </c>
      <c r="G217" s="112" t="s">
        <v>503</v>
      </c>
      <c r="H217" s="115" t="s">
        <v>1244</v>
      </c>
      <c r="I217" s="112" t="s">
        <v>1238</v>
      </c>
      <c r="J217" s="112" t="s">
        <v>361</v>
      </c>
      <c r="K217" s="31"/>
      <c r="L217" s="31">
        <v>709014.09</v>
      </c>
      <c r="M217" s="31">
        <v>709014.09</v>
      </c>
      <c r="N217" s="31"/>
      <c r="O217" s="31"/>
      <c r="P217" s="31"/>
      <c r="Q217" s="33">
        <f>SUM(PAC!$M217:$P217)</f>
        <v>709014.09</v>
      </c>
      <c r="R217" s="33"/>
      <c r="S217" s="33">
        <f>IF(PAC!$R217&gt;0,PAC!$R217,PAC!$Q217)</f>
        <v>709014.09</v>
      </c>
      <c r="T217" s="33"/>
      <c r="U217" s="116" t="s">
        <v>1570</v>
      </c>
      <c r="V217" s="116"/>
      <c r="W217" s="117"/>
      <c r="X217" s="117" t="s">
        <v>1419</v>
      </c>
      <c r="Y217" s="113" t="s">
        <v>2473</v>
      </c>
      <c r="Z217" s="118"/>
      <c r="AA217" s="119"/>
      <c r="AB217" s="122" t="s">
        <v>1459</v>
      </c>
      <c r="AC217" s="115" t="s">
        <v>2531</v>
      </c>
      <c r="AD217" s="120"/>
      <c r="AE217" s="114" t="s">
        <v>2434</v>
      </c>
      <c r="AF217" s="115" t="s">
        <v>1637</v>
      </c>
      <c r="AG217" s="115" t="s">
        <v>1701</v>
      </c>
      <c r="AH217" s="115" t="s">
        <v>977</v>
      </c>
      <c r="AI217" s="115"/>
      <c r="AJ217" s="118"/>
      <c r="AK217" s="115" t="s">
        <v>1680</v>
      </c>
      <c r="AL217" s="115" t="s">
        <v>2099</v>
      </c>
      <c r="AM217" s="115" t="s">
        <v>716</v>
      </c>
      <c r="AN217" s="118">
        <v>46265</v>
      </c>
      <c r="AO217" s="118"/>
      <c r="AP217" s="118"/>
      <c r="AQ217" s="118"/>
      <c r="AR217" s="121"/>
      <c r="AS217" s="121"/>
      <c r="AT217" s="116" t="s">
        <v>2791</v>
      </c>
      <c r="AU217" s="122" t="s">
        <v>2693</v>
      </c>
      <c r="AV217" s="120"/>
      <c r="AW217" s="122" t="s">
        <v>707</v>
      </c>
      <c r="AX217" s="194">
        <f>IFERROR(IF(PAC!$X217="F01 - CAPTAÇÃO DE RECURSO",1,""),"")</f>
        <v>1</v>
      </c>
      <c r="AY217" s="194" t="str">
        <f>IFERROR(IF(PAC!$X217="F02 - LICITAÇÃO",1,""),"")</f>
        <v/>
      </c>
      <c r="AZ217" s="123" t="str">
        <f>IFERROR(IF(PAC!$X$6:$X$581="F03 - EXECUÇÃO DO OBJETO",1,""),"")</f>
        <v/>
      </c>
      <c r="BA217" s="123" t="str">
        <f>IFERROR(IF(PAC!$X$6:$X$581="F04 - CONCLUÍDA",1,""),"")</f>
        <v/>
      </c>
      <c r="BB217" s="191">
        <f>IF(PAC!$R217&gt;0,0,PAC!$Q217)</f>
        <v>709014.09</v>
      </c>
    </row>
    <row r="218" spans="1:54" s="1" customFormat="1" ht="63" hidden="1" customHeight="1" thickBot="1">
      <c r="A218" s="88">
        <f t="shared" si="3"/>
        <v>213</v>
      </c>
      <c r="B218" s="88">
        <v>2025</v>
      </c>
      <c r="C218" s="88" t="s">
        <v>605</v>
      </c>
      <c r="D218" s="88" t="s">
        <v>1010</v>
      </c>
      <c r="E218" s="102" t="s">
        <v>793</v>
      </c>
      <c r="F218" s="88" t="s">
        <v>53</v>
      </c>
      <c r="G218" s="88" t="s">
        <v>503</v>
      </c>
      <c r="H218" s="40" t="s">
        <v>1244</v>
      </c>
      <c r="I218" s="88" t="s">
        <v>1238</v>
      </c>
      <c r="J218" s="88" t="s">
        <v>440</v>
      </c>
      <c r="K218" s="18">
        <v>1389423.79</v>
      </c>
      <c r="L218" s="18">
        <v>1389423.79</v>
      </c>
      <c r="M218" s="18"/>
      <c r="N218" s="18"/>
      <c r="O218" s="18"/>
      <c r="P218" s="18"/>
      <c r="Q218" s="20">
        <f>SUM(PAC!$M218:$P218)</f>
        <v>0</v>
      </c>
      <c r="R218" s="20"/>
      <c r="S218" s="20">
        <f>IF(PAC!$R218&gt;0,PAC!$R218,PAC!$Q218)</f>
        <v>0</v>
      </c>
      <c r="T218" s="20"/>
      <c r="U218" s="103" t="s">
        <v>1574</v>
      </c>
      <c r="V218" s="103"/>
      <c r="W218" s="104"/>
      <c r="X218" s="104" t="s">
        <v>1419</v>
      </c>
      <c r="Y218" s="101" t="s">
        <v>2478</v>
      </c>
      <c r="Z218" s="87"/>
      <c r="AA218" s="105"/>
      <c r="AB218" s="108"/>
      <c r="AC218" s="40"/>
      <c r="AD218" s="106"/>
      <c r="AE218" s="102"/>
      <c r="AF218" s="40" t="s">
        <v>987</v>
      </c>
      <c r="AG218" s="40"/>
      <c r="AH218" s="40"/>
      <c r="AI218" s="40"/>
      <c r="AJ218" s="87"/>
      <c r="AK218" s="40"/>
      <c r="AL218" s="40"/>
      <c r="AM218" s="40" t="s">
        <v>716</v>
      </c>
      <c r="AN218" s="87"/>
      <c r="AO218" s="87"/>
      <c r="AP218" s="87"/>
      <c r="AQ218" s="87"/>
      <c r="AR218" s="107"/>
      <c r="AS218" s="107"/>
      <c r="AT218" s="103" t="s">
        <v>518</v>
      </c>
      <c r="AU218" s="108"/>
      <c r="AV218" s="106"/>
      <c r="AW218" s="108" t="s">
        <v>836</v>
      </c>
      <c r="AX218" s="109">
        <f>IFERROR(IF(PAC!$X218="F01 - CAPTAÇÃO DE RECURSO",1,""),"")</f>
        <v>1</v>
      </c>
      <c r="AY218" s="109" t="str">
        <f>IFERROR(IF(PAC!$X218="F02 - LICITAÇÃO",1,""),"")</f>
        <v/>
      </c>
      <c r="AZ218" s="110" t="str">
        <f>IFERROR(IF(PAC!$X$6:$X$581="F03 - EXECUÇÃO DO OBJETO",1,""),"")</f>
        <v/>
      </c>
      <c r="BA218" s="110" t="str">
        <f>IFERROR(IF(PAC!$X$6:$X$581="F04 - CONCLUÍDA",1,""),"")</f>
        <v/>
      </c>
      <c r="BB218" s="111">
        <f>IF(PAC!$R218&gt;0,0,PAC!$Q218)</f>
        <v>0</v>
      </c>
    </row>
    <row r="219" spans="1:54" s="1" customFormat="1" ht="63" hidden="1" customHeight="1" thickBot="1">
      <c r="A219" s="112">
        <f t="shared" si="3"/>
        <v>214</v>
      </c>
      <c r="B219" s="112">
        <v>2025</v>
      </c>
      <c r="C219" s="112" t="s">
        <v>605</v>
      </c>
      <c r="D219" s="112" t="s">
        <v>1010</v>
      </c>
      <c r="E219" s="114" t="s">
        <v>794</v>
      </c>
      <c r="F219" s="112" t="s">
        <v>53</v>
      </c>
      <c r="G219" s="112" t="s">
        <v>503</v>
      </c>
      <c r="H219" s="115" t="s">
        <v>1244</v>
      </c>
      <c r="I219" s="112" t="s">
        <v>1238</v>
      </c>
      <c r="J219" s="112" t="s">
        <v>440</v>
      </c>
      <c r="K219" s="31">
        <v>2622226.7400000002</v>
      </c>
      <c r="L219" s="31">
        <v>2622226.7400000002</v>
      </c>
      <c r="M219" s="31"/>
      <c r="N219" s="31"/>
      <c r="O219" s="31"/>
      <c r="P219" s="31"/>
      <c r="Q219" s="33">
        <f>SUM(PAC!$M219:$P219)</f>
        <v>0</v>
      </c>
      <c r="R219" s="33"/>
      <c r="S219" s="33">
        <f>IF(PAC!$R219&gt;0,PAC!$R219,PAC!$Q219)</f>
        <v>0</v>
      </c>
      <c r="T219" s="33"/>
      <c r="U219" s="116" t="s">
        <v>1574</v>
      </c>
      <c r="V219" s="116"/>
      <c r="W219" s="117"/>
      <c r="X219" s="117" t="s">
        <v>1419</v>
      </c>
      <c r="Y219" s="113" t="s">
        <v>2478</v>
      </c>
      <c r="Z219" s="118"/>
      <c r="AA219" s="119"/>
      <c r="AB219" s="122"/>
      <c r="AC219" s="115"/>
      <c r="AD219" s="120"/>
      <c r="AE219" s="114"/>
      <c r="AF219" s="115" t="s">
        <v>987</v>
      </c>
      <c r="AG219" s="115"/>
      <c r="AH219" s="115"/>
      <c r="AI219" s="115"/>
      <c r="AJ219" s="118"/>
      <c r="AK219" s="115"/>
      <c r="AL219" s="115"/>
      <c r="AM219" s="115" t="s">
        <v>716</v>
      </c>
      <c r="AN219" s="118"/>
      <c r="AO219" s="118"/>
      <c r="AP219" s="118"/>
      <c r="AQ219" s="118"/>
      <c r="AR219" s="121"/>
      <c r="AS219" s="121"/>
      <c r="AT219" s="116" t="s">
        <v>518</v>
      </c>
      <c r="AU219" s="122"/>
      <c r="AV219" s="120"/>
      <c r="AW219" s="122" t="s">
        <v>836</v>
      </c>
      <c r="AX219" s="194">
        <f>IFERROR(IF(PAC!$X219="F01 - CAPTAÇÃO DE RECURSO",1,""),"")</f>
        <v>1</v>
      </c>
      <c r="AY219" s="194" t="str">
        <f>IFERROR(IF(PAC!$X219="F02 - LICITAÇÃO",1,""),"")</f>
        <v/>
      </c>
      <c r="AZ219" s="123" t="str">
        <f>IFERROR(IF(PAC!$X$6:$X$581="F03 - EXECUÇÃO DO OBJETO",1,""),"")</f>
        <v/>
      </c>
      <c r="BA219" s="123" t="str">
        <f>IFERROR(IF(PAC!$X$6:$X$581="F04 - CONCLUÍDA",1,""),"")</f>
        <v/>
      </c>
      <c r="BB219" s="191">
        <f>IF(PAC!$R219&gt;0,0,PAC!$Q219)</f>
        <v>0</v>
      </c>
    </row>
    <row r="220" spans="1:54" s="1" customFormat="1" ht="63" hidden="1" customHeight="1" thickBot="1">
      <c r="A220" s="88">
        <f t="shared" si="3"/>
        <v>215</v>
      </c>
      <c r="B220" s="88">
        <v>2025</v>
      </c>
      <c r="C220" s="88" t="s">
        <v>605</v>
      </c>
      <c r="D220" s="88" t="s">
        <v>1010</v>
      </c>
      <c r="E220" s="102" t="s">
        <v>795</v>
      </c>
      <c r="F220" s="88" t="s">
        <v>53</v>
      </c>
      <c r="G220" s="88" t="s">
        <v>503</v>
      </c>
      <c r="H220" s="40" t="s">
        <v>1244</v>
      </c>
      <c r="I220" s="88" t="s">
        <v>1238</v>
      </c>
      <c r="J220" s="88" t="s">
        <v>440</v>
      </c>
      <c r="K220" s="18">
        <v>1767470.85</v>
      </c>
      <c r="L220" s="18">
        <v>1767470.85</v>
      </c>
      <c r="M220" s="18"/>
      <c r="N220" s="18"/>
      <c r="O220" s="18"/>
      <c r="P220" s="18"/>
      <c r="Q220" s="20">
        <f>SUM(PAC!$M220:$P220)</f>
        <v>0</v>
      </c>
      <c r="R220" s="20"/>
      <c r="S220" s="20">
        <f>IF(PAC!$R220&gt;0,PAC!$R220,PAC!$Q220)</f>
        <v>0</v>
      </c>
      <c r="T220" s="20"/>
      <c r="U220" s="103" t="s">
        <v>1574</v>
      </c>
      <c r="V220" s="103"/>
      <c r="W220" s="104"/>
      <c r="X220" s="104" t="s">
        <v>1419</v>
      </c>
      <c r="Y220" s="101" t="s">
        <v>2478</v>
      </c>
      <c r="Z220" s="87"/>
      <c r="AA220" s="105"/>
      <c r="AB220" s="108"/>
      <c r="AC220" s="40"/>
      <c r="AD220" s="106"/>
      <c r="AE220" s="102"/>
      <c r="AF220" s="40" t="s">
        <v>987</v>
      </c>
      <c r="AG220" s="40"/>
      <c r="AH220" s="40"/>
      <c r="AI220" s="40"/>
      <c r="AJ220" s="87"/>
      <c r="AK220" s="40"/>
      <c r="AL220" s="40"/>
      <c r="AM220" s="40" t="s">
        <v>716</v>
      </c>
      <c r="AN220" s="87"/>
      <c r="AO220" s="87"/>
      <c r="AP220" s="87"/>
      <c r="AQ220" s="87"/>
      <c r="AR220" s="107"/>
      <c r="AS220" s="107"/>
      <c r="AT220" s="103" t="s">
        <v>518</v>
      </c>
      <c r="AU220" s="108"/>
      <c r="AV220" s="106"/>
      <c r="AW220" s="108" t="s">
        <v>836</v>
      </c>
      <c r="AX220" s="109">
        <f>IFERROR(IF(PAC!$X220="F01 - CAPTAÇÃO DE RECURSO",1,""),"")</f>
        <v>1</v>
      </c>
      <c r="AY220" s="109" t="str">
        <f>IFERROR(IF(PAC!$X220="F02 - LICITAÇÃO",1,""),"")</f>
        <v/>
      </c>
      <c r="AZ220" s="110" t="str">
        <f>IFERROR(IF(PAC!$X$6:$X$581="F03 - EXECUÇÃO DO OBJETO",1,""),"")</f>
        <v/>
      </c>
      <c r="BA220" s="110" t="str">
        <f>IFERROR(IF(PAC!$X$6:$X$581="F04 - CONCLUÍDA",1,""),"")</f>
        <v/>
      </c>
      <c r="BB220" s="111">
        <f>IF(PAC!$R220&gt;0,0,PAC!$Q220)</f>
        <v>0</v>
      </c>
    </row>
    <row r="221" spans="1:54" s="1" customFormat="1" ht="63" hidden="1" customHeight="1" thickBot="1">
      <c r="A221" s="112">
        <f t="shared" si="3"/>
        <v>216</v>
      </c>
      <c r="B221" s="112">
        <v>2025</v>
      </c>
      <c r="C221" s="112" t="s">
        <v>605</v>
      </c>
      <c r="D221" s="112" t="s">
        <v>1010</v>
      </c>
      <c r="E221" s="114" t="s">
        <v>2038</v>
      </c>
      <c r="F221" s="112" t="s">
        <v>53</v>
      </c>
      <c r="G221" s="112" t="s">
        <v>503</v>
      </c>
      <c r="H221" s="115" t="s">
        <v>1244</v>
      </c>
      <c r="I221" s="112" t="s">
        <v>1238</v>
      </c>
      <c r="J221" s="112" t="s">
        <v>361</v>
      </c>
      <c r="K221" s="31"/>
      <c r="L221" s="31">
        <v>789200.22</v>
      </c>
      <c r="M221" s="31">
        <v>789200.22</v>
      </c>
      <c r="N221" s="31"/>
      <c r="O221" s="31"/>
      <c r="P221" s="31"/>
      <c r="Q221" s="33">
        <f>SUM(PAC!$M221:$P221)</f>
        <v>789200.22</v>
      </c>
      <c r="R221" s="33">
        <v>260325.44</v>
      </c>
      <c r="S221" s="33">
        <f>IF(PAC!$R221&gt;0,PAC!$R221,PAC!$Q221)</f>
        <v>260325.44</v>
      </c>
      <c r="T221" s="33" t="s">
        <v>1590</v>
      </c>
      <c r="U221" s="116" t="s">
        <v>1570</v>
      </c>
      <c r="V221" s="116"/>
      <c r="W221" s="117">
        <v>16</v>
      </c>
      <c r="X221" s="117" t="s">
        <v>1418</v>
      </c>
      <c r="Y221" s="113" t="s">
        <v>2472</v>
      </c>
      <c r="Z221" s="118"/>
      <c r="AA221" s="119"/>
      <c r="AB221" s="122" t="s">
        <v>1469</v>
      </c>
      <c r="AC221" s="115" t="s">
        <v>2694</v>
      </c>
      <c r="AD221" s="120"/>
      <c r="AE221" s="114" t="s">
        <v>2713</v>
      </c>
      <c r="AF221" s="115" t="s">
        <v>1637</v>
      </c>
      <c r="AG221" s="115" t="s">
        <v>1701</v>
      </c>
      <c r="AH221" s="115" t="s">
        <v>977</v>
      </c>
      <c r="AI221" s="115"/>
      <c r="AJ221" s="118"/>
      <c r="AK221" s="115" t="s">
        <v>1681</v>
      </c>
      <c r="AL221" s="115" t="s">
        <v>2092</v>
      </c>
      <c r="AM221" s="115" t="s">
        <v>716</v>
      </c>
      <c r="AN221" s="118">
        <v>46143</v>
      </c>
      <c r="AO221" s="118">
        <v>46189</v>
      </c>
      <c r="AP221" s="118">
        <v>46253</v>
      </c>
      <c r="AQ221" s="118"/>
      <c r="AR221" s="121"/>
      <c r="AS221" s="121"/>
      <c r="AT221" s="116" t="s">
        <v>2686</v>
      </c>
      <c r="AU221" s="122" t="s">
        <v>2712</v>
      </c>
      <c r="AV221" s="120"/>
      <c r="AW221" s="122" t="s">
        <v>707</v>
      </c>
      <c r="AX221" s="194" t="str">
        <f>IFERROR(IF(PAC!$X221="F01 - CAPTAÇÃO DE RECURSO",1,""),"")</f>
        <v/>
      </c>
      <c r="AY221" s="194">
        <f>IFERROR(IF(PAC!$X221="F02 - LICITAÇÃO",1,""),"")</f>
        <v>1</v>
      </c>
      <c r="AZ221" s="123" t="str">
        <f>IFERROR(IF(PAC!$X$6:$X$581="F03 - EXECUÇÃO DO OBJETO",1,""),"")</f>
        <v/>
      </c>
      <c r="BA221" s="123" t="str">
        <f>IFERROR(IF(PAC!$X$6:$X$581="F04 - CONCLUÍDA",1,""),"")</f>
        <v/>
      </c>
      <c r="BB221" s="191">
        <f>IF(PAC!$R221&gt;0,0,PAC!$Q221)</f>
        <v>0</v>
      </c>
    </row>
    <row r="222" spans="1:54" s="1" customFormat="1" ht="63" hidden="1" customHeight="1" thickBot="1">
      <c r="A222" s="88">
        <f t="shared" si="3"/>
        <v>217</v>
      </c>
      <c r="B222" s="88">
        <v>2025</v>
      </c>
      <c r="C222" s="88" t="s">
        <v>605</v>
      </c>
      <c r="D222" s="88" t="s">
        <v>1010</v>
      </c>
      <c r="E222" s="102" t="s">
        <v>796</v>
      </c>
      <c r="F222" s="88" t="s">
        <v>53</v>
      </c>
      <c r="G222" s="88" t="s">
        <v>503</v>
      </c>
      <c r="H222" s="40" t="s">
        <v>1244</v>
      </c>
      <c r="I222" s="88" t="s">
        <v>1238</v>
      </c>
      <c r="J222" s="88" t="s">
        <v>361</v>
      </c>
      <c r="K222" s="18">
        <v>3615409.18</v>
      </c>
      <c r="L222" s="18">
        <v>3615409.18</v>
      </c>
      <c r="M222" s="18"/>
      <c r="N222" s="18"/>
      <c r="O222" s="18"/>
      <c r="P222" s="18"/>
      <c r="Q222" s="20">
        <f>SUM(PAC!$M222:$P222)</f>
        <v>0</v>
      </c>
      <c r="R222" s="20"/>
      <c r="S222" s="20">
        <f>IF(PAC!$R222&gt;0,PAC!$R222,PAC!$Q222)</f>
        <v>0</v>
      </c>
      <c r="T222" s="20"/>
      <c r="U222" s="103" t="s">
        <v>1574</v>
      </c>
      <c r="V222" s="103"/>
      <c r="W222" s="104"/>
      <c r="X222" s="104" t="s">
        <v>1419</v>
      </c>
      <c r="Y222" s="101" t="s">
        <v>2478</v>
      </c>
      <c r="Z222" s="87"/>
      <c r="AA222" s="105"/>
      <c r="AB222" s="108"/>
      <c r="AC222" s="40"/>
      <c r="AD222" s="106"/>
      <c r="AE222" s="102"/>
      <c r="AF222" s="40" t="s">
        <v>988</v>
      </c>
      <c r="AG222" s="40"/>
      <c r="AH222" s="40"/>
      <c r="AI222" s="40"/>
      <c r="AJ222" s="87"/>
      <c r="AK222" s="40"/>
      <c r="AL222" s="40"/>
      <c r="AM222" s="40" t="s">
        <v>716</v>
      </c>
      <c r="AN222" s="87"/>
      <c r="AO222" s="87"/>
      <c r="AP222" s="87"/>
      <c r="AQ222" s="87"/>
      <c r="AR222" s="107"/>
      <c r="AS222" s="107"/>
      <c r="AT222" s="103" t="s">
        <v>518</v>
      </c>
      <c r="AU222" s="108"/>
      <c r="AV222" s="106"/>
      <c r="AW222" s="108" t="s">
        <v>836</v>
      </c>
      <c r="AX222" s="109">
        <f>IFERROR(IF(PAC!$X222="F01 - CAPTAÇÃO DE RECURSO",1,""),"")</f>
        <v>1</v>
      </c>
      <c r="AY222" s="109" t="str">
        <f>IFERROR(IF(PAC!$X222="F02 - LICITAÇÃO",1,""),"")</f>
        <v/>
      </c>
      <c r="AZ222" s="110" t="str">
        <f>IFERROR(IF(PAC!$X$6:$X$581="F03 - EXECUÇÃO DO OBJETO",1,""),"")</f>
        <v/>
      </c>
      <c r="BA222" s="110" t="str">
        <f>IFERROR(IF(PAC!$X$6:$X$581="F04 - CONCLUÍDA",1,""),"")</f>
        <v/>
      </c>
      <c r="BB222" s="111">
        <f>IF(PAC!$R222&gt;0,0,PAC!$Q222)</f>
        <v>0</v>
      </c>
    </row>
    <row r="223" spans="1:54" s="1" customFormat="1" ht="399.75" hidden="1" customHeight="1" thickBot="1">
      <c r="A223" s="112">
        <f t="shared" si="3"/>
        <v>218</v>
      </c>
      <c r="B223" s="112">
        <v>2025</v>
      </c>
      <c r="C223" s="112" t="s">
        <v>605</v>
      </c>
      <c r="D223" s="112" t="s">
        <v>1010</v>
      </c>
      <c r="E223" s="114" t="s">
        <v>797</v>
      </c>
      <c r="F223" s="112" t="s">
        <v>53</v>
      </c>
      <c r="G223" s="112" t="s">
        <v>503</v>
      </c>
      <c r="H223" s="115" t="s">
        <v>1244</v>
      </c>
      <c r="I223" s="112" t="s">
        <v>1238</v>
      </c>
      <c r="J223" s="112" t="s">
        <v>361</v>
      </c>
      <c r="K223" s="31">
        <v>1301265.95</v>
      </c>
      <c r="L223" s="31">
        <v>1301265.95</v>
      </c>
      <c r="M223" s="31"/>
      <c r="N223" s="31"/>
      <c r="O223" s="31"/>
      <c r="P223" s="31"/>
      <c r="Q223" s="33">
        <f>SUM(PAC!$M223:$P223)</f>
        <v>0</v>
      </c>
      <c r="R223" s="33"/>
      <c r="S223" s="33">
        <f>IF(PAC!$R223&gt;0,PAC!$R223,PAC!$Q223)</f>
        <v>0</v>
      </c>
      <c r="T223" s="33"/>
      <c r="U223" s="116" t="s">
        <v>1574</v>
      </c>
      <c r="V223" s="116"/>
      <c r="W223" s="117"/>
      <c r="X223" s="117" t="s">
        <v>1419</v>
      </c>
      <c r="Y223" s="113" t="s">
        <v>2478</v>
      </c>
      <c r="Z223" s="118"/>
      <c r="AA223" s="119"/>
      <c r="AB223" s="122"/>
      <c r="AC223" s="115"/>
      <c r="AD223" s="120"/>
      <c r="AE223" s="114"/>
      <c r="AF223" s="115" t="s">
        <v>988</v>
      </c>
      <c r="AG223" s="115"/>
      <c r="AH223" s="115"/>
      <c r="AI223" s="115"/>
      <c r="AJ223" s="118"/>
      <c r="AK223" s="115"/>
      <c r="AL223" s="115"/>
      <c r="AM223" s="115" t="s">
        <v>716</v>
      </c>
      <c r="AN223" s="118"/>
      <c r="AO223" s="118"/>
      <c r="AP223" s="118"/>
      <c r="AQ223" s="118"/>
      <c r="AR223" s="121"/>
      <c r="AS223" s="121"/>
      <c r="AT223" s="116" t="s">
        <v>518</v>
      </c>
      <c r="AU223" s="122"/>
      <c r="AV223" s="120"/>
      <c r="AW223" s="122" t="s">
        <v>836</v>
      </c>
      <c r="AX223" s="194">
        <f>IFERROR(IF(PAC!$X223="F01 - CAPTAÇÃO DE RECURSO",1,""),"")</f>
        <v>1</v>
      </c>
      <c r="AY223" s="194" t="str">
        <f>IFERROR(IF(PAC!$X223="F02 - LICITAÇÃO",1,""),"")</f>
        <v/>
      </c>
      <c r="AZ223" s="123" t="str">
        <f>IFERROR(IF(PAC!$X$6:$X$581="F03 - EXECUÇÃO DO OBJETO",1,""),"")</f>
        <v/>
      </c>
      <c r="BA223" s="123" t="str">
        <f>IFERROR(IF(PAC!$X$6:$X$581="F04 - CONCLUÍDA",1,""),"")</f>
        <v/>
      </c>
      <c r="BB223" s="191">
        <f>IF(PAC!$R223&gt;0,0,PAC!$Q223)</f>
        <v>0</v>
      </c>
    </row>
    <row r="224" spans="1:54" s="1" customFormat="1" ht="63" hidden="1" customHeight="1" thickBot="1">
      <c r="A224" s="88">
        <f t="shared" si="3"/>
        <v>219</v>
      </c>
      <c r="B224" s="88">
        <v>2025</v>
      </c>
      <c r="C224" s="88" t="s">
        <v>605</v>
      </c>
      <c r="D224" s="88" t="s">
        <v>1010</v>
      </c>
      <c r="E224" s="102" t="s">
        <v>2040</v>
      </c>
      <c r="F224" s="88" t="s">
        <v>53</v>
      </c>
      <c r="G224" s="88" t="s">
        <v>503</v>
      </c>
      <c r="H224" s="40" t="s">
        <v>1244</v>
      </c>
      <c r="I224" s="88" t="s">
        <v>1238</v>
      </c>
      <c r="J224" s="88" t="s">
        <v>361</v>
      </c>
      <c r="K224" s="18"/>
      <c r="L224" s="18">
        <v>1941344.49</v>
      </c>
      <c r="M224" s="18">
        <v>1941344.49</v>
      </c>
      <c r="N224" s="18"/>
      <c r="O224" s="18"/>
      <c r="P224" s="18"/>
      <c r="Q224" s="20">
        <f>SUM(PAC!$M224:$P224)</f>
        <v>1941344.49</v>
      </c>
      <c r="R224" s="20">
        <v>864443.1</v>
      </c>
      <c r="S224" s="20">
        <f>IF(PAC!$R224&gt;0,PAC!$R224,PAC!$Q224)</f>
        <v>864443.1</v>
      </c>
      <c r="T224" s="20" t="s">
        <v>1590</v>
      </c>
      <c r="U224" s="103" t="s">
        <v>1570</v>
      </c>
      <c r="V224" s="103"/>
      <c r="W224" s="104">
        <v>7</v>
      </c>
      <c r="X224" s="104" t="s">
        <v>1418</v>
      </c>
      <c r="Y224" s="101" t="s">
        <v>2472</v>
      </c>
      <c r="Z224" s="87"/>
      <c r="AA224" s="105"/>
      <c r="AB224" s="108" t="s">
        <v>1469</v>
      </c>
      <c r="AC224" s="40" t="s">
        <v>2694</v>
      </c>
      <c r="AD224" s="106"/>
      <c r="AE224" s="102" t="s">
        <v>2695</v>
      </c>
      <c r="AF224" s="40" t="s">
        <v>1637</v>
      </c>
      <c r="AG224" s="40" t="s">
        <v>1701</v>
      </c>
      <c r="AH224" s="40" t="s">
        <v>977</v>
      </c>
      <c r="AI224" s="40"/>
      <c r="AJ224" s="87"/>
      <c r="AK224" s="40" t="s">
        <v>1682</v>
      </c>
      <c r="AL224" s="40" t="s">
        <v>2093</v>
      </c>
      <c r="AM224" s="40" t="s">
        <v>716</v>
      </c>
      <c r="AN224" s="87">
        <v>46143</v>
      </c>
      <c r="AO224" s="87">
        <v>46189</v>
      </c>
      <c r="AP224" s="87">
        <v>46253</v>
      </c>
      <c r="AQ224" s="87"/>
      <c r="AR224" s="107"/>
      <c r="AS224" s="107"/>
      <c r="AT224" s="103" t="s">
        <v>2687</v>
      </c>
      <c r="AU224" s="108" t="s">
        <v>2712</v>
      </c>
      <c r="AV224" s="106"/>
      <c r="AW224" s="108" t="s">
        <v>707</v>
      </c>
      <c r="AX224" s="109" t="str">
        <f>IFERROR(IF(PAC!$X224="F01 - CAPTAÇÃO DE RECURSO",1,""),"")</f>
        <v/>
      </c>
      <c r="AY224" s="109">
        <f>IFERROR(IF(PAC!$X224="F02 - LICITAÇÃO",1,""),"")</f>
        <v>1</v>
      </c>
      <c r="AZ224" s="110" t="str">
        <f>IFERROR(IF(PAC!$X$6:$X$581="F03 - EXECUÇÃO DO OBJETO",1,""),"")</f>
        <v/>
      </c>
      <c r="BA224" s="110" t="str">
        <f>IFERROR(IF(PAC!$X$6:$X$581="F04 - CONCLUÍDA",1,""),"")</f>
        <v/>
      </c>
      <c r="BB224" s="111">
        <f>IF(PAC!$R224&gt;0,0,PAC!$Q224)</f>
        <v>0</v>
      </c>
    </row>
    <row r="225" spans="1:54" s="1" customFormat="1" ht="409.6" hidden="1" customHeight="1" thickBot="1">
      <c r="A225" s="112">
        <f t="shared" si="3"/>
        <v>220</v>
      </c>
      <c r="B225" s="112">
        <v>2025</v>
      </c>
      <c r="C225" s="112" t="s">
        <v>605</v>
      </c>
      <c r="D225" s="112" t="s">
        <v>1010</v>
      </c>
      <c r="E225" s="114" t="s">
        <v>2802</v>
      </c>
      <c r="F225" s="112" t="s">
        <v>53</v>
      </c>
      <c r="G225" s="112" t="s">
        <v>503</v>
      </c>
      <c r="H225" s="115" t="s">
        <v>1244</v>
      </c>
      <c r="I225" s="112" t="s">
        <v>1238</v>
      </c>
      <c r="J225" s="112" t="s">
        <v>361</v>
      </c>
      <c r="K225" s="31"/>
      <c r="L225" s="31">
        <v>5416079.9000000004</v>
      </c>
      <c r="M225" s="31">
        <v>5416079.9000000004</v>
      </c>
      <c r="N225" s="31"/>
      <c r="O225" s="31"/>
      <c r="P225" s="31"/>
      <c r="Q225" s="33">
        <f>SUM(PAC!$M225:$P225)</f>
        <v>5416079.9000000004</v>
      </c>
      <c r="R225" s="33"/>
      <c r="S225" s="33">
        <f>IF(PAC!$R225&gt;0,PAC!$R225,PAC!$Q225)</f>
        <v>5416079.9000000004</v>
      </c>
      <c r="T225" s="33"/>
      <c r="U225" s="116" t="s">
        <v>1570</v>
      </c>
      <c r="V225" s="116"/>
      <c r="W225" s="117"/>
      <c r="X225" s="117" t="s">
        <v>1419</v>
      </c>
      <c r="Y225" s="113" t="s">
        <v>2473</v>
      </c>
      <c r="Z225" s="118"/>
      <c r="AA225" s="119"/>
      <c r="AB225" s="122" t="s">
        <v>1459</v>
      </c>
      <c r="AC225" s="115" t="s">
        <v>2531</v>
      </c>
      <c r="AD225" s="120"/>
      <c r="AE225" s="114" t="s">
        <v>2434</v>
      </c>
      <c r="AF225" s="115" t="s">
        <v>1637</v>
      </c>
      <c r="AG225" s="115" t="s">
        <v>1701</v>
      </c>
      <c r="AH225" s="115" t="s">
        <v>977</v>
      </c>
      <c r="AI225" s="115"/>
      <c r="AJ225" s="118"/>
      <c r="AK225" s="115" t="s">
        <v>1683</v>
      </c>
      <c r="AL225" s="115" t="s">
        <v>2100</v>
      </c>
      <c r="AM225" s="115" t="s">
        <v>716</v>
      </c>
      <c r="AN225" s="118">
        <v>46265</v>
      </c>
      <c r="AO225" s="118"/>
      <c r="AP225" s="118"/>
      <c r="AQ225" s="118"/>
      <c r="AR225" s="121"/>
      <c r="AS225" s="121"/>
      <c r="AT225" s="116" t="s">
        <v>2803</v>
      </c>
      <c r="AU225" s="122" t="s">
        <v>2693</v>
      </c>
      <c r="AV225" s="120"/>
      <c r="AW225" s="122" t="s">
        <v>836</v>
      </c>
      <c r="AX225" s="194">
        <f>IFERROR(IF(PAC!$X225="F01 - CAPTAÇÃO DE RECURSO",1,""),"")</f>
        <v>1</v>
      </c>
      <c r="AY225" s="194" t="str">
        <f>IFERROR(IF(PAC!$X225="F02 - LICITAÇÃO",1,""),"")</f>
        <v/>
      </c>
      <c r="AZ225" s="123" t="str">
        <f>IFERROR(IF(PAC!$X$6:$X$581="F03 - EXECUÇÃO DO OBJETO",1,""),"")</f>
        <v/>
      </c>
      <c r="BA225" s="123" t="str">
        <f>IFERROR(IF(PAC!$X$6:$X$581="F04 - CONCLUÍDA",1,""),"")</f>
        <v/>
      </c>
      <c r="BB225" s="191">
        <f>IF(PAC!$R225&gt;0,0,PAC!$Q225)</f>
        <v>5416079.9000000004</v>
      </c>
    </row>
    <row r="226" spans="1:54" s="1" customFormat="1" ht="63" hidden="1" customHeight="1" thickBot="1">
      <c r="A226" s="88">
        <f t="shared" si="3"/>
        <v>221</v>
      </c>
      <c r="B226" s="88">
        <v>2025</v>
      </c>
      <c r="C226" s="88" t="s">
        <v>605</v>
      </c>
      <c r="D226" s="88" t="s">
        <v>1010</v>
      </c>
      <c r="E226" s="102" t="s">
        <v>798</v>
      </c>
      <c r="F226" s="88" t="s">
        <v>53</v>
      </c>
      <c r="G226" s="88" t="s">
        <v>503</v>
      </c>
      <c r="H226" s="40" t="s">
        <v>1244</v>
      </c>
      <c r="I226" s="88" t="s">
        <v>1238</v>
      </c>
      <c r="J226" s="88" t="s">
        <v>361</v>
      </c>
      <c r="K226" s="18">
        <v>1623703.54</v>
      </c>
      <c r="L226" s="18">
        <v>1623703.54</v>
      </c>
      <c r="M226" s="18"/>
      <c r="N226" s="18"/>
      <c r="O226" s="18"/>
      <c r="P226" s="18"/>
      <c r="Q226" s="20">
        <f>SUM(PAC!$M226:$P226)</f>
        <v>0</v>
      </c>
      <c r="R226" s="20"/>
      <c r="S226" s="20">
        <f>IF(PAC!$R226&gt;0,PAC!$R226,PAC!$Q226)</f>
        <v>0</v>
      </c>
      <c r="T226" s="20"/>
      <c r="U226" s="103" t="s">
        <v>1574</v>
      </c>
      <c r="V226" s="103"/>
      <c r="W226" s="104"/>
      <c r="X226" s="104" t="s">
        <v>1419</v>
      </c>
      <c r="Y226" s="101" t="s">
        <v>2478</v>
      </c>
      <c r="Z226" s="87"/>
      <c r="AA226" s="105"/>
      <c r="AB226" s="108"/>
      <c r="AC226" s="40"/>
      <c r="AD226" s="106"/>
      <c r="AE226" s="102"/>
      <c r="AF226" s="40" t="s">
        <v>988</v>
      </c>
      <c r="AG226" s="40"/>
      <c r="AH226" s="40"/>
      <c r="AI226" s="40"/>
      <c r="AJ226" s="87"/>
      <c r="AK226" s="40"/>
      <c r="AL226" s="40"/>
      <c r="AM226" s="40" t="s">
        <v>716</v>
      </c>
      <c r="AN226" s="87"/>
      <c r="AO226" s="87"/>
      <c r="AP226" s="87"/>
      <c r="AQ226" s="87"/>
      <c r="AR226" s="107"/>
      <c r="AS226" s="107"/>
      <c r="AT226" s="103" t="s">
        <v>518</v>
      </c>
      <c r="AU226" s="108"/>
      <c r="AV226" s="106"/>
      <c r="AW226" s="108" t="s">
        <v>838</v>
      </c>
      <c r="AX226" s="109">
        <f>IFERROR(IF(PAC!$X226="F01 - CAPTAÇÃO DE RECURSO",1,""),"")</f>
        <v>1</v>
      </c>
      <c r="AY226" s="109" t="str">
        <f>IFERROR(IF(PAC!$X226="F02 - LICITAÇÃO",1,""),"")</f>
        <v/>
      </c>
      <c r="AZ226" s="110" t="str">
        <f>IFERROR(IF(PAC!$X$6:$X$581="F03 - EXECUÇÃO DO OBJETO",1,""),"")</f>
        <v/>
      </c>
      <c r="BA226" s="110" t="str">
        <f>IFERROR(IF(PAC!$X$6:$X$581="F04 - CONCLUÍDA",1,""),"")</f>
        <v/>
      </c>
      <c r="BB226" s="111">
        <f>IF(PAC!$R226&gt;0,0,PAC!$Q226)</f>
        <v>0</v>
      </c>
    </row>
    <row r="227" spans="1:54" s="1" customFormat="1" ht="63" hidden="1" customHeight="1" thickBot="1">
      <c r="A227" s="112">
        <f t="shared" si="3"/>
        <v>222</v>
      </c>
      <c r="B227" s="112">
        <v>2025</v>
      </c>
      <c r="C227" s="112" t="s">
        <v>605</v>
      </c>
      <c r="D227" s="112" t="s">
        <v>1010</v>
      </c>
      <c r="E227" s="114" t="s">
        <v>799</v>
      </c>
      <c r="F227" s="112" t="s">
        <v>53</v>
      </c>
      <c r="G227" s="112" t="s">
        <v>503</v>
      </c>
      <c r="H227" s="115" t="s">
        <v>1244</v>
      </c>
      <c r="I227" s="112" t="s">
        <v>1238</v>
      </c>
      <c r="J227" s="112" t="s">
        <v>361</v>
      </c>
      <c r="K227" s="31">
        <v>1435667.9</v>
      </c>
      <c r="L227" s="31">
        <v>1435667.9</v>
      </c>
      <c r="M227" s="31"/>
      <c r="N227" s="31"/>
      <c r="O227" s="31"/>
      <c r="P227" s="31"/>
      <c r="Q227" s="33">
        <f>SUM(PAC!$M227:$P227)</f>
        <v>0</v>
      </c>
      <c r="R227" s="33"/>
      <c r="S227" s="33">
        <f>IF(PAC!$R227&gt;0,PAC!$R227,PAC!$Q227)</f>
        <v>0</v>
      </c>
      <c r="T227" s="33"/>
      <c r="U227" s="116" t="s">
        <v>1574</v>
      </c>
      <c r="V227" s="116"/>
      <c r="W227" s="117"/>
      <c r="X227" s="117" t="s">
        <v>1419</v>
      </c>
      <c r="Y227" s="113" t="s">
        <v>2478</v>
      </c>
      <c r="Z227" s="118"/>
      <c r="AA227" s="119"/>
      <c r="AB227" s="122"/>
      <c r="AC227" s="115"/>
      <c r="AD227" s="120"/>
      <c r="AE227" s="114"/>
      <c r="AF227" s="115" t="s">
        <v>988</v>
      </c>
      <c r="AG227" s="115"/>
      <c r="AH227" s="115"/>
      <c r="AI227" s="115"/>
      <c r="AJ227" s="118"/>
      <c r="AK227" s="115"/>
      <c r="AL227" s="115"/>
      <c r="AM227" s="115" t="s">
        <v>716</v>
      </c>
      <c r="AN227" s="118"/>
      <c r="AO227" s="118"/>
      <c r="AP227" s="118"/>
      <c r="AQ227" s="118"/>
      <c r="AR227" s="121"/>
      <c r="AS227" s="121"/>
      <c r="AT227" s="116" t="s">
        <v>518</v>
      </c>
      <c r="AU227" s="122"/>
      <c r="AV227" s="120"/>
      <c r="AW227" s="122" t="s">
        <v>838</v>
      </c>
      <c r="AX227" s="194">
        <f>IFERROR(IF(PAC!$X227="F01 - CAPTAÇÃO DE RECURSO",1,""),"")</f>
        <v>1</v>
      </c>
      <c r="AY227" s="194" t="str">
        <f>IFERROR(IF(PAC!$X227="F02 - LICITAÇÃO",1,""),"")</f>
        <v/>
      </c>
      <c r="AZ227" s="123" t="str">
        <f>IFERROR(IF(PAC!$X$6:$X$581="F03 - EXECUÇÃO DO OBJETO",1,""),"")</f>
        <v/>
      </c>
      <c r="BA227" s="123" t="str">
        <f>IFERROR(IF(PAC!$X$6:$X$581="F04 - CONCLUÍDA",1,""),"")</f>
        <v/>
      </c>
      <c r="BB227" s="191">
        <f>IF(PAC!$R227&gt;0,0,PAC!$Q227)</f>
        <v>0</v>
      </c>
    </row>
    <row r="228" spans="1:54" s="1" customFormat="1" ht="63" hidden="1" customHeight="1" thickBot="1">
      <c r="A228" s="88">
        <f t="shared" si="3"/>
        <v>223</v>
      </c>
      <c r="B228" s="88">
        <v>2025</v>
      </c>
      <c r="C228" s="88" t="s">
        <v>605</v>
      </c>
      <c r="D228" s="88" t="s">
        <v>1010</v>
      </c>
      <c r="E228" s="102" t="s">
        <v>800</v>
      </c>
      <c r="F228" s="88" t="s">
        <v>53</v>
      </c>
      <c r="G228" s="88" t="s">
        <v>503</v>
      </c>
      <c r="H228" s="40" t="s">
        <v>1244</v>
      </c>
      <c r="I228" s="88" t="s">
        <v>1238</v>
      </c>
      <c r="J228" s="88" t="s">
        <v>361</v>
      </c>
      <c r="K228" s="18">
        <v>1565321</v>
      </c>
      <c r="L228" s="18">
        <v>1565321</v>
      </c>
      <c r="M228" s="18"/>
      <c r="N228" s="18"/>
      <c r="O228" s="18"/>
      <c r="P228" s="18"/>
      <c r="Q228" s="20">
        <f>SUM(PAC!$M228:$P228)</f>
        <v>0</v>
      </c>
      <c r="R228" s="20"/>
      <c r="S228" s="20">
        <f>IF(PAC!$R228&gt;0,PAC!$R228,PAC!$Q228)</f>
        <v>0</v>
      </c>
      <c r="T228" s="20"/>
      <c r="U228" s="103" t="s">
        <v>1574</v>
      </c>
      <c r="V228" s="103"/>
      <c r="W228" s="104"/>
      <c r="X228" s="104" t="s">
        <v>1419</v>
      </c>
      <c r="Y228" s="101" t="s">
        <v>2478</v>
      </c>
      <c r="Z228" s="87"/>
      <c r="AA228" s="105"/>
      <c r="AB228" s="108"/>
      <c r="AC228" s="40"/>
      <c r="AD228" s="106"/>
      <c r="AE228" s="102"/>
      <c r="AF228" s="40" t="s">
        <v>988</v>
      </c>
      <c r="AG228" s="40"/>
      <c r="AH228" s="40"/>
      <c r="AI228" s="40"/>
      <c r="AJ228" s="87"/>
      <c r="AK228" s="40"/>
      <c r="AL228" s="40"/>
      <c r="AM228" s="40" t="s">
        <v>716</v>
      </c>
      <c r="AN228" s="87"/>
      <c r="AO228" s="87"/>
      <c r="AP228" s="87"/>
      <c r="AQ228" s="87"/>
      <c r="AR228" s="107"/>
      <c r="AS228" s="107"/>
      <c r="AT228" s="103" t="s">
        <v>518</v>
      </c>
      <c r="AU228" s="108"/>
      <c r="AV228" s="106"/>
      <c r="AW228" s="108" t="s">
        <v>838</v>
      </c>
      <c r="AX228" s="109">
        <f>IFERROR(IF(PAC!$X228="F01 - CAPTAÇÃO DE RECURSO",1,""),"")</f>
        <v>1</v>
      </c>
      <c r="AY228" s="109" t="str">
        <f>IFERROR(IF(PAC!$X228="F02 - LICITAÇÃO",1,""),"")</f>
        <v/>
      </c>
      <c r="AZ228" s="110" t="str">
        <f>IFERROR(IF(PAC!$X$6:$X$581="F03 - EXECUÇÃO DO OBJETO",1,""),"")</f>
        <v/>
      </c>
      <c r="BA228" s="110" t="str">
        <f>IFERROR(IF(PAC!$X$6:$X$581="F04 - CONCLUÍDA",1,""),"")</f>
        <v/>
      </c>
      <c r="BB228" s="111">
        <f>IF(PAC!$R228&gt;0,0,PAC!$Q228)</f>
        <v>0</v>
      </c>
    </row>
    <row r="229" spans="1:54" s="1" customFormat="1" ht="63" hidden="1" customHeight="1" thickBot="1">
      <c r="A229" s="112">
        <f t="shared" si="3"/>
        <v>224</v>
      </c>
      <c r="B229" s="112">
        <v>2025</v>
      </c>
      <c r="C229" s="112" t="s">
        <v>605</v>
      </c>
      <c r="D229" s="112" t="s">
        <v>1010</v>
      </c>
      <c r="E229" s="114" t="s">
        <v>801</v>
      </c>
      <c r="F229" s="112" t="s">
        <v>53</v>
      </c>
      <c r="G229" s="112" t="s">
        <v>503</v>
      </c>
      <c r="H229" s="115" t="s">
        <v>1244</v>
      </c>
      <c r="I229" s="112" t="s">
        <v>1238</v>
      </c>
      <c r="J229" s="112" t="s">
        <v>361</v>
      </c>
      <c r="K229" s="31">
        <v>1643723.45</v>
      </c>
      <c r="L229" s="31">
        <v>1643723.45</v>
      </c>
      <c r="M229" s="31"/>
      <c r="N229" s="31"/>
      <c r="O229" s="31"/>
      <c r="P229" s="31"/>
      <c r="Q229" s="33">
        <f>SUM(PAC!$M229:$P229)</f>
        <v>0</v>
      </c>
      <c r="R229" s="33"/>
      <c r="S229" s="33">
        <f>IF(PAC!$R229&gt;0,PAC!$R229,PAC!$Q229)</f>
        <v>0</v>
      </c>
      <c r="T229" s="33"/>
      <c r="U229" s="116" t="s">
        <v>1574</v>
      </c>
      <c r="V229" s="116"/>
      <c r="W229" s="117"/>
      <c r="X229" s="117" t="s">
        <v>1419</v>
      </c>
      <c r="Y229" s="113" t="s">
        <v>2478</v>
      </c>
      <c r="Z229" s="118"/>
      <c r="AA229" s="119"/>
      <c r="AB229" s="122"/>
      <c r="AC229" s="115"/>
      <c r="AD229" s="120"/>
      <c r="AE229" s="114"/>
      <c r="AF229" s="115" t="s">
        <v>988</v>
      </c>
      <c r="AG229" s="115"/>
      <c r="AH229" s="115"/>
      <c r="AI229" s="115"/>
      <c r="AJ229" s="118"/>
      <c r="AK229" s="115"/>
      <c r="AL229" s="115"/>
      <c r="AM229" s="115" t="s">
        <v>716</v>
      </c>
      <c r="AN229" s="118"/>
      <c r="AO229" s="118"/>
      <c r="AP229" s="118"/>
      <c r="AQ229" s="118"/>
      <c r="AR229" s="121"/>
      <c r="AS229" s="121"/>
      <c r="AT229" s="116" t="s">
        <v>518</v>
      </c>
      <c r="AU229" s="122"/>
      <c r="AV229" s="120"/>
      <c r="AW229" s="122" t="s">
        <v>838</v>
      </c>
      <c r="AX229" s="194">
        <f>IFERROR(IF(PAC!$X229="F01 - CAPTAÇÃO DE RECURSO",1,""),"")</f>
        <v>1</v>
      </c>
      <c r="AY229" s="194" t="str">
        <f>IFERROR(IF(PAC!$X229="F02 - LICITAÇÃO",1,""),"")</f>
        <v/>
      </c>
      <c r="AZ229" s="123" t="str">
        <f>IFERROR(IF(PAC!$X$6:$X$581="F03 - EXECUÇÃO DO OBJETO",1,""),"")</f>
        <v/>
      </c>
      <c r="BA229" s="123" t="str">
        <f>IFERROR(IF(PAC!$X$6:$X$581="F04 - CONCLUÍDA",1,""),"")</f>
        <v/>
      </c>
      <c r="BB229" s="191">
        <f>IF(PAC!$R229&gt;0,0,PAC!$Q229)</f>
        <v>0</v>
      </c>
    </row>
    <row r="230" spans="1:54" s="1" customFormat="1" ht="409.6" hidden="1" customHeight="1" thickBot="1">
      <c r="A230" s="88">
        <f t="shared" si="3"/>
        <v>225</v>
      </c>
      <c r="B230" s="88">
        <v>2025</v>
      </c>
      <c r="C230" s="88" t="s">
        <v>605</v>
      </c>
      <c r="D230" s="88" t="s">
        <v>1010</v>
      </c>
      <c r="E230" s="102" t="s">
        <v>2039</v>
      </c>
      <c r="F230" s="88" t="s">
        <v>53</v>
      </c>
      <c r="G230" s="88" t="s">
        <v>503</v>
      </c>
      <c r="H230" s="40" t="s">
        <v>1244</v>
      </c>
      <c r="I230" s="88" t="s">
        <v>1238</v>
      </c>
      <c r="J230" s="88" t="s">
        <v>361</v>
      </c>
      <c r="K230" s="18"/>
      <c r="L230" s="18">
        <v>1623735.1</v>
      </c>
      <c r="M230" s="18">
        <v>1623735.1</v>
      </c>
      <c r="N230" s="18"/>
      <c r="O230" s="18"/>
      <c r="P230" s="18"/>
      <c r="Q230" s="20">
        <f>SUM(PAC!$M230:$P230)</f>
        <v>1623735.1</v>
      </c>
      <c r="R230" s="20">
        <v>795381.65</v>
      </c>
      <c r="S230" s="20">
        <f>IF(PAC!$R230&gt;0,PAC!$R230,PAC!$Q230)</f>
        <v>795381.65</v>
      </c>
      <c r="T230" s="20" t="s">
        <v>1590</v>
      </c>
      <c r="U230" s="103" t="s">
        <v>1570</v>
      </c>
      <c r="V230" s="103"/>
      <c r="W230" s="104">
        <v>5</v>
      </c>
      <c r="X230" s="104" t="s">
        <v>1418</v>
      </c>
      <c r="Y230" s="101" t="s">
        <v>2472</v>
      </c>
      <c r="Z230" s="87"/>
      <c r="AA230" s="105"/>
      <c r="AB230" s="108" t="s">
        <v>1469</v>
      </c>
      <c r="AC230" s="40" t="s">
        <v>2694</v>
      </c>
      <c r="AD230" s="106"/>
      <c r="AE230" s="102" t="s">
        <v>2713</v>
      </c>
      <c r="AF230" s="40" t="s">
        <v>1637</v>
      </c>
      <c r="AG230" s="40" t="s">
        <v>1701</v>
      </c>
      <c r="AH230" s="40" t="s">
        <v>977</v>
      </c>
      <c r="AI230" s="40"/>
      <c r="AJ230" s="87"/>
      <c r="AK230" s="40" t="s">
        <v>2007</v>
      </c>
      <c r="AL230" s="40" t="s">
        <v>2094</v>
      </c>
      <c r="AM230" s="40" t="s">
        <v>716</v>
      </c>
      <c r="AN230" s="87">
        <v>46143</v>
      </c>
      <c r="AO230" s="87">
        <v>46189</v>
      </c>
      <c r="AP230" s="87">
        <v>46253</v>
      </c>
      <c r="AQ230" s="87"/>
      <c r="AR230" s="107"/>
      <c r="AS230" s="107"/>
      <c r="AT230" s="103" t="s">
        <v>2688</v>
      </c>
      <c r="AU230" s="108" t="s">
        <v>2712</v>
      </c>
      <c r="AV230" s="106"/>
      <c r="AW230" s="108" t="s">
        <v>838</v>
      </c>
      <c r="AX230" s="109" t="str">
        <f>IFERROR(IF(PAC!$X230="F01 - CAPTAÇÃO DE RECURSO",1,""),"")</f>
        <v/>
      </c>
      <c r="AY230" s="109">
        <f>IFERROR(IF(PAC!$X230="F02 - LICITAÇÃO",1,""),"")</f>
        <v>1</v>
      </c>
      <c r="AZ230" s="110" t="str">
        <f>IFERROR(IF(PAC!$X$6:$X$581="F03 - EXECUÇÃO DO OBJETO",1,""),"")</f>
        <v/>
      </c>
      <c r="BA230" s="110" t="str">
        <f>IFERROR(IF(PAC!$X$6:$X$581="F04 - CONCLUÍDA",1,""),"")</f>
        <v/>
      </c>
      <c r="BB230" s="111">
        <f>IF(PAC!$R230&gt;0,0,PAC!$Q230)</f>
        <v>0</v>
      </c>
    </row>
    <row r="231" spans="1:54" s="1" customFormat="1" ht="63" hidden="1" customHeight="1" thickBot="1">
      <c r="A231" s="112">
        <f t="shared" si="3"/>
        <v>226</v>
      </c>
      <c r="B231" s="112">
        <v>2025</v>
      </c>
      <c r="C231" s="112" t="s">
        <v>605</v>
      </c>
      <c r="D231" s="112" t="s">
        <v>1010</v>
      </c>
      <c r="E231" s="114" t="s">
        <v>802</v>
      </c>
      <c r="F231" s="112" t="s">
        <v>53</v>
      </c>
      <c r="G231" s="112" t="s">
        <v>503</v>
      </c>
      <c r="H231" s="115" t="s">
        <v>1244</v>
      </c>
      <c r="I231" s="112" t="s">
        <v>1238</v>
      </c>
      <c r="J231" s="112" t="s">
        <v>361</v>
      </c>
      <c r="K231" s="31">
        <v>2262092.59</v>
      </c>
      <c r="L231" s="31">
        <v>2262092.59</v>
      </c>
      <c r="M231" s="31"/>
      <c r="N231" s="31"/>
      <c r="O231" s="31"/>
      <c r="P231" s="31"/>
      <c r="Q231" s="33">
        <f>SUM(PAC!$M231:$P231)</f>
        <v>0</v>
      </c>
      <c r="R231" s="33"/>
      <c r="S231" s="33">
        <f>IF(PAC!$R231&gt;0,PAC!$R231,PAC!$Q231)</f>
        <v>0</v>
      </c>
      <c r="T231" s="33"/>
      <c r="U231" s="116" t="s">
        <v>1574</v>
      </c>
      <c r="V231" s="116"/>
      <c r="W231" s="117"/>
      <c r="X231" s="117" t="s">
        <v>1419</v>
      </c>
      <c r="Y231" s="113" t="s">
        <v>2478</v>
      </c>
      <c r="Z231" s="118"/>
      <c r="AA231" s="119"/>
      <c r="AB231" s="122"/>
      <c r="AC231" s="115"/>
      <c r="AD231" s="120"/>
      <c r="AE231" s="114"/>
      <c r="AF231" s="115" t="s">
        <v>988</v>
      </c>
      <c r="AG231" s="115"/>
      <c r="AH231" s="115"/>
      <c r="AI231" s="115"/>
      <c r="AJ231" s="118"/>
      <c r="AK231" s="115"/>
      <c r="AL231" s="115"/>
      <c r="AM231" s="115" t="s">
        <v>716</v>
      </c>
      <c r="AN231" s="118"/>
      <c r="AO231" s="118"/>
      <c r="AP231" s="118"/>
      <c r="AQ231" s="118"/>
      <c r="AR231" s="121"/>
      <c r="AS231" s="121"/>
      <c r="AT231" s="116" t="s">
        <v>518</v>
      </c>
      <c r="AU231" s="122"/>
      <c r="AV231" s="120"/>
      <c r="AW231" s="122" t="s">
        <v>836</v>
      </c>
      <c r="AX231" s="194">
        <f>IFERROR(IF(PAC!$X231="F01 - CAPTAÇÃO DE RECURSO",1,""),"")</f>
        <v>1</v>
      </c>
      <c r="AY231" s="194" t="str">
        <f>IFERROR(IF(PAC!$X231="F02 - LICITAÇÃO",1,""),"")</f>
        <v/>
      </c>
      <c r="AZ231" s="123" t="str">
        <f>IFERROR(IF(PAC!$X$6:$X$581="F03 - EXECUÇÃO DO OBJETO",1,""),"")</f>
        <v/>
      </c>
      <c r="BA231" s="123" t="str">
        <f>IFERROR(IF(PAC!$X$6:$X$581="F04 - CONCLUÍDA",1,""),"")</f>
        <v/>
      </c>
      <c r="BB231" s="191">
        <f>IF(PAC!$R231&gt;0,0,PAC!$Q231)</f>
        <v>0</v>
      </c>
    </row>
    <row r="232" spans="1:54" s="1" customFormat="1" ht="63" hidden="1" customHeight="1" thickBot="1">
      <c r="A232" s="88">
        <f t="shared" si="3"/>
        <v>227</v>
      </c>
      <c r="B232" s="88">
        <v>2025</v>
      </c>
      <c r="C232" s="88" t="s">
        <v>605</v>
      </c>
      <c r="D232" s="88" t="s">
        <v>1010</v>
      </c>
      <c r="E232" s="102" t="s">
        <v>803</v>
      </c>
      <c r="F232" s="88" t="s">
        <v>53</v>
      </c>
      <c r="G232" s="88" t="s">
        <v>503</v>
      </c>
      <c r="H232" s="40" t="s">
        <v>1244</v>
      </c>
      <c r="I232" s="88" t="s">
        <v>1238</v>
      </c>
      <c r="J232" s="88" t="s">
        <v>361</v>
      </c>
      <c r="K232" s="18">
        <v>1510875.27</v>
      </c>
      <c r="L232" s="18">
        <v>1510875.27</v>
      </c>
      <c r="M232" s="18"/>
      <c r="N232" s="18"/>
      <c r="O232" s="18"/>
      <c r="P232" s="18"/>
      <c r="Q232" s="20">
        <f>SUM(PAC!$M232:$P232)</f>
        <v>0</v>
      </c>
      <c r="R232" s="20"/>
      <c r="S232" s="20">
        <f>IF(PAC!$R232&gt;0,PAC!$R232,PAC!$Q232)</f>
        <v>0</v>
      </c>
      <c r="T232" s="20"/>
      <c r="U232" s="103" t="s">
        <v>1574</v>
      </c>
      <c r="V232" s="103"/>
      <c r="W232" s="104"/>
      <c r="X232" s="104" t="s">
        <v>1419</v>
      </c>
      <c r="Y232" s="101" t="s">
        <v>2478</v>
      </c>
      <c r="Z232" s="87"/>
      <c r="AA232" s="105"/>
      <c r="AB232" s="108"/>
      <c r="AC232" s="40"/>
      <c r="AD232" s="106"/>
      <c r="AE232" s="102"/>
      <c r="AF232" s="40" t="s">
        <v>988</v>
      </c>
      <c r="AG232" s="40"/>
      <c r="AH232" s="40"/>
      <c r="AI232" s="40"/>
      <c r="AJ232" s="87"/>
      <c r="AK232" s="40"/>
      <c r="AL232" s="40"/>
      <c r="AM232" s="40" t="s">
        <v>716</v>
      </c>
      <c r="AN232" s="87"/>
      <c r="AO232" s="87"/>
      <c r="AP232" s="87"/>
      <c r="AQ232" s="87"/>
      <c r="AR232" s="107"/>
      <c r="AS232" s="107"/>
      <c r="AT232" s="103" t="s">
        <v>518</v>
      </c>
      <c r="AU232" s="108"/>
      <c r="AV232" s="106"/>
      <c r="AW232" s="108" t="s">
        <v>836</v>
      </c>
      <c r="AX232" s="109">
        <f>IFERROR(IF(PAC!$X232="F01 - CAPTAÇÃO DE RECURSO",1,""),"")</f>
        <v>1</v>
      </c>
      <c r="AY232" s="109" t="str">
        <f>IFERROR(IF(PAC!$X232="F02 - LICITAÇÃO",1,""),"")</f>
        <v/>
      </c>
      <c r="AZ232" s="110" t="str">
        <f>IFERROR(IF(PAC!$X$6:$X$581="F03 - EXECUÇÃO DO OBJETO",1,""),"")</f>
        <v/>
      </c>
      <c r="BA232" s="110" t="str">
        <f>IFERROR(IF(PAC!$X$6:$X$581="F04 - CONCLUÍDA",1,""),"")</f>
        <v/>
      </c>
      <c r="BB232" s="111">
        <f>IF(PAC!$R232&gt;0,0,PAC!$Q232)</f>
        <v>0</v>
      </c>
    </row>
    <row r="233" spans="1:54" s="1" customFormat="1" ht="63" hidden="1" customHeight="1" thickBot="1">
      <c r="A233" s="112">
        <f t="shared" si="3"/>
        <v>228</v>
      </c>
      <c r="B233" s="112">
        <v>2025</v>
      </c>
      <c r="C233" s="112" t="s">
        <v>605</v>
      </c>
      <c r="D233" s="112" t="s">
        <v>1010</v>
      </c>
      <c r="E233" s="114" t="s">
        <v>2041</v>
      </c>
      <c r="F233" s="112" t="s">
        <v>53</v>
      </c>
      <c r="G233" s="112" t="s">
        <v>503</v>
      </c>
      <c r="H233" s="115" t="s">
        <v>1244</v>
      </c>
      <c r="I233" s="112" t="s">
        <v>1238</v>
      </c>
      <c r="J233" s="112" t="s">
        <v>361</v>
      </c>
      <c r="K233" s="31"/>
      <c r="L233" s="31">
        <v>2093275.7999999998</v>
      </c>
      <c r="M233" s="31">
        <v>2090275.8</v>
      </c>
      <c r="N233" s="31"/>
      <c r="O233" s="31"/>
      <c r="P233" s="31"/>
      <c r="Q233" s="33">
        <f>SUM(PAC!$M233:$P233)</f>
        <v>2090275.8</v>
      </c>
      <c r="R233" s="33">
        <v>546293.49</v>
      </c>
      <c r="S233" s="33">
        <f>IF(PAC!$R233&gt;0,PAC!$R233,PAC!$Q233)</f>
        <v>546293.49</v>
      </c>
      <c r="T233" s="33" t="s">
        <v>1590</v>
      </c>
      <c r="U233" s="116" t="s">
        <v>1570</v>
      </c>
      <c r="V233" s="116"/>
      <c r="W233" s="117">
        <v>6</v>
      </c>
      <c r="X233" s="117" t="s">
        <v>1418</v>
      </c>
      <c r="Y233" s="113" t="s">
        <v>2472</v>
      </c>
      <c r="Z233" s="118"/>
      <c r="AA233" s="119"/>
      <c r="AB233" s="122" t="s">
        <v>1469</v>
      </c>
      <c r="AC233" s="115" t="s">
        <v>2694</v>
      </c>
      <c r="AD233" s="120"/>
      <c r="AE233" s="114" t="s">
        <v>2713</v>
      </c>
      <c r="AF233" s="115" t="s">
        <v>1637</v>
      </c>
      <c r="AG233" s="115" t="s">
        <v>1701</v>
      </c>
      <c r="AH233" s="115" t="s">
        <v>977</v>
      </c>
      <c r="AI233" s="115"/>
      <c r="AJ233" s="118"/>
      <c r="AK233" s="115" t="s">
        <v>1702</v>
      </c>
      <c r="AL233" s="115" t="s">
        <v>2096</v>
      </c>
      <c r="AM233" s="115" t="s">
        <v>716</v>
      </c>
      <c r="AN233" s="118">
        <v>46143</v>
      </c>
      <c r="AO233" s="118">
        <v>46189</v>
      </c>
      <c r="AP233" s="118">
        <v>46253</v>
      </c>
      <c r="AQ233" s="118"/>
      <c r="AR233" s="121"/>
      <c r="AS233" s="121"/>
      <c r="AT233" s="116" t="s">
        <v>2689</v>
      </c>
      <c r="AU233" s="122" t="s">
        <v>2712</v>
      </c>
      <c r="AV233" s="120"/>
      <c r="AW233" s="122" t="s">
        <v>707</v>
      </c>
      <c r="AX233" s="194" t="str">
        <f>IFERROR(IF(PAC!$X233="F01 - CAPTAÇÃO DE RECURSO",1,""),"")</f>
        <v/>
      </c>
      <c r="AY233" s="194">
        <f>IFERROR(IF(PAC!$X233="F02 - LICITAÇÃO",1,""),"")</f>
        <v>1</v>
      </c>
      <c r="AZ233" s="123" t="str">
        <f>IFERROR(IF(PAC!$X$6:$X$581="F03 - EXECUÇÃO DO OBJETO",1,""),"")</f>
        <v/>
      </c>
      <c r="BA233" s="123" t="str">
        <f>IFERROR(IF(PAC!$X$6:$X$581="F04 - CONCLUÍDA",1,""),"")</f>
        <v/>
      </c>
      <c r="BB233" s="191">
        <f>IF(PAC!$R233&gt;0,0,PAC!$Q233)</f>
        <v>0</v>
      </c>
    </row>
    <row r="234" spans="1:54" s="1" customFormat="1" ht="63" hidden="1" customHeight="1" thickBot="1">
      <c r="A234" s="88">
        <f t="shared" si="3"/>
        <v>229</v>
      </c>
      <c r="B234" s="88">
        <v>2025</v>
      </c>
      <c r="C234" s="88" t="s">
        <v>605</v>
      </c>
      <c r="D234" s="88" t="s">
        <v>1010</v>
      </c>
      <c r="E234" s="102" t="s">
        <v>2796</v>
      </c>
      <c r="F234" s="88" t="s">
        <v>53</v>
      </c>
      <c r="G234" s="88" t="s">
        <v>503</v>
      </c>
      <c r="H234" s="40" t="s">
        <v>1244</v>
      </c>
      <c r="I234" s="88" t="s">
        <v>1238</v>
      </c>
      <c r="J234" s="88" t="s">
        <v>361</v>
      </c>
      <c r="K234" s="18"/>
      <c r="L234" s="18">
        <v>2163515</v>
      </c>
      <c r="M234" s="18">
        <v>2163515</v>
      </c>
      <c r="N234" s="18"/>
      <c r="O234" s="18"/>
      <c r="P234" s="18"/>
      <c r="Q234" s="20">
        <f>SUM(PAC!$M234:$P234)</f>
        <v>2163515</v>
      </c>
      <c r="R234" s="20"/>
      <c r="S234" s="20">
        <f>IF(PAC!$R234&gt;0,PAC!$R234,PAC!$Q234)</f>
        <v>2163515</v>
      </c>
      <c r="T234" s="20"/>
      <c r="U234" s="103" t="s">
        <v>1570</v>
      </c>
      <c r="V234" s="103"/>
      <c r="W234" s="104"/>
      <c r="X234" s="104" t="s">
        <v>1419</v>
      </c>
      <c r="Y234" s="101" t="s">
        <v>2473</v>
      </c>
      <c r="Z234" s="87"/>
      <c r="AA234" s="105"/>
      <c r="AB234" s="108" t="s">
        <v>1459</v>
      </c>
      <c r="AC234" s="40" t="s">
        <v>2532</v>
      </c>
      <c r="AD234" s="106"/>
      <c r="AE234" s="102" t="s">
        <v>2434</v>
      </c>
      <c r="AF234" s="40" t="s">
        <v>1637</v>
      </c>
      <c r="AG234" s="40" t="s">
        <v>1701</v>
      </c>
      <c r="AH234" s="40" t="s">
        <v>977</v>
      </c>
      <c r="AI234" s="40"/>
      <c r="AJ234" s="87"/>
      <c r="AK234" s="40" t="s">
        <v>1703</v>
      </c>
      <c r="AL234" s="40" t="s">
        <v>2101</v>
      </c>
      <c r="AM234" s="40" t="s">
        <v>716</v>
      </c>
      <c r="AN234" s="87">
        <v>46265</v>
      </c>
      <c r="AO234" s="87"/>
      <c r="AP234" s="87"/>
      <c r="AQ234" s="87"/>
      <c r="AR234" s="107"/>
      <c r="AS234" s="107"/>
      <c r="AT234" s="103" t="s">
        <v>2797</v>
      </c>
      <c r="AU234" s="108" t="s">
        <v>2693</v>
      </c>
      <c r="AV234" s="106"/>
      <c r="AW234" s="108" t="s">
        <v>707</v>
      </c>
      <c r="AX234" s="109">
        <f>IFERROR(IF(PAC!$X234="F01 - CAPTAÇÃO DE RECURSO",1,""),"")</f>
        <v>1</v>
      </c>
      <c r="AY234" s="109" t="str">
        <f>IFERROR(IF(PAC!$X234="F02 - LICITAÇÃO",1,""),"")</f>
        <v/>
      </c>
      <c r="AZ234" s="110" t="str">
        <f>IFERROR(IF(PAC!$X$6:$X$581="F03 - EXECUÇÃO DO OBJETO",1,""),"")</f>
        <v/>
      </c>
      <c r="BA234" s="110" t="str">
        <f>IFERROR(IF(PAC!$X$6:$X$581="F04 - CONCLUÍDA",1,""),"")</f>
        <v/>
      </c>
      <c r="BB234" s="111">
        <f>IF(PAC!$R234&gt;0,0,PAC!$Q234)</f>
        <v>2163515</v>
      </c>
    </row>
    <row r="235" spans="1:54" s="1" customFormat="1" ht="63" hidden="1" customHeight="1" thickBot="1">
      <c r="A235" s="112">
        <f t="shared" si="3"/>
        <v>230</v>
      </c>
      <c r="B235" s="112">
        <v>2025</v>
      </c>
      <c r="C235" s="112" t="s">
        <v>605</v>
      </c>
      <c r="D235" s="112" t="s">
        <v>1010</v>
      </c>
      <c r="E235" s="114" t="s">
        <v>804</v>
      </c>
      <c r="F235" s="112" t="s">
        <v>53</v>
      </c>
      <c r="G235" s="112" t="s">
        <v>503</v>
      </c>
      <c r="H235" s="115" t="s">
        <v>1244</v>
      </c>
      <c r="I235" s="112" t="s">
        <v>1238</v>
      </c>
      <c r="J235" s="112" t="s">
        <v>361</v>
      </c>
      <c r="K235" s="31">
        <v>1899144.9000000001</v>
      </c>
      <c r="L235" s="31">
        <v>1899144.9000000001</v>
      </c>
      <c r="M235" s="31"/>
      <c r="N235" s="31"/>
      <c r="O235" s="31"/>
      <c r="P235" s="31"/>
      <c r="Q235" s="33">
        <f>SUM(PAC!$M235:$P235)</f>
        <v>0</v>
      </c>
      <c r="R235" s="33"/>
      <c r="S235" s="33">
        <f>IF(PAC!$R235&gt;0,PAC!$R235,PAC!$Q235)</f>
        <v>0</v>
      </c>
      <c r="T235" s="33"/>
      <c r="U235" s="116" t="s">
        <v>1574</v>
      </c>
      <c r="V235" s="116"/>
      <c r="W235" s="117"/>
      <c r="X235" s="117" t="s">
        <v>1419</v>
      </c>
      <c r="Y235" s="113" t="s">
        <v>2478</v>
      </c>
      <c r="Z235" s="118"/>
      <c r="AA235" s="119"/>
      <c r="AB235" s="122"/>
      <c r="AC235" s="115"/>
      <c r="AD235" s="120"/>
      <c r="AE235" s="114"/>
      <c r="AF235" s="115" t="s">
        <v>988</v>
      </c>
      <c r="AG235" s="115"/>
      <c r="AH235" s="115"/>
      <c r="AI235" s="115"/>
      <c r="AJ235" s="118"/>
      <c r="AK235" s="115"/>
      <c r="AL235" s="115"/>
      <c r="AM235" s="115" t="s">
        <v>716</v>
      </c>
      <c r="AN235" s="118"/>
      <c r="AO235" s="118"/>
      <c r="AP235" s="118"/>
      <c r="AQ235" s="118"/>
      <c r="AR235" s="121"/>
      <c r="AS235" s="121"/>
      <c r="AT235" s="116" t="s">
        <v>518</v>
      </c>
      <c r="AU235" s="122"/>
      <c r="AV235" s="120"/>
      <c r="AW235" s="122" t="s">
        <v>707</v>
      </c>
      <c r="AX235" s="194">
        <f>IFERROR(IF(PAC!$X235="F01 - CAPTAÇÃO DE RECURSO",1,""),"")</f>
        <v>1</v>
      </c>
      <c r="AY235" s="194" t="str">
        <f>IFERROR(IF(PAC!$X235="F02 - LICITAÇÃO",1,""),"")</f>
        <v/>
      </c>
      <c r="AZ235" s="123" t="str">
        <f>IFERROR(IF(PAC!$X$6:$X$581="F03 - EXECUÇÃO DO OBJETO",1,""),"")</f>
        <v/>
      </c>
      <c r="BA235" s="123" t="str">
        <f>IFERROR(IF(PAC!$X$6:$X$581="F04 - CONCLUÍDA",1,""),"")</f>
        <v/>
      </c>
      <c r="BB235" s="191">
        <f>IF(PAC!$R235&gt;0,0,PAC!$Q235)</f>
        <v>0</v>
      </c>
    </row>
    <row r="236" spans="1:54" s="1" customFormat="1" ht="63" hidden="1" customHeight="1" thickBot="1">
      <c r="A236" s="88">
        <f t="shared" si="3"/>
        <v>231</v>
      </c>
      <c r="B236" s="88">
        <v>2025</v>
      </c>
      <c r="C236" s="88" t="s">
        <v>605</v>
      </c>
      <c r="D236" s="88" t="s">
        <v>1010</v>
      </c>
      <c r="E236" s="102" t="s">
        <v>805</v>
      </c>
      <c r="F236" s="88" t="s">
        <v>53</v>
      </c>
      <c r="G236" s="88" t="s">
        <v>503</v>
      </c>
      <c r="H236" s="40" t="s">
        <v>1244</v>
      </c>
      <c r="I236" s="88" t="s">
        <v>1238</v>
      </c>
      <c r="J236" s="88" t="s">
        <v>361</v>
      </c>
      <c r="K236" s="18">
        <v>1569959.79</v>
      </c>
      <c r="L236" s="18">
        <v>1569959.79</v>
      </c>
      <c r="M236" s="18"/>
      <c r="N236" s="18"/>
      <c r="O236" s="18"/>
      <c r="P236" s="18"/>
      <c r="Q236" s="20">
        <f>SUM(PAC!$M236:$P236)</f>
        <v>0</v>
      </c>
      <c r="R236" s="20"/>
      <c r="S236" s="20">
        <f>IF(PAC!$R236&gt;0,PAC!$R236,PAC!$Q236)</f>
        <v>0</v>
      </c>
      <c r="T236" s="20"/>
      <c r="U236" s="103" t="s">
        <v>1574</v>
      </c>
      <c r="V236" s="103"/>
      <c r="W236" s="104"/>
      <c r="X236" s="104" t="s">
        <v>1419</v>
      </c>
      <c r="Y236" s="101" t="s">
        <v>2478</v>
      </c>
      <c r="Z236" s="87"/>
      <c r="AA236" s="105"/>
      <c r="AB236" s="108"/>
      <c r="AC236" s="40"/>
      <c r="AD236" s="106"/>
      <c r="AE236" s="102"/>
      <c r="AF236" s="40" t="s">
        <v>988</v>
      </c>
      <c r="AG236" s="40"/>
      <c r="AH236" s="40"/>
      <c r="AI236" s="40"/>
      <c r="AJ236" s="87"/>
      <c r="AK236" s="40"/>
      <c r="AL236" s="40"/>
      <c r="AM236" s="40" t="s">
        <v>716</v>
      </c>
      <c r="AN236" s="87"/>
      <c r="AO236" s="87"/>
      <c r="AP236" s="87"/>
      <c r="AQ236" s="87"/>
      <c r="AR236" s="107"/>
      <c r="AS236" s="107"/>
      <c r="AT236" s="103" t="s">
        <v>518</v>
      </c>
      <c r="AU236" s="108"/>
      <c r="AV236" s="106"/>
      <c r="AW236" s="108" t="s">
        <v>836</v>
      </c>
      <c r="AX236" s="109">
        <f>IFERROR(IF(PAC!$X236="F01 - CAPTAÇÃO DE RECURSO",1,""),"")</f>
        <v>1</v>
      </c>
      <c r="AY236" s="109" t="str">
        <f>IFERROR(IF(PAC!$X236="F02 - LICITAÇÃO",1,""),"")</f>
        <v/>
      </c>
      <c r="AZ236" s="110" t="str">
        <f>IFERROR(IF(PAC!$X$6:$X$581="F03 - EXECUÇÃO DO OBJETO",1,""),"")</f>
        <v/>
      </c>
      <c r="BA236" s="110" t="str">
        <f>IFERROR(IF(PAC!$X$6:$X$581="F04 - CONCLUÍDA",1,""),"")</f>
        <v/>
      </c>
      <c r="BB236" s="111">
        <f>IF(PAC!$R236&gt;0,0,PAC!$Q236)</f>
        <v>0</v>
      </c>
    </row>
    <row r="237" spans="1:54" s="1" customFormat="1" ht="63" hidden="1" customHeight="1" thickBot="1">
      <c r="A237" s="112">
        <f t="shared" si="3"/>
        <v>232</v>
      </c>
      <c r="B237" s="112">
        <v>2025</v>
      </c>
      <c r="C237" s="112" t="s">
        <v>605</v>
      </c>
      <c r="D237" s="112" t="s">
        <v>1010</v>
      </c>
      <c r="E237" s="114" t="s">
        <v>806</v>
      </c>
      <c r="F237" s="112" t="s">
        <v>53</v>
      </c>
      <c r="G237" s="112" t="s">
        <v>503</v>
      </c>
      <c r="H237" s="115" t="s">
        <v>1244</v>
      </c>
      <c r="I237" s="112" t="s">
        <v>1238</v>
      </c>
      <c r="J237" s="112" t="s">
        <v>361</v>
      </c>
      <c r="K237" s="31">
        <v>4587490.01</v>
      </c>
      <c r="L237" s="31">
        <v>4587490.01</v>
      </c>
      <c r="M237" s="31"/>
      <c r="N237" s="31"/>
      <c r="O237" s="31"/>
      <c r="P237" s="31"/>
      <c r="Q237" s="33">
        <f>SUM(PAC!$M237:$P237)</f>
        <v>0</v>
      </c>
      <c r="R237" s="33"/>
      <c r="S237" s="33">
        <f>IF(PAC!$R237&gt;0,PAC!$R237,PAC!$Q237)</f>
        <v>0</v>
      </c>
      <c r="T237" s="33"/>
      <c r="U237" s="116" t="s">
        <v>1574</v>
      </c>
      <c r="V237" s="116"/>
      <c r="W237" s="117"/>
      <c r="X237" s="117" t="s">
        <v>1419</v>
      </c>
      <c r="Y237" s="113" t="s">
        <v>2478</v>
      </c>
      <c r="Z237" s="118"/>
      <c r="AA237" s="119"/>
      <c r="AB237" s="122"/>
      <c r="AC237" s="115"/>
      <c r="AD237" s="120"/>
      <c r="AE237" s="114"/>
      <c r="AF237" s="115" t="s">
        <v>988</v>
      </c>
      <c r="AG237" s="115"/>
      <c r="AH237" s="115"/>
      <c r="AI237" s="115"/>
      <c r="AJ237" s="118"/>
      <c r="AK237" s="115"/>
      <c r="AL237" s="115"/>
      <c r="AM237" s="115" t="s">
        <v>716</v>
      </c>
      <c r="AN237" s="118"/>
      <c r="AO237" s="118"/>
      <c r="AP237" s="118"/>
      <c r="AQ237" s="118"/>
      <c r="AR237" s="121"/>
      <c r="AS237" s="121"/>
      <c r="AT237" s="116" t="s">
        <v>518</v>
      </c>
      <c r="AU237" s="122"/>
      <c r="AV237" s="120"/>
      <c r="AW237" s="122" t="s">
        <v>836</v>
      </c>
      <c r="AX237" s="194">
        <f>IFERROR(IF(PAC!$X237="F01 - CAPTAÇÃO DE RECURSO",1,""),"")</f>
        <v>1</v>
      </c>
      <c r="AY237" s="194" t="str">
        <f>IFERROR(IF(PAC!$X237="F02 - LICITAÇÃO",1,""),"")</f>
        <v/>
      </c>
      <c r="AZ237" s="123" t="str">
        <f>IFERROR(IF(PAC!$X$6:$X$581="F03 - EXECUÇÃO DO OBJETO",1,""),"")</f>
        <v/>
      </c>
      <c r="BA237" s="123" t="str">
        <f>IFERROR(IF(PAC!$X$6:$X$581="F04 - CONCLUÍDA",1,""),"")</f>
        <v/>
      </c>
      <c r="BB237" s="191">
        <f>IF(PAC!$R237&gt;0,0,PAC!$Q237)</f>
        <v>0</v>
      </c>
    </row>
    <row r="238" spans="1:54" s="1" customFormat="1" ht="63" hidden="1" customHeight="1" thickBot="1">
      <c r="A238" s="88">
        <f t="shared" si="3"/>
        <v>233</v>
      </c>
      <c r="B238" s="88">
        <v>2025</v>
      </c>
      <c r="C238" s="88" t="s">
        <v>605</v>
      </c>
      <c r="D238" s="88" t="s">
        <v>1010</v>
      </c>
      <c r="E238" s="102" t="s">
        <v>850</v>
      </c>
      <c r="F238" s="88" t="s">
        <v>53</v>
      </c>
      <c r="G238" s="88" t="s">
        <v>503</v>
      </c>
      <c r="H238" s="40" t="s">
        <v>1244</v>
      </c>
      <c r="I238" s="88" t="s">
        <v>1238</v>
      </c>
      <c r="J238" s="88" t="s">
        <v>361</v>
      </c>
      <c r="K238" s="18">
        <v>2173465.83</v>
      </c>
      <c r="L238" s="18">
        <v>2173465.83</v>
      </c>
      <c r="M238" s="18"/>
      <c r="N238" s="18"/>
      <c r="O238" s="18"/>
      <c r="P238" s="18"/>
      <c r="Q238" s="20">
        <f>SUM(PAC!$M238:$P238)</f>
        <v>0</v>
      </c>
      <c r="R238" s="20"/>
      <c r="S238" s="20">
        <f>IF(PAC!$R238&gt;0,PAC!$R238,PAC!$Q238)</f>
        <v>0</v>
      </c>
      <c r="T238" s="20"/>
      <c r="U238" s="103" t="s">
        <v>1574</v>
      </c>
      <c r="V238" s="103"/>
      <c r="W238" s="104"/>
      <c r="X238" s="104" t="s">
        <v>1419</v>
      </c>
      <c r="Y238" s="101" t="s">
        <v>2478</v>
      </c>
      <c r="Z238" s="87"/>
      <c r="AA238" s="105"/>
      <c r="AB238" s="108"/>
      <c r="AC238" s="40"/>
      <c r="AD238" s="106"/>
      <c r="AE238" s="102"/>
      <c r="AF238" s="40" t="s">
        <v>988</v>
      </c>
      <c r="AG238" s="40"/>
      <c r="AH238" s="40"/>
      <c r="AI238" s="40"/>
      <c r="AJ238" s="87"/>
      <c r="AK238" s="40"/>
      <c r="AL238" s="40"/>
      <c r="AM238" s="40" t="s">
        <v>716</v>
      </c>
      <c r="AN238" s="87"/>
      <c r="AO238" s="87"/>
      <c r="AP238" s="87"/>
      <c r="AQ238" s="87"/>
      <c r="AR238" s="107"/>
      <c r="AS238" s="107"/>
      <c r="AT238" s="103" t="s">
        <v>518</v>
      </c>
      <c r="AU238" s="108"/>
      <c r="AV238" s="106"/>
      <c r="AW238" s="108" t="s">
        <v>836</v>
      </c>
      <c r="AX238" s="109">
        <f>IFERROR(IF(PAC!$X238="F01 - CAPTAÇÃO DE RECURSO",1,""),"")</f>
        <v>1</v>
      </c>
      <c r="AY238" s="109" t="str">
        <f>IFERROR(IF(PAC!$X238="F02 - LICITAÇÃO",1,""),"")</f>
        <v/>
      </c>
      <c r="AZ238" s="110" t="str">
        <f>IFERROR(IF(PAC!$X$6:$X$581="F03 - EXECUÇÃO DO OBJETO",1,""),"")</f>
        <v/>
      </c>
      <c r="BA238" s="110" t="str">
        <f>IFERROR(IF(PAC!$X$6:$X$581="F04 - CONCLUÍDA",1,""),"")</f>
        <v/>
      </c>
      <c r="BB238" s="111">
        <f>IF(PAC!$R238&gt;0,0,PAC!$Q238)</f>
        <v>0</v>
      </c>
    </row>
    <row r="239" spans="1:54" s="1" customFormat="1" ht="63" hidden="1" customHeight="1" thickBot="1">
      <c r="A239" s="112">
        <f t="shared" si="3"/>
        <v>234</v>
      </c>
      <c r="B239" s="112">
        <v>2025</v>
      </c>
      <c r="C239" s="112" t="s">
        <v>605</v>
      </c>
      <c r="D239" s="112" t="s">
        <v>1010</v>
      </c>
      <c r="E239" s="114" t="s">
        <v>807</v>
      </c>
      <c r="F239" s="112" t="s">
        <v>53</v>
      </c>
      <c r="G239" s="112" t="s">
        <v>503</v>
      </c>
      <c r="H239" s="115" t="s">
        <v>1244</v>
      </c>
      <c r="I239" s="112" t="s">
        <v>1238</v>
      </c>
      <c r="J239" s="112" t="s">
        <v>361</v>
      </c>
      <c r="K239" s="31">
        <v>2511091.59</v>
      </c>
      <c r="L239" s="31">
        <v>2511091.59</v>
      </c>
      <c r="M239" s="31"/>
      <c r="N239" s="31"/>
      <c r="O239" s="31"/>
      <c r="P239" s="31"/>
      <c r="Q239" s="33">
        <f>SUM(PAC!$M239:$P239)</f>
        <v>0</v>
      </c>
      <c r="R239" s="33"/>
      <c r="S239" s="33">
        <f>IF(PAC!$R239&gt;0,PAC!$R239,PAC!$Q239)</f>
        <v>0</v>
      </c>
      <c r="T239" s="33"/>
      <c r="U239" s="116" t="s">
        <v>1574</v>
      </c>
      <c r="V239" s="116"/>
      <c r="W239" s="117"/>
      <c r="X239" s="117" t="s">
        <v>1419</v>
      </c>
      <c r="Y239" s="113" t="s">
        <v>2478</v>
      </c>
      <c r="Z239" s="118"/>
      <c r="AA239" s="119"/>
      <c r="AB239" s="122"/>
      <c r="AC239" s="115"/>
      <c r="AD239" s="120"/>
      <c r="AE239" s="114"/>
      <c r="AF239" s="115" t="s">
        <v>988</v>
      </c>
      <c r="AG239" s="115"/>
      <c r="AH239" s="115"/>
      <c r="AI239" s="115"/>
      <c r="AJ239" s="118"/>
      <c r="AK239" s="115"/>
      <c r="AL239" s="115"/>
      <c r="AM239" s="115" t="s">
        <v>716</v>
      </c>
      <c r="AN239" s="118"/>
      <c r="AO239" s="118"/>
      <c r="AP239" s="118"/>
      <c r="AQ239" s="118"/>
      <c r="AR239" s="121"/>
      <c r="AS239" s="121"/>
      <c r="AT239" s="116" t="s">
        <v>518</v>
      </c>
      <c r="AU239" s="122"/>
      <c r="AV239" s="120"/>
      <c r="AW239" s="122" t="s">
        <v>836</v>
      </c>
      <c r="AX239" s="194">
        <f>IFERROR(IF(PAC!$X239="F01 - CAPTAÇÃO DE RECURSO",1,""),"")</f>
        <v>1</v>
      </c>
      <c r="AY239" s="194" t="str">
        <f>IFERROR(IF(PAC!$X239="F02 - LICITAÇÃO",1,""),"")</f>
        <v/>
      </c>
      <c r="AZ239" s="123" t="str">
        <f>IFERROR(IF(PAC!$X$6:$X$581="F03 - EXECUÇÃO DO OBJETO",1,""),"")</f>
        <v/>
      </c>
      <c r="BA239" s="123" t="str">
        <f>IFERROR(IF(PAC!$X$6:$X$581="F04 - CONCLUÍDA",1,""),"")</f>
        <v/>
      </c>
      <c r="BB239" s="191">
        <f>IF(PAC!$R239&gt;0,0,PAC!$Q239)</f>
        <v>0</v>
      </c>
    </row>
    <row r="240" spans="1:54" s="1" customFormat="1" ht="63" hidden="1" customHeight="1" thickBot="1">
      <c r="A240" s="88">
        <f t="shared" si="3"/>
        <v>235</v>
      </c>
      <c r="B240" s="88">
        <v>2025</v>
      </c>
      <c r="C240" s="88" t="s">
        <v>605</v>
      </c>
      <c r="D240" s="88" t="s">
        <v>1010</v>
      </c>
      <c r="E240" s="102" t="s">
        <v>2798</v>
      </c>
      <c r="F240" s="88" t="s">
        <v>53</v>
      </c>
      <c r="G240" s="88" t="s">
        <v>503</v>
      </c>
      <c r="H240" s="40" t="s">
        <v>1244</v>
      </c>
      <c r="I240" s="88" t="s">
        <v>1238</v>
      </c>
      <c r="J240" s="88" t="s">
        <v>361</v>
      </c>
      <c r="K240" s="18"/>
      <c r="L240" s="18">
        <v>5024167.74</v>
      </c>
      <c r="M240" s="18">
        <v>5024167.74</v>
      </c>
      <c r="N240" s="18"/>
      <c r="O240" s="18"/>
      <c r="P240" s="18"/>
      <c r="Q240" s="20">
        <f>SUM(PAC!$M240:$P240)</f>
        <v>5024167.74</v>
      </c>
      <c r="R240" s="20"/>
      <c r="S240" s="20">
        <f>IF(PAC!$R240&gt;0,PAC!$R240,PAC!$Q240)</f>
        <v>5024167.74</v>
      </c>
      <c r="T240" s="20"/>
      <c r="U240" s="103" t="s">
        <v>1570</v>
      </c>
      <c r="V240" s="103"/>
      <c r="W240" s="104"/>
      <c r="X240" s="104" t="s">
        <v>1419</v>
      </c>
      <c r="Y240" s="101" t="s">
        <v>2473</v>
      </c>
      <c r="Z240" s="87"/>
      <c r="AA240" s="105"/>
      <c r="AB240" s="108" t="s">
        <v>1459</v>
      </c>
      <c r="AC240" s="40" t="s">
        <v>2531</v>
      </c>
      <c r="AD240" s="106"/>
      <c r="AE240" s="102" t="s">
        <v>2434</v>
      </c>
      <c r="AF240" s="40" t="s">
        <v>1637</v>
      </c>
      <c r="AG240" s="40" t="s">
        <v>1701</v>
      </c>
      <c r="AH240" s="40" t="s">
        <v>977</v>
      </c>
      <c r="AI240" s="40"/>
      <c r="AJ240" s="87"/>
      <c r="AK240" s="40" t="s">
        <v>1704</v>
      </c>
      <c r="AL240" s="40" t="s">
        <v>2102</v>
      </c>
      <c r="AM240" s="40" t="s">
        <v>716</v>
      </c>
      <c r="AN240" s="87">
        <v>46265</v>
      </c>
      <c r="AO240" s="87"/>
      <c r="AP240" s="87"/>
      <c r="AQ240" s="87"/>
      <c r="AR240" s="107"/>
      <c r="AS240" s="107"/>
      <c r="AT240" s="103" t="s">
        <v>2800</v>
      </c>
      <c r="AU240" s="108" t="s">
        <v>2693</v>
      </c>
      <c r="AV240" s="106"/>
      <c r="AW240" s="108" t="s">
        <v>838</v>
      </c>
      <c r="AX240" s="109">
        <f>IFERROR(IF(PAC!$X240="F01 - CAPTAÇÃO DE RECURSO",1,""),"")</f>
        <v>1</v>
      </c>
      <c r="AY240" s="109" t="str">
        <f>IFERROR(IF(PAC!$X240="F02 - LICITAÇÃO",1,""),"")</f>
        <v/>
      </c>
      <c r="AZ240" s="110" t="str">
        <f>IFERROR(IF(PAC!$X$6:$X$581="F03 - EXECUÇÃO DO OBJETO",1,""),"")</f>
        <v/>
      </c>
      <c r="BA240" s="110" t="str">
        <f>IFERROR(IF(PAC!$X$6:$X$581="F04 - CONCLUÍDA",1,""),"")</f>
        <v/>
      </c>
      <c r="BB240" s="111">
        <f>IF(PAC!$R240&gt;0,0,PAC!$Q240)</f>
        <v>5024167.74</v>
      </c>
    </row>
    <row r="241" spans="1:54" s="1" customFormat="1" ht="63" hidden="1" customHeight="1" thickBot="1">
      <c r="A241" s="112">
        <f t="shared" si="3"/>
        <v>236</v>
      </c>
      <c r="B241" s="112">
        <v>2025</v>
      </c>
      <c r="C241" s="112" t="s">
        <v>605</v>
      </c>
      <c r="D241" s="112" t="s">
        <v>1010</v>
      </c>
      <c r="E241" s="114" t="s">
        <v>808</v>
      </c>
      <c r="F241" s="112" t="s">
        <v>53</v>
      </c>
      <c r="G241" s="112" t="s">
        <v>503</v>
      </c>
      <c r="H241" s="115" t="s">
        <v>1244</v>
      </c>
      <c r="I241" s="112" t="s">
        <v>1238</v>
      </c>
      <c r="J241" s="112" t="s">
        <v>361</v>
      </c>
      <c r="K241" s="31">
        <v>953792.76</v>
      </c>
      <c r="L241" s="31">
        <v>953792.76</v>
      </c>
      <c r="M241" s="31"/>
      <c r="N241" s="31"/>
      <c r="O241" s="31"/>
      <c r="P241" s="31"/>
      <c r="Q241" s="33">
        <f>SUM(PAC!$M241:$P241)</f>
        <v>0</v>
      </c>
      <c r="R241" s="33"/>
      <c r="S241" s="33">
        <f>IF(PAC!$R241&gt;0,PAC!$R241,PAC!$Q241)</f>
        <v>0</v>
      </c>
      <c r="T241" s="33"/>
      <c r="U241" s="116" t="s">
        <v>1574</v>
      </c>
      <c r="V241" s="116"/>
      <c r="W241" s="117"/>
      <c r="X241" s="117" t="s">
        <v>1419</v>
      </c>
      <c r="Y241" s="113" t="s">
        <v>2478</v>
      </c>
      <c r="Z241" s="118"/>
      <c r="AA241" s="119"/>
      <c r="AB241" s="122"/>
      <c r="AC241" s="115"/>
      <c r="AD241" s="120"/>
      <c r="AE241" s="114"/>
      <c r="AF241" s="115" t="s">
        <v>988</v>
      </c>
      <c r="AG241" s="115"/>
      <c r="AH241" s="115"/>
      <c r="AI241" s="115"/>
      <c r="AJ241" s="118"/>
      <c r="AK241" s="115"/>
      <c r="AL241" s="115"/>
      <c r="AM241" s="115"/>
      <c r="AN241" s="118"/>
      <c r="AO241" s="118"/>
      <c r="AP241" s="118"/>
      <c r="AQ241" s="118"/>
      <c r="AR241" s="121"/>
      <c r="AS241" s="121"/>
      <c r="AT241" s="116" t="s">
        <v>518</v>
      </c>
      <c r="AU241" s="122"/>
      <c r="AV241" s="120"/>
      <c r="AW241" s="122" t="s">
        <v>836</v>
      </c>
      <c r="AX241" s="194">
        <f>IFERROR(IF(PAC!$X241="F01 - CAPTAÇÃO DE RECURSO",1,""),"")</f>
        <v>1</v>
      </c>
      <c r="AY241" s="194" t="str">
        <f>IFERROR(IF(PAC!$X241="F02 - LICITAÇÃO",1,""),"")</f>
        <v/>
      </c>
      <c r="AZ241" s="123" t="str">
        <f>IFERROR(IF(PAC!$X$6:$X$581="F03 - EXECUÇÃO DO OBJETO",1,""),"")</f>
        <v/>
      </c>
      <c r="BA241" s="123" t="str">
        <f>IFERROR(IF(PAC!$X$6:$X$581="F04 - CONCLUÍDA",1,""),"")</f>
        <v/>
      </c>
      <c r="BB241" s="191">
        <f>IF(PAC!$R241&gt;0,0,PAC!$Q241)</f>
        <v>0</v>
      </c>
    </row>
    <row r="242" spans="1:54" s="1" customFormat="1" ht="63" hidden="1" customHeight="1" thickBot="1">
      <c r="A242" s="88">
        <f t="shared" si="3"/>
        <v>237</v>
      </c>
      <c r="B242" s="88">
        <v>2025</v>
      </c>
      <c r="C242" s="88" t="s">
        <v>605</v>
      </c>
      <c r="D242" s="88" t="s">
        <v>1010</v>
      </c>
      <c r="E242" s="102" t="s">
        <v>809</v>
      </c>
      <c r="F242" s="88" t="s">
        <v>53</v>
      </c>
      <c r="G242" s="88" t="s">
        <v>503</v>
      </c>
      <c r="H242" s="40" t="s">
        <v>1244</v>
      </c>
      <c r="I242" s="88" t="s">
        <v>1238</v>
      </c>
      <c r="J242" s="88" t="s">
        <v>361</v>
      </c>
      <c r="K242" s="18">
        <v>1591061.4000000001</v>
      </c>
      <c r="L242" s="18">
        <v>1591061.4000000001</v>
      </c>
      <c r="M242" s="18"/>
      <c r="N242" s="18"/>
      <c r="O242" s="18"/>
      <c r="P242" s="18"/>
      <c r="Q242" s="20">
        <f>SUM(PAC!$M242:$P242)</f>
        <v>0</v>
      </c>
      <c r="R242" s="20"/>
      <c r="S242" s="20">
        <f>IF(PAC!$R242&gt;0,PAC!$R242,PAC!$Q242)</f>
        <v>0</v>
      </c>
      <c r="T242" s="20"/>
      <c r="U242" s="103" t="s">
        <v>1574</v>
      </c>
      <c r="V242" s="103"/>
      <c r="W242" s="104"/>
      <c r="X242" s="104" t="s">
        <v>1419</v>
      </c>
      <c r="Y242" s="101" t="s">
        <v>2478</v>
      </c>
      <c r="Z242" s="87"/>
      <c r="AA242" s="105"/>
      <c r="AB242" s="108"/>
      <c r="AC242" s="40"/>
      <c r="AD242" s="106"/>
      <c r="AE242" s="102"/>
      <c r="AF242" s="40" t="s">
        <v>988</v>
      </c>
      <c r="AG242" s="40"/>
      <c r="AH242" s="40"/>
      <c r="AI242" s="40"/>
      <c r="AJ242" s="87"/>
      <c r="AK242" s="40"/>
      <c r="AL242" s="40"/>
      <c r="AM242" s="40" t="s">
        <v>716</v>
      </c>
      <c r="AN242" s="87"/>
      <c r="AO242" s="87"/>
      <c r="AP242" s="87"/>
      <c r="AQ242" s="87"/>
      <c r="AR242" s="107"/>
      <c r="AS242" s="107"/>
      <c r="AT242" s="103" t="s">
        <v>518</v>
      </c>
      <c r="AU242" s="108"/>
      <c r="AV242" s="106"/>
      <c r="AW242" s="108" t="s">
        <v>836</v>
      </c>
      <c r="AX242" s="109">
        <f>IFERROR(IF(PAC!$X242="F01 - CAPTAÇÃO DE RECURSO",1,""),"")</f>
        <v>1</v>
      </c>
      <c r="AY242" s="109" t="str">
        <f>IFERROR(IF(PAC!$X242="F02 - LICITAÇÃO",1,""),"")</f>
        <v/>
      </c>
      <c r="AZ242" s="110" t="str">
        <f>IFERROR(IF(PAC!$X$6:$X$581="F03 - EXECUÇÃO DO OBJETO",1,""),"")</f>
        <v/>
      </c>
      <c r="BA242" s="110" t="str">
        <f>IFERROR(IF(PAC!$X$6:$X$581="F04 - CONCLUÍDA",1,""),"")</f>
        <v/>
      </c>
      <c r="BB242" s="111">
        <f>IF(PAC!$R242&gt;0,0,PAC!$Q242)</f>
        <v>0</v>
      </c>
    </row>
    <row r="243" spans="1:54" s="1" customFormat="1" ht="63" hidden="1" customHeight="1" thickBot="1">
      <c r="A243" s="112">
        <f t="shared" si="3"/>
        <v>238</v>
      </c>
      <c r="B243" s="112">
        <v>2025</v>
      </c>
      <c r="C243" s="112" t="s">
        <v>605</v>
      </c>
      <c r="D243" s="112" t="s">
        <v>1010</v>
      </c>
      <c r="E243" s="114" t="s">
        <v>2799</v>
      </c>
      <c r="F243" s="112" t="s">
        <v>53</v>
      </c>
      <c r="G243" s="112" t="s">
        <v>503</v>
      </c>
      <c r="H243" s="115" t="s">
        <v>1244</v>
      </c>
      <c r="I243" s="112" t="s">
        <v>1238</v>
      </c>
      <c r="J243" s="112" t="s">
        <v>361</v>
      </c>
      <c r="K243" s="31"/>
      <c r="L243" s="31">
        <v>5138923.54</v>
      </c>
      <c r="M243" s="31">
        <v>5138923.54</v>
      </c>
      <c r="N243" s="31"/>
      <c r="O243" s="31"/>
      <c r="P243" s="31"/>
      <c r="Q243" s="33">
        <f>SUM(PAC!$M243:$P243)</f>
        <v>5138923.54</v>
      </c>
      <c r="R243" s="33"/>
      <c r="S243" s="33">
        <f>IF(PAC!$R243&gt;0,PAC!$R243,PAC!$Q243)</f>
        <v>5138923.54</v>
      </c>
      <c r="T243" s="33"/>
      <c r="U243" s="116" t="s">
        <v>1570</v>
      </c>
      <c r="V243" s="116"/>
      <c r="W243" s="117"/>
      <c r="X243" s="117" t="s">
        <v>1419</v>
      </c>
      <c r="Y243" s="113" t="s">
        <v>2473</v>
      </c>
      <c r="Z243" s="118"/>
      <c r="AA243" s="119"/>
      <c r="AB243" s="122" t="s">
        <v>1459</v>
      </c>
      <c r="AC243" s="115" t="s">
        <v>2531</v>
      </c>
      <c r="AD243" s="120"/>
      <c r="AE243" s="114" t="s">
        <v>2434</v>
      </c>
      <c r="AF243" s="115" t="s">
        <v>1637</v>
      </c>
      <c r="AG243" s="115" t="s">
        <v>1701</v>
      </c>
      <c r="AH243" s="115" t="s">
        <v>977</v>
      </c>
      <c r="AI243" s="115"/>
      <c r="AJ243" s="118"/>
      <c r="AK243" s="115" t="s">
        <v>1705</v>
      </c>
      <c r="AL243" s="115" t="s">
        <v>2103</v>
      </c>
      <c r="AM243" s="115" t="s">
        <v>716</v>
      </c>
      <c r="AN243" s="118">
        <v>46265</v>
      </c>
      <c r="AO243" s="118"/>
      <c r="AP243" s="118"/>
      <c r="AQ243" s="118"/>
      <c r="AR243" s="121"/>
      <c r="AS243" s="121"/>
      <c r="AT243" s="116" t="s">
        <v>2801</v>
      </c>
      <c r="AU243" s="122" t="s">
        <v>2693</v>
      </c>
      <c r="AV243" s="120"/>
      <c r="AW243" s="122" t="s">
        <v>838</v>
      </c>
      <c r="AX243" s="194">
        <f>IFERROR(IF(PAC!$X243="F01 - CAPTAÇÃO DE RECURSO",1,""),"")</f>
        <v>1</v>
      </c>
      <c r="AY243" s="194" t="str">
        <f>IFERROR(IF(PAC!$X243="F02 - LICITAÇÃO",1,""),"")</f>
        <v/>
      </c>
      <c r="AZ243" s="123" t="str">
        <f>IFERROR(IF(PAC!$X$6:$X$581="F03 - EXECUÇÃO DO OBJETO",1,""),"")</f>
        <v/>
      </c>
      <c r="BA243" s="123" t="str">
        <f>IFERROR(IF(PAC!$X$6:$X$581="F04 - CONCLUÍDA",1,""),"")</f>
        <v/>
      </c>
      <c r="BB243" s="191">
        <f>IF(PAC!$R243&gt;0,0,PAC!$Q243)</f>
        <v>5138923.54</v>
      </c>
    </row>
    <row r="244" spans="1:54" s="1" customFormat="1" ht="63" hidden="1" customHeight="1" thickBot="1">
      <c r="A244" s="88">
        <f t="shared" si="3"/>
        <v>239</v>
      </c>
      <c r="B244" s="88">
        <v>2025</v>
      </c>
      <c r="C244" s="88" t="s">
        <v>605</v>
      </c>
      <c r="D244" s="88" t="s">
        <v>1010</v>
      </c>
      <c r="E244" s="102" t="s">
        <v>810</v>
      </c>
      <c r="F244" s="88" t="s">
        <v>53</v>
      </c>
      <c r="G244" s="88" t="s">
        <v>503</v>
      </c>
      <c r="H244" s="40" t="s">
        <v>1244</v>
      </c>
      <c r="I244" s="88" t="s">
        <v>1238</v>
      </c>
      <c r="J244" s="88" t="s">
        <v>361</v>
      </c>
      <c r="K244" s="18">
        <v>1545321</v>
      </c>
      <c r="L244" s="18">
        <v>1545321</v>
      </c>
      <c r="M244" s="18"/>
      <c r="N244" s="18"/>
      <c r="O244" s="18"/>
      <c r="P244" s="18"/>
      <c r="Q244" s="20">
        <f>SUM(PAC!$M244:$P244)</f>
        <v>0</v>
      </c>
      <c r="R244" s="20"/>
      <c r="S244" s="20">
        <f>IF(PAC!$R244&gt;0,PAC!$R244,PAC!$Q244)</f>
        <v>0</v>
      </c>
      <c r="T244" s="20"/>
      <c r="U244" s="103" t="s">
        <v>1574</v>
      </c>
      <c r="V244" s="103"/>
      <c r="W244" s="104"/>
      <c r="X244" s="104" t="s">
        <v>1419</v>
      </c>
      <c r="Y244" s="101" t="s">
        <v>2478</v>
      </c>
      <c r="Z244" s="87"/>
      <c r="AA244" s="105"/>
      <c r="AB244" s="108"/>
      <c r="AC244" s="40"/>
      <c r="AD244" s="106"/>
      <c r="AE244" s="102"/>
      <c r="AF244" s="40" t="s">
        <v>988</v>
      </c>
      <c r="AG244" s="40"/>
      <c r="AH244" s="40"/>
      <c r="AI244" s="40"/>
      <c r="AJ244" s="87"/>
      <c r="AK244" s="40"/>
      <c r="AL244" s="40"/>
      <c r="AM244" s="40" t="s">
        <v>716</v>
      </c>
      <c r="AN244" s="87"/>
      <c r="AO244" s="87"/>
      <c r="AP244" s="87"/>
      <c r="AQ244" s="87"/>
      <c r="AR244" s="107"/>
      <c r="AS244" s="107"/>
      <c r="AT244" s="103" t="s">
        <v>518</v>
      </c>
      <c r="AU244" s="108"/>
      <c r="AV244" s="106"/>
      <c r="AW244" s="108" t="s">
        <v>838</v>
      </c>
      <c r="AX244" s="109">
        <f>IFERROR(IF(PAC!$X244="F01 - CAPTAÇÃO DE RECURSO",1,""),"")</f>
        <v>1</v>
      </c>
      <c r="AY244" s="109" t="str">
        <f>IFERROR(IF(PAC!$X244="F02 - LICITAÇÃO",1,""),"")</f>
        <v/>
      </c>
      <c r="AZ244" s="110" t="str">
        <f>IFERROR(IF(PAC!$X$6:$X$581="F03 - EXECUÇÃO DO OBJETO",1,""),"")</f>
        <v/>
      </c>
      <c r="BA244" s="110" t="str">
        <f>IFERROR(IF(PAC!$X$6:$X$581="F04 - CONCLUÍDA",1,""),"")</f>
        <v/>
      </c>
      <c r="BB244" s="111">
        <f>IF(PAC!$R244&gt;0,0,PAC!$Q244)</f>
        <v>0</v>
      </c>
    </row>
    <row r="245" spans="1:54" s="1" customFormat="1" ht="63" hidden="1" customHeight="1" thickBot="1">
      <c r="A245" s="112">
        <f t="shared" si="3"/>
        <v>240</v>
      </c>
      <c r="B245" s="112">
        <v>2025</v>
      </c>
      <c r="C245" s="112" t="s">
        <v>605</v>
      </c>
      <c r="D245" s="112" t="s">
        <v>1010</v>
      </c>
      <c r="E245" s="114" t="s">
        <v>811</v>
      </c>
      <c r="F245" s="112" t="s">
        <v>53</v>
      </c>
      <c r="G245" s="112" t="s">
        <v>503</v>
      </c>
      <c r="H245" s="115" t="s">
        <v>1244</v>
      </c>
      <c r="I245" s="112" t="s">
        <v>1238</v>
      </c>
      <c r="J245" s="112" t="s">
        <v>361</v>
      </c>
      <c r="K245" s="31">
        <v>2255058.7200000002</v>
      </c>
      <c r="L245" s="31">
        <v>2255058.7200000002</v>
      </c>
      <c r="M245" s="31"/>
      <c r="N245" s="31"/>
      <c r="O245" s="31"/>
      <c r="P245" s="31"/>
      <c r="Q245" s="33">
        <f>SUM(PAC!$M245:$P245)</f>
        <v>0</v>
      </c>
      <c r="R245" s="33"/>
      <c r="S245" s="33">
        <f>IF(PAC!$R245&gt;0,PAC!$R245,PAC!$Q245)</f>
        <v>0</v>
      </c>
      <c r="T245" s="33"/>
      <c r="U245" s="116" t="s">
        <v>1574</v>
      </c>
      <c r="V245" s="116"/>
      <c r="W245" s="117"/>
      <c r="X245" s="117" t="s">
        <v>1419</v>
      </c>
      <c r="Y245" s="113" t="s">
        <v>2478</v>
      </c>
      <c r="Z245" s="118"/>
      <c r="AA245" s="119"/>
      <c r="AB245" s="122"/>
      <c r="AC245" s="115"/>
      <c r="AD245" s="120"/>
      <c r="AE245" s="114"/>
      <c r="AF245" s="115" t="s">
        <v>988</v>
      </c>
      <c r="AG245" s="115"/>
      <c r="AH245" s="115"/>
      <c r="AI245" s="115"/>
      <c r="AJ245" s="118"/>
      <c r="AK245" s="115"/>
      <c r="AL245" s="115"/>
      <c r="AM245" s="115" t="s">
        <v>716</v>
      </c>
      <c r="AN245" s="118"/>
      <c r="AO245" s="118"/>
      <c r="AP245" s="118"/>
      <c r="AQ245" s="118"/>
      <c r="AR245" s="121"/>
      <c r="AS245" s="121"/>
      <c r="AT245" s="116" t="s">
        <v>518</v>
      </c>
      <c r="AU245" s="122"/>
      <c r="AV245" s="120"/>
      <c r="AW245" s="122" t="s">
        <v>836</v>
      </c>
      <c r="AX245" s="194">
        <f>IFERROR(IF(PAC!$X245="F01 - CAPTAÇÃO DE RECURSO",1,""),"")</f>
        <v>1</v>
      </c>
      <c r="AY245" s="194" t="str">
        <f>IFERROR(IF(PAC!$X245="F02 - LICITAÇÃO",1,""),"")</f>
        <v/>
      </c>
      <c r="AZ245" s="123" t="str">
        <f>IFERROR(IF(PAC!$X$6:$X$581="F03 - EXECUÇÃO DO OBJETO",1,""),"")</f>
        <v/>
      </c>
      <c r="BA245" s="123" t="str">
        <f>IFERROR(IF(PAC!$X$6:$X$581="F04 - CONCLUÍDA",1,""),"")</f>
        <v/>
      </c>
      <c r="BB245" s="191">
        <f>IF(PAC!$R245&gt;0,0,PAC!$Q245)</f>
        <v>0</v>
      </c>
    </row>
    <row r="246" spans="1:54" s="1" customFormat="1" ht="63" hidden="1" customHeight="1" thickBot="1">
      <c r="A246" s="88">
        <f t="shared" si="3"/>
        <v>241</v>
      </c>
      <c r="B246" s="88">
        <v>2025</v>
      </c>
      <c r="C246" s="88" t="s">
        <v>605</v>
      </c>
      <c r="D246" s="88" t="s">
        <v>1010</v>
      </c>
      <c r="E246" s="102" t="s">
        <v>812</v>
      </c>
      <c r="F246" s="88" t="s">
        <v>53</v>
      </c>
      <c r="G246" s="88" t="s">
        <v>503</v>
      </c>
      <c r="H246" s="40" t="s">
        <v>1244</v>
      </c>
      <c r="I246" s="88" t="s">
        <v>1238</v>
      </c>
      <c r="J246" s="88" t="s">
        <v>361</v>
      </c>
      <c r="K246" s="18">
        <v>1346282.72</v>
      </c>
      <c r="L246" s="18">
        <v>1346282.72</v>
      </c>
      <c r="M246" s="18"/>
      <c r="N246" s="18"/>
      <c r="O246" s="18"/>
      <c r="P246" s="18"/>
      <c r="Q246" s="20">
        <f>SUM(PAC!$M246:$P246)</f>
        <v>0</v>
      </c>
      <c r="R246" s="20"/>
      <c r="S246" s="20">
        <f>IF(PAC!$R246&gt;0,PAC!$R246,PAC!$Q246)</f>
        <v>0</v>
      </c>
      <c r="T246" s="20"/>
      <c r="U246" s="103" t="s">
        <v>1574</v>
      </c>
      <c r="V246" s="103"/>
      <c r="W246" s="104"/>
      <c r="X246" s="104" t="s">
        <v>1419</v>
      </c>
      <c r="Y246" s="101" t="s">
        <v>2478</v>
      </c>
      <c r="Z246" s="87"/>
      <c r="AA246" s="105"/>
      <c r="AB246" s="108"/>
      <c r="AC246" s="40"/>
      <c r="AD246" s="106"/>
      <c r="AE246" s="102"/>
      <c r="AF246" s="40" t="s">
        <v>988</v>
      </c>
      <c r="AG246" s="40"/>
      <c r="AH246" s="40"/>
      <c r="AI246" s="40"/>
      <c r="AJ246" s="87"/>
      <c r="AK246" s="40"/>
      <c r="AL246" s="40"/>
      <c r="AM246" s="40" t="s">
        <v>716</v>
      </c>
      <c r="AN246" s="87"/>
      <c r="AO246" s="87"/>
      <c r="AP246" s="87"/>
      <c r="AQ246" s="87"/>
      <c r="AR246" s="107"/>
      <c r="AS246" s="107"/>
      <c r="AT246" s="103" t="s">
        <v>518</v>
      </c>
      <c r="AU246" s="108"/>
      <c r="AV246" s="106"/>
      <c r="AW246" s="108" t="s">
        <v>836</v>
      </c>
      <c r="AX246" s="109">
        <f>IFERROR(IF(PAC!$X246="F01 - CAPTAÇÃO DE RECURSO",1,""),"")</f>
        <v>1</v>
      </c>
      <c r="AY246" s="109" t="str">
        <f>IFERROR(IF(PAC!$X246="F02 - LICITAÇÃO",1,""),"")</f>
        <v/>
      </c>
      <c r="AZ246" s="110" t="str">
        <f>IFERROR(IF(PAC!$X$6:$X$581="F03 - EXECUÇÃO DO OBJETO",1,""),"")</f>
        <v/>
      </c>
      <c r="BA246" s="110" t="str">
        <f>IFERROR(IF(PAC!$X$6:$X$581="F04 - CONCLUÍDA",1,""),"")</f>
        <v/>
      </c>
      <c r="BB246" s="111">
        <f>IF(PAC!$R246&gt;0,0,PAC!$Q246)</f>
        <v>0</v>
      </c>
    </row>
    <row r="247" spans="1:54" s="1" customFormat="1" ht="63" hidden="1" customHeight="1" thickBot="1">
      <c r="A247" s="112">
        <f t="shared" si="3"/>
        <v>242</v>
      </c>
      <c r="B247" s="112">
        <v>2025</v>
      </c>
      <c r="C247" s="112" t="s">
        <v>605</v>
      </c>
      <c r="D247" s="112" t="s">
        <v>1010</v>
      </c>
      <c r="E247" s="114" t="s">
        <v>813</v>
      </c>
      <c r="F247" s="112" t="s">
        <v>53</v>
      </c>
      <c r="G247" s="112" t="s">
        <v>503</v>
      </c>
      <c r="H247" s="115" t="s">
        <v>1244</v>
      </c>
      <c r="I247" s="112" t="s">
        <v>1238</v>
      </c>
      <c r="J247" s="112" t="s">
        <v>361</v>
      </c>
      <c r="K247" s="31">
        <v>1549567.87</v>
      </c>
      <c r="L247" s="31">
        <v>1549567.87</v>
      </c>
      <c r="M247" s="31"/>
      <c r="N247" s="31"/>
      <c r="O247" s="31"/>
      <c r="P247" s="31"/>
      <c r="Q247" s="33">
        <f>SUM(PAC!$M247:$P247)</f>
        <v>0</v>
      </c>
      <c r="R247" s="33"/>
      <c r="S247" s="33">
        <f>IF(PAC!$R247&gt;0,PAC!$R247,PAC!$Q247)</f>
        <v>0</v>
      </c>
      <c r="T247" s="33"/>
      <c r="U247" s="116" t="s">
        <v>1574</v>
      </c>
      <c r="V247" s="116"/>
      <c r="W247" s="117"/>
      <c r="X247" s="117" t="s">
        <v>1419</v>
      </c>
      <c r="Y247" s="113" t="s">
        <v>2478</v>
      </c>
      <c r="Z247" s="118"/>
      <c r="AA247" s="119"/>
      <c r="AB247" s="122"/>
      <c r="AC247" s="115"/>
      <c r="AD247" s="120"/>
      <c r="AE247" s="114"/>
      <c r="AF247" s="115" t="s">
        <v>988</v>
      </c>
      <c r="AG247" s="115"/>
      <c r="AH247" s="115"/>
      <c r="AI247" s="115"/>
      <c r="AJ247" s="118"/>
      <c r="AK247" s="115"/>
      <c r="AL247" s="115"/>
      <c r="AM247" s="115" t="s">
        <v>716</v>
      </c>
      <c r="AN247" s="118"/>
      <c r="AO247" s="118"/>
      <c r="AP247" s="118"/>
      <c r="AQ247" s="118"/>
      <c r="AR247" s="121"/>
      <c r="AS247" s="121"/>
      <c r="AT247" s="116" t="s">
        <v>518</v>
      </c>
      <c r="AU247" s="122"/>
      <c r="AV247" s="120"/>
      <c r="AW247" s="122" t="s">
        <v>838</v>
      </c>
      <c r="AX247" s="194">
        <f>IFERROR(IF(PAC!$X247="F01 - CAPTAÇÃO DE RECURSO",1,""),"")</f>
        <v>1</v>
      </c>
      <c r="AY247" s="194" t="str">
        <f>IFERROR(IF(PAC!$X247="F02 - LICITAÇÃO",1,""),"")</f>
        <v/>
      </c>
      <c r="AZ247" s="123" t="str">
        <f>IFERROR(IF(PAC!$X$6:$X$581="F03 - EXECUÇÃO DO OBJETO",1,""),"")</f>
        <v/>
      </c>
      <c r="BA247" s="123" t="str">
        <f>IFERROR(IF(PAC!$X$6:$X$581="F04 - CONCLUÍDA",1,""),"")</f>
        <v/>
      </c>
      <c r="BB247" s="191">
        <f>IF(PAC!$R247&gt;0,0,PAC!$Q247)</f>
        <v>0</v>
      </c>
    </row>
    <row r="248" spans="1:54" s="1" customFormat="1" ht="63" hidden="1" customHeight="1" thickBot="1">
      <c r="A248" s="88">
        <f t="shared" si="3"/>
        <v>243</v>
      </c>
      <c r="B248" s="88">
        <v>2025</v>
      </c>
      <c r="C248" s="88" t="s">
        <v>605</v>
      </c>
      <c r="D248" s="88" t="s">
        <v>1010</v>
      </c>
      <c r="E248" s="102" t="s">
        <v>814</v>
      </c>
      <c r="F248" s="88" t="s">
        <v>53</v>
      </c>
      <c r="G248" s="88" t="s">
        <v>503</v>
      </c>
      <c r="H248" s="40" t="s">
        <v>1244</v>
      </c>
      <c r="I248" s="88" t="s">
        <v>1238</v>
      </c>
      <c r="J248" s="88" t="s">
        <v>361</v>
      </c>
      <c r="K248" s="18">
        <v>1682501.7</v>
      </c>
      <c r="L248" s="18">
        <v>1682501.7</v>
      </c>
      <c r="M248" s="18"/>
      <c r="N248" s="18"/>
      <c r="O248" s="18"/>
      <c r="P248" s="18"/>
      <c r="Q248" s="20">
        <f>SUM(PAC!$M248:$P248)</f>
        <v>0</v>
      </c>
      <c r="R248" s="20"/>
      <c r="S248" s="20">
        <f>IF(PAC!$R248&gt;0,PAC!$R248,PAC!$Q248)</f>
        <v>0</v>
      </c>
      <c r="T248" s="20"/>
      <c r="U248" s="103" t="s">
        <v>1574</v>
      </c>
      <c r="V248" s="103"/>
      <c r="W248" s="104"/>
      <c r="X248" s="104" t="s">
        <v>1419</v>
      </c>
      <c r="Y248" s="101" t="s">
        <v>2478</v>
      </c>
      <c r="Z248" s="87"/>
      <c r="AA248" s="105"/>
      <c r="AB248" s="108"/>
      <c r="AC248" s="40"/>
      <c r="AD248" s="106"/>
      <c r="AE248" s="102"/>
      <c r="AF248" s="40" t="s">
        <v>988</v>
      </c>
      <c r="AG248" s="40"/>
      <c r="AH248" s="40"/>
      <c r="AI248" s="40"/>
      <c r="AJ248" s="87"/>
      <c r="AK248" s="40"/>
      <c r="AL248" s="40"/>
      <c r="AM248" s="40" t="s">
        <v>716</v>
      </c>
      <c r="AN248" s="87"/>
      <c r="AO248" s="87"/>
      <c r="AP248" s="87"/>
      <c r="AQ248" s="87"/>
      <c r="AR248" s="107"/>
      <c r="AS248" s="107"/>
      <c r="AT248" s="103" t="s">
        <v>518</v>
      </c>
      <c r="AU248" s="108"/>
      <c r="AV248" s="106"/>
      <c r="AW248" s="108" t="s">
        <v>836</v>
      </c>
      <c r="AX248" s="109">
        <f>IFERROR(IF(PAC!$X248="F01 - CAPTAÇÃO DE RECURSO",1,""),"")</f>
        <v>1</v>
      </c>
      <c r="AY248" s="109" t="str">
        <f>IFERROR(IF(PAC!$X248="F02 - LICITAÇÃO",1,""),"")</f>
        <v/>
      </c>
      <c r="AZ248" s="110" t="str">
        <f>IFERROR(IF(PAC!$X$6:$X$581="F03 - EXECUÇÃO DO OBJETO",1,""),"")</f>
        <v/>
      </c>
      <c r="BA248" s="110" t="str">
        <f>IFERROR(IF(PAC!$X$6:$X$581="F04 - CONCLUÍDA",1,""),"")</f>
        <v/>
      </c>
      <c r="BB248" s="111">
        <f>IF(PAC!$R248&gt;0,0,PAC!$Q248)</f>
        <v>0</v>
      </c>
    </row>
    <row r="249" spans="1:54" s="1" customFormat="1" ht="63" hidden="1" customHeight="1" thickBot="1">
      <c r="A249" s="112">
        <f t="shared" si="3"/>
        <v>244</v>
      </c>
      <c r="B249" s="112">
        <v>2025</v>
      </c>
      <c r="C249" s="112" t="s">
        <v>605</v>
      </c>
      <c r="D249" s="112" t="s">
        <v>1010</v>
      </c>
      <c r="E249" s="114" t="s">
        <v>851</v>
      </c>
      <c r="F249" s="112" t="s">
        <v>53</v>
      </c>
      <c r="G249" s="112" t="s">
        <v>503</v>
      </c>
      <c r="H249" s="115" t="s">
        <v>1244</v>
      </c>
      <c r="I249" s="112" t="s">
        <v>1238</v>
      </c>
      <c r="J249" s="112" t="s">
        <v>361</v>
      </c>
      <c r="K249" s="31">
        <v>1382858.84</v>
      </c>
      <c r="L249" s="31">
        <v>1382858.84</v>
      </c>
      <c r="M249" s="31"/>
      <c r="N249" s="31"/>
      <c r="O249" s="31"/>
      <c r="P249" s="31"/>
      <c r="Q249" s="33">
        <f>SUM(PAC!$M249:$P249)</f>
        <v>0</v>
      </c>
      <c r="R249" s="33"/>
      <c r="S249" s="33">
        <f>IF(PAC!$R249&gt;0,PAC!$R249,PAC!$Q249)</f>
        <v>0</v>
      </c>
      <c r="T249" s="33"/>
      <c r="U249" s="116" t="s">
        <v>1574</v>
      </c>
      <c r="V249" s="116"/>
      <c r="W249" s="117"/>
      <c r="X249" s="117" t="s">
        <v>1419</v>
      </c>
      <c r="Y249" s="113" t="s">
        <v>2478</v>
      </c>
      <c r="Z249" s="118"/>
      <c r="AA249" s="119"/>
      <c r="AB249" s="122"/>
      <c r="AC249" s="115"/>
      <c r="AD249" s="120"/>
      <c r="AE249" s="114"/>
      <c r="AF249" s="115" t="s">
        <v>988</v>
      </c>
      <c r="AG249" s="115"/>
      <c r="AH249" s="115"/>
      <c r="AI249" s="115"/>
      <c r="AJ249" s="118"/>
      <c r="AK249" s="115"/>
      <c r="AL249" s="115"/>
      <c r="AM249" s="115" t="s">
        <v>716</v>
      </c>
      <c r="AN249" s="118"/>
      <c r="AO249" s="118"/>
      <c r="AP249" s="118"/>
      <c r="AQ249" s="118"/>
      <c r="AR249" s="121"/>
      <c r="AS249" s="121"/>
      <c r="AT249" s="116" t="s">
        <v>518</v>
      </c>
      <c r="AU249" s="122"/>
      <c r="AV249" s="120"/>
      <c r="AW249" s="122" t="s">
        <v>836</v>
      </c>
      <c r="AX249" s="194">
        <f>IFERROR(IF(PAC!$X249="F01 - CAPTAÇÃO DE RECURSO",1,""),"")</f>
        <v>1</v>
      </c>
      <c r="AY249" s="194" t="str">
        <f>IFERROR(IF(PAC!$X249="F02 - LICITAÇÃO",1,""),"")</f>
        <v/>
      </c>
      <c r="AZ249" s="123" t="str">
        <f>IFERROR(IF(PAC!$X$6:$X$581="F03 - EXECUÇÃO DO OBJETO",1,""),"")</f>
        <v/>
      </c>
      <c r="BA249" s="123" t="str">
        <f>IFERROR(IF(PAC!$X$6:$X$581="F04 - CONCLUÍDA",1,""),"")</f>
        <v/>
      </c>
      <c r="BB249" s="191">
        <f>IF(PAC!$R249&gt;0,0,PAC!$Q249)</f>
        <v>0</v>
      </c>
    </row>
    <row r="250" spans="1:54" s="1" customFormat="1" ht="63" hidden="1" customHeight="1" thickBot="1">
      <c r="A250" s="88">
        <f t="shared" si="3"/>
        <v>245</v>
      </c>
      <c r="B250" s="88">
        <v>2025</v>
      </c>
      <c r="C250" s="88" t="s">
        <v>605</v>
      </c>
      <c r="D250" s="88" t="s">
        <v>1010</v>
      </c>
      <c r="E250" s="102" t="s">
        <v>815</v>
      </c>
      <c r="F250" s="88" t="s">
        <v>53</v>
      </c>
      <c r="G250" s="88" t="s">
        <v>503</v>
      </c>
      <c r="H250" s="40" t="s">
        <v>1244</v>
      </c>
      <c r="I250" s="88" t="s">
        <v>1238</v>
      </c>
      <c r="J250" s="88" t="s">
        <v>361</v>
      </c>
      <c r="K250" s="18">
        <v>2110161</v>
      </c>
      <c r="L250" s="18">
        <v>2110161</v>
      </c>
      <c r="M250" s="18"/>
      <c r="N250" s="18"/>
      <c r="O250" s="18"/>
      <c r="P250" s="18"/>
      <c r="Q250" s="20">
        <f>SUM(PAC!$M250:$P250)</f>
        <v>0</v>
      </c>
      <c r="R250" s="20"/>
      <c r="S250" s="20">
        <f>IF(PAC!$R250&gt;0,PAC!$R250,PAC!$Q250)</f>
        <v>0</v>
      </c>
      <c r="T250" s="20"/>
      <c r="U250" s="103" t="s">
        <v>1574</v>
      </c>
      <c r="V250" s="103"/>
      <c r="W250" s="104"/>
      <c r="X250" s="104" t="s">
        <v>1419</v>
      </c>
      <c r="Y250" s="101" t="s">
        <v>2478</v>
      </c>
      <c r="Z250" s="87"/>
      <c r="AA250" s="105"/>
      <c r="AB250" s="108"/>
      <c r="AC250" s="40"/>
      <c r="AD250" s="106"/>
      <c r="AE250" s="102"/>
      <c r="AF250" s="40" t="s">
        <v>988</v>
      </c>
      <c r="AG250" s="40"/>
      <c r="AH250" s="40"/>
      <c r="AI250" s="40"/>
      <c r="AJ250" s="87"/>
      <c r="AK250" s="40"/>
      <c r="AL250" s="40"/>
      <c r="AM250" s="40" t="s">
        <v>716</v>
      </c>
      <c r="AN250" s="87"/>
      <c r="AO250" s="87"/>
      <c r="AP250" s="87"/>
      <c r="AQ250" s="87"/>
      <c r="AR250" s="107"/>
      <c r="AS250" s="107"/>
      <c r="AT250" s="103" t="s">
        <v>518</v>
      </c>
      <c r="AU250" s="108"/>
      <c r="AV250" s="106"/>
      <c r="AW250" s="108" t="s">
        <v>836</v>
      </c>
      <c r="AX250" s="109">
        <f>IFERROR(IF(PAC!$X250="F01 - CAPTAÇÃO DE RECURSO",1,""),"")</f>
        <v>1</v>
      </c>
      <c r="AY250" s="109" t="str">
        <f>IFERROR(IF(PAC!$X250="F02 - LICITAÇÃO",1,""),"")</f>
        <v/>
      </c>
      <c r="AZ250" s="110" t="str">
        <f>IFERROR(IF(PAC!$X$6:$X$581="F03 - EXECUÇÃO DO OBJETO",1,""),"")</f>
        <v/>
      </c>
      <c r="BA250" s="110" t="str">
        <f>IFERROR(IF(PAC!$X$6:$X$581="F04 - CONCLUÍDA",1,""),"")</f>
        <v/>
      </c>
      <c r="BB250" s="111">
        <f>IF(PAC!$R250&gt;0,0,PAC!$Q250)</f>
        <v>0</v>
      </c>
    </row>
    <row r="251" spans="1:54" s="1" customFormat="1" ht="63" hidden="1" customHeight="1" thickBot="1">
      <c r="A251" s="112">
        <f t="shared" si="3"/>
        <v>246</v>
      </c>
      <c r="B251" s="112">
        <v>2025</v>
      </c>
      <c r="C251" s="112" t="s">
        <v>605</v>
      </c>
      <c r="D251" s="112" t="s">
        <v>1010</v>
      </c>
      <c r="E251" s="114" t="s">
        <v>2804</v>
      </c>
      <c r="F251" s="112" t="s">
        <v>53</v>
      </c>
      <c r="G251" s="112" t="s">
        <v>503</v>
      </c>
      <c r="H251" s="115" t="s">
        <v>1244</v>
      </c>
      <c r="I251" s="112" t="s">
        <v>1238</v>
      </c>
      <c r="J251" s="112" t="s">
        <v>361</v>
      </c>
      <c r="K251" s="31"/>
      <c r="L251" s="31">
        <v>5322954.2300000004</v>
      </c>
      <c r="M251" s="31">
        <v>5322954.2300000004</v>
      </c>
      <c r="N251" s="31"/>
      <c r="O251" s="31"/>
      <c r="P251" s="31"/>
      <c r="Q251" s="33">
        <f>SUM(PAC!$M251:$P251)</f>
        <v>5322954.2300000004</v>
      </c>
      <c r="R251" s="33"/>
      <c r="S251" s="33">
        <f>IF(PAC!$R251&gt;0,PAC!$R251,PAC!$Q251)</f>
        <v>5322954.2300000004</v>
      </c>
      <c r="T251" s="33"/>
      <c r="U251" s="116" t="s">
        <v>1570</v>
      </c>
      <c r="V251" s="116"/>
      <c r="W251" s="117"/>
      <c r="X251" s="117" t="s">
        <v>1419</v>
      </c>
      <c r="Y251" s="113" t="s">
        <v>2473</v>
      </c>
      <c r="Z251" s="118"/>
      <c r="AA251" s="119"/>
      <c r="AB251" s="122" t="s">
        <v>1459</v>
      </c>
      <c r="AC251" s="115" t="s">
        <v>2531</v>
      </c>
      <c r="AD251" s="120"/>
      <c r="AE251" s="114" t="s">
        <v>2434</v>
      </c>
      <c r="AF251" s="115" t="s">
        <v>1637</v>
      </c>
      <c r="AG251" s="115" t="s">
        <v>1701</v>
      </c>
      <c r="AH251" s="115" t="s">
        <v>977</v>
      </c>
      <c r="AI251" s="115"/>
      <c r="AJ251" s="118"/>
      <c r="AK251" s="115" t="s">
        <v>1706</v>
      </c>
      <c r="AL251" s="115" t="s">
        <v>2103</v>
      </c>
      <c r="AM251" s="115" t="s">
        <v>716</v>
      </c>
      <c r="AN251" s="118">
        <v>46265</v>
      </c>
      <c r="AO251" s="118"/>
      <c r="AP251" s="118"/>
      <c r="AQ251" s="118"/>
      <c r="AR251" s="121"/>
      <c r="AS251" s="121"/>
      <c r="AT251" s="116" t="s">
        <v>2805</v>
      </c>
      <c r="AU251" s="122" t="s">
        <v>2693</v>
      </c>
      <c r="AV251" s="120"/>
      <c r="AW251" s="122" t="s">
        <v>838</v>
      </c>
      <c r="AX251" s="194">
        <f>IFERROR(IF(PAC!$X251="F01 - CAPTAÇÃO DE RECURSO",1,""),"")</f>
        <v>1</v>
      </c>
      <c r="AY251" s="194" t="str">
        <f>IFERROR(IF(PAC!$X251="F02 - LICITAÇÃO",1,""),"")</f>
        <v/>
      </c>
      <c r="AZ251" s="123" t="str">
        <f>IFERROR(IF(PAC!$X$6:$X$581="F03 - EXECUÇÃO DO OBJETO",1,""),"")</f>
        <v/>
      </c>
      <c r="BA251" s="123" t="str">
        <f>IFERROR(IF(PAC!$X$6:$X$581="F04 - CONCLUÍDA",1,""),"")</f>
        <v/>
      </c>
      <c r="BB251" s="191">
        <f>IF(PAC!$R251&gt;0,0,PAC!$Q251)</f>
        <v>5322954.2300000004</v>
      </c>
    </row>
    <row r="252" spans="1:54" s="1" customFormat="1" ht="63" hidden="1" customHeight="1" thickBot="1">
      <c r="A252" s="88">
        <f t="shared" si="3"/>
        <v>247</v>
      </c>
      <c r="B252" s="88">
        <v>2025</v>
      </c>
      <c r="C252" s="88" t="s">
        <v>605</v>
      </c>
      <c r="D252" s="88" t="s">
        <v>1010</v>
      </c>
      <c r="E252" s="102" t="s">
        <v>2042</v>
      </c>
      <c r="F252" s="88" t="s">
        <v>53</v>
      </c>
      <c r="G252" s="88" t="s">
        <v>503</v>
      </c>
      <c r="H252" s="40" t="s">
        <v>1244</v>
      </c>
      <c r="I252" s="88" t="s">
        <v>1238</v>
      </c>
      <c r="J252" s="88" t="s">
        <v>361</v>
      </c>
      <c r="K252" s="18"/>
      <c r="L252" s="18">
        <v>2657396.09</v>
      </c>
      <c r="M252" s="18">
        <v>2657396.09</v>
      </c>
      <c r="N252" s="18"/>
      <c r="O252" s="18"/>
      <c r="P252" s="18"/>
      <c r="Q252" s="20">
        <f>SUM(PAC!$M252:$P252)</f>
        <v>2657396.09</v>
      </c>
      <c r="R252" s="20">
        <v>7505914.3099999996</v>
      </c>
      <c r="S252" s="20">
        <f>IF(PAC!$R252&gt;0,PAC!$R252,PAC!$Q252)</f>
        <v>7505914.3099999996</v>
      </c>
      <c r="T252" s="20" t="s">
        <v>1590</v>
      </c>
      <c r="U252" s="103" t="s">
        <v>1570</v>
      </c>
      <c r="V252" s="103"/>
      <c r="W252" s="104">
        <v>16</v>
      </c>
      <c r="X252" s="104" t="s">
        <v>1418</v>
      </c>
      <c r="Y252" s="101" t="s">
        <v>2472</v>
      </c>
      <c r="Z252" s="87"/>
      <c r="AA252" s="105"/>
      <c r="AB252" s="108" t="s">
        <v>1469</v>
      </c>
      <c r="AC252" s="40" t="s">
        <v>2694</v>
      </c>
      <c r="AD252" s="106"/>
      <c r="AE252" s="102" t="s">
        <v>2713</v>
      </c>
      <c r="AF252" s="40" t="s">
        <v>1637</v>
      </c>
      <c r="AG252" s="40" t="s">
        <v>1701</v>
      </c>
      <c r="AH252" s="40" t="s">
        <v>977</v>
      </c>
      <c r="AI252" s="40"/>
      <c r="AJ252" s="87"/>
      <c r="AK252" s="40" t="s">
        <v>1707</v>
      </c>
      <c r="AL252" s="40" t="s">
        <v>2583</v>
      </c>
      <c r="AM252" s="40" t="s">
        <v>716</v>
      </c>
      <c r="AN252" s="87">
        <v>46143</v>
      </c>
      <c r="AO252" s="87">
        <v>46189</v>
      </c>
      <c r="AP252" s="87">
        <v>46253</v>
      </c>
      <c r="AQ252" s="87"/>
      <c r="AR252" s="107"/>
      <c r="AS252" s="107"/>
      <c r="AT252" s="103" t="s">
        <v>2690</v>
      </c>
      <c r="AU252" s="108" t="s">
        <v>2712</v>
      </c>
      <c r="AV252" s="106"/>
      <c r="AW252" s="108" t="s">
        <v>836</v>
      </c>
      <c r="AX252" s="109" t="str">
        <f>IFERROR(IF(PAC!$X252="F01 - CAPTAÇÃO DE RECURSO",1,""),"")</f>
        <v/>
      </c>
      <c r="AY252" s="109">
        <f>IFERROR(IF(PAC!$X252="F02 - LICITAÇÃO",1,""),"")</f>
        <v>1</v>
      </c>
      <c r="AZ252" s="110" t="str">
        <f>IFERROR(IF(PAC!$X$6:$X$581="F03 - EXECUÇÃO DO OBJETO",1,""),"")</f>
        <v/>
      </c>
      <c r="BA252" s="110" t="str">
        <f>IFERROR(IF(PAC!$X$6:$X$581="F04 - CONCLUÍDA",1,""),"")</f>
        <v/>
      </c>
      <c r="BB252" s="111">
        <f>IF(PAC!$R252&gt;0,0,PAC!$Q252)</f>
        <v>0</v>
      </c>
    </row>
    <row r="253" spans="1:54" s="1" customFormat="1" ht="63" hidden="1" customHeight="1" thickBot="1">
      <c r="A253" s="112">
        <f t="shared" si="3"/>
        <v>248</v>
      </c>
      <c r="B253" s="112">
        <v>2025</v>
      </c>
      <c r="C253" s="112" t="s">
        <v>605</v>
      </c>
      <c r="D253" s="112" t="s">
        <v>1010</v>
      </c>
      <c r="E253" s="114" t="s">
        <v>2043</v>
      </c>
      <c r="F253" s="112" t="s">
        <v>53</v>
      </c>
      <c r="G253" s="112" t="s">
        <v>503</v>
      </c>
      <c r="H253" s="115" t="s">
        <v>1244</v>
      </c>
      <c r="I253" s="112" t="s">
        <v>1238</v>
      </c>
      <c r="J253" s="112" t="s">
        <v>361</v>
      </c>
      <c r="K253" s="31"/>
      <c r="L253" s="31">
        <v>2359160</v>
      </c>
      <c r="M253" s="31">
        <v>2359160</v>
      </c>
      <c r="N253" s="31"/>
      <c r="O253" s="31"/>
      <c r="P253" s="31"/>
      <c r="Q253" s="33">
        <f>SUM(PAC!$M253:$P253)</f>
        <v>2359160</v>
      </c>
      <c r="R253" s="33">
        <v>3109281.75</v>
      </c>
      <c r="S253" s="33">
        <f>IF(PAC!$R253&gt;0,PAC!$R253,PAC!$Q253)</f>
        <v>3109281.75</v>
      </c>
      <c r="T253" s="33" t="s">
        <v>1590</v>
      </c>
      <c r="U253" s="116" t="s">
        <v>1570</v>
      </c>
      <c r="V253" s="116"/>
      <c r="W253" s="117">
        <v>12</v>
      </c>
      <c r="X253" s="117" t="s">
        <v>1418</v>
      </c>
      <c r="Y253" s="113" t="s">
        <v>2472</v>
      </c>
      <c r="Z253" s="118"/>
      <c r="AA253" s="119"/>
      <c r="AB253" s="122" t="s">
        <v>1469</v>
      </c>
      <c r="AC253" s="115" t="s">
        <v>2694</v>
      </c>
      <c r="AD253" s="120"/>
      <c r="AE253" s="114" t="s">
        <v>2713</v>
      </c>
      <c r="AF253" s="115" t="s">
        <v>1637</v>
      </c>
      <c r="AG253" s="115" t="s">
        <v>1701</v>
      </c>
      <c r="AH253" s="115" t="s">
        <v>977</v>
      </c>
      <c r="AI253" s="115"/>
      <c r="AJ253" s="118"/>
      <c r="AK253" s="115" t="s">
        <v>2008</v>
      </c>
      <c r="AL253" s="115" t="s">
        <v>2097</v>
      </c>
      <c r="AM253" s="115" t="s">
        <v>716</v>
      </c>
      <c r="AN253" s="118">
        <v>46143</v>
      </c>
      <c r="AO253" s="118">
        <v>46189</v>
      </c>
      <c r="AP253" s="118">
        <v>46253</v>
      </c>
      <c r="AQ253" s="118"/>
      <c r="AR253" s="121"/>
      <c r="AS253" s="121"/>
      <c r="AT253" s="116" t="s">
        <v>2691</v>
      </c>
      <c r="AU253" s="122" t="s">
        <v>2712</v>
      </c>
      <c r="AV253" s="120"/>
      <c r="AW253" s="122" t="s">
        <v>836</v>
      </c>
      <c r="AX253" s="194" t="str">
        <f>IFERROR(IF(PAC!$X253="F01 - CAPTAÇÃO DE RECURSO",1,""),"")</f>
        <v/>
      </c>
      <c r="AY253" s="194">
        <f>IFERROR(IF(PAC!$X253="F02 - LICITAÇÃO",1,""),"")</f>
        <v>1</v>
      </c>
      <c r="AZ253" s="123" t="str">
        <f>IFERROR(IF(PAC!$X$6:$X$581="F03 - EXECUÇÃO DO OBJETO",1,""),"")</f>
        <v/>
      </c>
      <c r="BA253" s="123" t="str">
        <f>IFERROR(IF(PAC!$X$6:$X$581="F04 - CONCLUÍDA",1,""),"")</f>
        <v/>
      </c>
      <c r="BB253" s="191">
        <f>IF(PAC!$R253&gt;0,0,PAC!$Q253)</f>
        <v>0</v>
      </c>
    </row>
    <row r="254" spans="1:54" s="1" customFormat="1" ht="63" hidden="1" customHeight="1" thickBot="1">
      <c r="A254" s="88">
        <f t="shared" si="3"/>
        <v>249</v>
      </c>
      <c r="B254" s="88">
        <v>2025</v>
      </c>
      <c r="C254" s="88" t="s">
        <v>605</v>
      </c>
      <c r="D254" s="88" t="s">
        <v>1010</v>
      </c>
      <c r="E254" s="102" t="s">
        <v>816</v>
      </c>
      <c r="F254" s="88" t="s">
        <v>53</v>
      </c>
      <c r="G254" s="88" t="s">
        <v>503</v>
      </c>
      <c r="H254" s="40" t="s">
        <v>1244</v>
      </c>
      <c r="I254" s="88" t="s">
        <v>1238</v>
      </c>
      <c r="J254" s="88" t="s">
        <v>361</v>
      </c>
      <c r="K254" s="18">
        <v>1744399.76</v>
      </c>
      <c r="L254" s="18">
        <v>1744399.76</v>
      </c>
      <c r="M254" s="18"/>
      <c r="N254" s="18"/>
      <c r="O254" s="18"/>
      <c r="P254" s="18"/>
      <c r="Q254" s="20">
        <f>SUM(PAC!$M254:$P254)</f>
        <v>0</v>
      </c>
      <c r="R254" s="20"/>
      <c r="S254" s="20">
        <f>IF(PAC!$R254&gt;0,PAC!$R254,PAC!$Q254)</f>
        <v>0</v>
      </c>
      <c r="T254" s="20"/>
      <c r="U254" s="103" t="s">
        <v>1574</v>
      </c>
      <c r="V254" s="103"/>
      <c r="W254" s="104"/>
      <c r="X254" s="104" t="s">
        <v>1419</v>
      </c>
      <c r="Y254" s="101" t="s">
        <v>2478</v>
      </c>
      <c r="Z254" s="87"/>
      <c r="AA254" s="105"/>
      <c r="AB254" s="108"/>
      <c r="AC254" s="40"/>
      <c r="AD254" s="106"/>
      <c r="AE254" s="102"/>
      <c r="AF254" s="40" t="s">
        <v>988</v>
      </c>
      <c r="AG254" s="40"/>
      <c r="AH254" s="40"/>
      <c r="AI254" s="40"/>
      <c r="AJ254" s="87"/>
      <c r="AK254" s="40"/>
      <c r="AL254" s="40"/>
      <c r="AM254" s="40" t="s">
        <v>716</v>
      </c>
      <c r="AN254" s="87"/>
      <c r="AO254" s="87"/>
      <c r="AP254" s="87"/>
      <c r="AQ254" s="87"/>
      <c r="AR254" s="107"/>
      <c r="AS254" s="107"/>
      <c r="AT254" s="103" t="s">
        <v>518</v>
      </c>
      <c r="AU254" s="108"/>
      <c r="AV254" s="106"/>
      <c r="AW254" s="108" t="s">
        <v>836</v>
      </c>
      <c r="AX254" s="109">
        <f>IFERROR(IF(PAC!$X254="F01 - CAPTAÇÃO DE RECURSO",1,""),"")</f>
        <v>1</v>
      </c>
      <c r="AY254" s="109" t="str">
        <f>IFERROR(IF(PAC!$X254="F02 - LICITAÇÃO",1,""),"")</f>
        <v/>
      </c>
      <c r="AZ254" s="110" t="str">
        <f>IFERROR(IF(PAC!$X$6:$X$581="F03 - EXECUÇÃO DO OBJETO",1,""),"")</f>
        <v/>
      </c>
      <c r="BA254" s="110" t="str">
        <f>IFERROR(IF(PAC!$X$6:$X$581="F04 - CONCLUÍDA",1,""),"")</f>
        <v/>
      </c>
      <c r="BB254" s="111">
        <f>IF(PAC!$R254&gt;0,0,PAC!$Q254)</f>
        <v>0</v>
      </c>
    </row>
    <row r="255" spans="1:54" s="1" customFormat="1" ht="63" hidden="1" customHeight="1" thickBot="1">
      <c r="A255" s="112">
        <f t="shared" si="3"/>
        <v>250</v>
      </c>
      <c r="B255" s="112">
        <v>2025</v>
      </c>
      <c r="C255" s="112" t="s">
        <v>605</v>
      </c>
      <c r="D255" s="112" t="s">
        <v>1010</v>
      </c>
      <c r="E255" s="114" t="s">
        <v>817</v>
      </c>
      <c r="F255" s="112" t="s">
        <v>53</v>
      </c>
      <c r="G255" s="112" t="s">
        <v>503</v>
      </c>
      <c r="H255" s="115" t="s">
        <v>1244</v>
      </c>
      <c r="I255" s="112" t="s">
        <v>1238</v>
      </c>
      <c r="J255" s="112" t="s">
        <v>361</v>
      </c>
      <c r="K255" s="31">
        <v>1797857.16</v>
      </c>
      <c r="L255" s="31">
        <v>1797857.16</v>
      </c>
      <c r="M255" s="31"/>
      <c r="N255" s="31"/>
      <c r="O255" s="31"/>
      <c r="P255" s="31"/>
      <c r="Q255" s="33">
        <f>SUM(PAC!$M255:$P255)</f>
        <v>0</v>
      </c>
      <c r="R255" s="33"/>
      <c r="S255" s="33">
        <f>IF(PAC!$R255&gt;0,PAC!$R255,PAC!$Q255)</f>
        <v>0</v>
      </c>
      <c r="T255" s="33"/>
      <c r="U255" s="116" t="s">
        <v>1574</v>
      </c>
      <c r="V255" s="116"/>
      <c r="W255" s="117"/>
      <c r="X255" s="117" t="s">
        <v>1419</v>
      </c>
      <c r="Y255" s="113" t="s">
        <v>2478</v>
      </c>
      <c r="Z255" s="118"/>
      <c r="AA255" s="119"/>
      <c r="AB255" s="122"/>
      <c r="AC255" s="115"/>
      <c r="AD255" s="120"/>
      <c r="AE255" s="114"/>
      <c r="AF255" s="115" t="s">
        <v>988</v>
      </c>
      <c r="AG255" s="115"/>
      <c r="AH255" s="115"/>
      <c r="AI255" s="115"/>
      <c r="AJ255" s="118"/>
      <c r="AK255" s="115"/>
      <c r="AL255" s="115"/>
      <c r="AM255" s="115" t="s">
        <v>716</v>
      </c>
      <c r="AN255" s="118"/>
      <c r="AO255" s="118"/>
      <c r="AP255" s="118"/>
      <c r="AQ255" s="118"/>
      <c r="AR255" s="121"/>
      <c r="AS255" s="121"/>
      <c r="AT255" s="116" t="s">
        <v>518</v>
      </c>
      <c r="AU255" s="122"/>
      <c r="AV255" s="120"/>
      <c r="AW255" s="122" t="s">
        <v>836</v>
      </c>
      <c r="AX255" s="194">
        <f>IFERROR(IF(PAC!$X255="F01 - CAPTAÇÃO DE RECURSO",1,""),"")</f>
        <v>1</v>
      </c>
      <c r="AY255" s="194" t="str">
        <f>IFERROR(IF(PAC!$X255="F02 - LICITAÇÃO",1,""),"")</f>
        <v/>
      </c>
      <c r="AZ255" s="123" t="str">
        <f>IFERROR(IF(PAC!$X$6:$X$581="F03 - EXECUÇÃO DO OBJETO",1,""),"")</f>
        <v/>
      </c>
      <c r="BA255" s="123" t="str">
        <f>IFERROR(IF(PAC!$X$6:$X$581="F04 - CONCLUÍDA",1,""),"")</f>
        <v/>
      </c>
      <c r="BB255" s="191">
        <f>IF(PAC!$R255&gt;0,0,PAC!$Q255)</f>
        <v>0</v>
      </c>
    </row>
    <row r="256" spans="1:54" s="1" customFormat="1" ht="63" hidden="1" customHeight="1" thickBot="1">
      <c r="A256" s="88">
        <f t="shared" si="3"/>
        <v>251</v>
      </c>
      <c r="B256" s="88">
        <v>2025</v>
      </c>
      <c r="C256" s="88" t="s">
        <v>605</v>
      </c>
      <c r="D256" s="88" t="s">
        <v>1010</v>
      </c>
      <c r="E256" s="102" t="s">
        <v>818</v>
      </c>
      <c r="F256" s="88" t="s">
        <v>53</v>
      </c>
      <c r="G256" s="88" t="s">
        <v>503</v>
      </c>
      <c r="H256" s="40" t="s">
        <v>1244</v>
      </c>
      <c r="I256" s="88" t="s">
        <v>1238</v>
      </c>
      <c r="J256" s="88" t="s">
        <v>361</v>
      </c>
      <c r="K256" s="18">
        <v>2653175.7599999998</v>
      </c>
      <c r="L256" s="18">
        <v>2653175.7599999998</v>
      </c>
      <c r="M256" s="18"/>
      <c r="N256" s="18"/>
      <c r="O256" s="18"/>
      <c r="P256" s="18"/>
      <c r="Q256" s="20">
        <f>SUM(PAC!$M256:$P256)</f>
        <v>0</v>
      </c>
      <c r="R256" s="20"/>
      <c r="S256" s="20">
        <f>IF(PAC!$R256&gt;0,PAC!$R256,PAC!$Q256)</f>
        <v>0</v>
      </c>
      <c r="T256" s="20"/>
      <c r="U256" s="103" t="s">
        <v>1574</v>
      </c>
      <c r="V256" s="103"/>
      <c r="W256" s="104"/>
      <c r="X256" s="104" t="s">
        <v>1419</v>
      </c>
      <c r="Y256" s="101" t="s">
        <v>2478</v>
      </c>
      <c r="Z256" s="87"/>
      <c r="AA256" s="105"/>
      <c r="AB256" s="108"/>
      <c r="AC256" s="40"/>
      <c r="AD256" s="106"/>
      <c r="AE256" s="102"/>
      <c r="AF256" s="40" t="s">
        <v>988</v>
      </c>
      <c r="AG256" s="40"/>
      <c r="AH256" s="40"/>
      <c r="AI256" s="40"/>
      <c r="AJ256" s="87"/>
      <c r="AK256" s="40"/>
      <c r="AL256" s="40"/>
      <c r="AM256" s="40" t="s">
        <v>716</v>
      </c>
      <c r="AN256" s="87"/>
      <c r="AO256" s="87"/>
      <c r="AP256" s="87"/>
      <c r="AQ256" s="87"/>
      <c r="AR256" s="107"/>
      <c r="AS256" s="107"/>
      <c r="AT256" s="103" t="s">
        <v>518</v>
      </c>
      <c r="AU256" s="108"/>
      <c r="AV256" s="106"/>
      <c r="AW256" s="108" t="s">
        <v>836</v>
      </c>
      <c r="AX256" s="109">
        <f>IFERROR(IF(PAC!$X256="F01 - CAPTAÇÃO DE RECURSO",1,""),"")</f>
        <v>1</v>
      </c>
      <c r="AY256" s="109" t="str">
        <f>IFERROR(IF(PAC!$X256="F02 - LICITAÇÃO",1,""),"")</f>
        <v/>
      </c>
      <c r="AZ256" s="110" t="str">
        <f>IFERROR(IF(PAC!$X$6:$X$581="F03 - EXECUÇÃO DO OBJETO",1,""),"")</f>
        <v/>
      </c>
      <c r="BA256" s="110" t="str">
        <f>IFERROR(IF(PAC!$X$6:$X$581="F04 - CONCLUÍDA",1,""),"")</f>
        <v/>
      </c>
      <c r="BB256" s="111">
        <f>IF(PAC!$R256&gt;0,0,PAC!$Q256)</f>
        <v>0</v>
      </c>
    </row>
    <row r="257" spans="1:54" s="1" customFormat="1" ht="63" hidden="1" customHeight="1" thickBot="1">
      <c r="A257" s="112">
        <f t="shared" si="3"/>
        <v>252</v>
      </c>
      <c r="B257" s="112">
        <v>2025</v>
      </c>
      <c r="C257" s="112" t="s">
        <v>605</v>
      </c>
      <c r="D257" s="112" t="s">
        <v>1010</v>
      </c>
      <c r="E257" s="114" t="s">
        <v>819</v>
      </c>
      <c r="F257" s="112" t="s">
        <v>53</v>
      </c>
      <c r="G257" s="112" t="s">
        <v>503</v>
      </c>
      <c r="H257" s="115" t="s">
        <v>1244</v>
      </c>
      <c r="I257" s="112" t="s">
        <v>1238</v>
      </c>
      <c r="J257" s="112" t="s">
        <v>361</v>
      </c>
      <c r="K257" s="31">
        <v>1840060.39</v>
      </c>
      <c r="L257" s="31">
        <v>1840060.39</v>
      </c>
      <c r="M257" s="31"/>
      <c r="N257" s="31"/>
      <c r="O257" s="31"/>
      <c r="P257" s="31"/>
      <c r="Q257" s="33">
        <f>SUM(PAC!$M257:$P257)</f>
        <v>0</v>
      </c>
      <c r="R257" s="33"/>
      <c r="S257" s="33">
        <f>IF(PAC!$R257&gt;0,PAC!$R257,PAC!$Q257)</f>
        <v>0</v>
      </c>
      <c r="T257" s="33"/>
      <c r="U257" s="116" t="s">
        <v>1574</v>
      </c>
      <c r="V257" s="116"/>
      <c r="W257" s="117"/>
      <c r="X257" s="117" t="s">
        <v>1419</v>
      </c>
      <c r="Y257" s="113" t="s">
        <v>2478</v>
      </c>
      <c r="Z257" s="118"/>
      <c r="AA257" s="119"/>
      <c r="AB257" s="122"/>
      <c r="AC257" s="115"/>
      <c r="AD257" s="120"/>
      <c r="AE257" s="114"/>
      <c r="AF257" s="115" t="s">
        <v>988</v>
      </c>
      <c r="AG257" s="115"/>
      <c r="AH257" s="115"/>
      <c r="AI257" s="115"/>
      <c r="AJ257" s="118"/>
      <c r="AK257" s="115"/>
      <c r="AL257" s="115"/>
      <c r="AM257" s="115" t="s">
        <v>716</v>
      </c>
      <c r="AN257" s="118"/>
      <c r="AO257" s="118"/>
      <c r="AP257" s="118"/>
      <c r="AQ257" s="118"/>
      <c r="AR257" s="121"/>
      <c r="AS257" s="121"/>
      <c r="AT257" s="116" t="s">
        <v>518</v>
      </c>
      <c r="AU257" s="122"/>
      <c r="AV257" s="120"/>
      <c r="AW257" s="122" t="s">
        <v>836</v>
      </c>
      <c r="AX257" s="194">
        <f>IFERROR(IF(PAC!$X257="F01 - CAPTAÇÃO DE RECURSO",1,""),"")</f>
        <v>1</v>
      </c>
      <c r="AY257" s="194" t="str">
        <f>IFERROR(IF(PAC!$X257="F02 - LICITAÇÃO",1,""),"")</f>
        <v/>
      </c>
      <c r="AZ257" s="123" t="str">
        <f>IFERROR(IF(PAC!$X$6:$X$581="F03 - EXECUÇÃO DO OBJETO",1,""),"")</f>
        <v/>
      </c>
      <c r="BA257" s="123" t="str">
        <f>IFERROR(IF(PAC!$X$6:$X$581="F04 - CONCLUÍDA",1,""),"")</f>
        <v/>
      </c>
      <c r="BB257" s="191">
        <f>IF(PAC!$R257&gt;0,0,PAC!$Q257)</f>
        <v>0</v>
      </c>
    </row>
    <row r="258" spans="1:54" s="1" customFormat="1" ht="63" hidden="1" customHeight="1" thickBot="1">
      <c r="A258" s="88">
        <f t="shared" si="3"/>
        <v>253</v>
      </c>
      <c r="B258" s="88">
        <v>2025</v>
      </c>
      <c r="C258" s="88" t="s">
        <v>605</v>
      </c>
      <c r="D258" s="88" t="s">
        <v>1010</v>
      </c>
      <c r="E258" s="102" t="s">
        <v>2792</v>
      </c>
      <c r="F258" s="88" t="s">
        <v>53</v>
      </c>
      <c r="G258" s="88" t="s">
        <v>503</v>
      </c>
      <c r="H258" s="40" t="s">
        <v>1244</v>
      </c>
      <c r="I258" s="88" t="s">
        <v>1238</v>
      </c>
      <c r="J258" s="88" t="s">
        <v>361</v>
      </c>
      <c r="K258" s="18"/>
      <c r="L258" s="18">
        <v>3187749.88</v>
      </c>
      <c r="M258" s="18">
        <v>3187749.88</v>
      </c>
      <c r="N258" s="18"/>
      <c r="O258" s="18"/>
      <c r="P258" s="18"/>
      <c r="Q258" s="20">
        <f>SUM(PAC!$M258:$P258)</f>
        <v>3187749.88</v>
      </c>
      <c r="R258" s="20"/>
      <c r="S258" s="20">
        <f>IF(PAC!$R258&gt;0,PAC!$R258,PAC!$Q258)</f>
        <v>3187749.88</v>
      </c>
      <c r="T258" s="20"/>
      <c r="U258" s="103" t="s">
        <v>1570</v>
      </c>
      <c r="V258" s="103"/>
      <c r="W258" s="104"/>
      <c r="X258" s="104" t="s">
        <v>1419</v>
      </c>
      <c r="Y258" s="101" t="s">
        <v>2473</v>
      </c>
      <c r="Z258" s="87"/>
      <c r="AA258" s="105"/>
      <c r="AB258" s="108" t="s">
        <v>1459</v>
      </c>
      <c r="AC258" s="40" t="s">
        <v>2531</v>
      </c>
      <c r="AD258" s="106"/>
      <c r="AE258" s="102" t="s">
        <v>2434</v>
      </c>
      <c r="AF258" s="40" t="s">
        <v>1637</v>
      </c>
      <c r="AG258" s="40" t="s">
        <v>1701</v>
      </c>
      <c r="AH258" s="40" t="s">
        <v>977</v>
      </c>
      <c r="AI258" s="40"/>
      <c r="AJ258" s="87"/>
      <c r="AK258" s="40" t="s">
        <v>1708</v>
      </c>
      <c r="AL258" s="40" t="s">
        <v>2104</v>
      </c>
      <c r="AM258" s="40" t="s">
        <v>716</v>
      </c>
      <c r="AN258" s="87">
        <v>46265</v>
      </c>
      <c r="AO258" s="87"/>
      <c r="AP258" s="87"/>
      <c r="AQ258" s="87"/>
      <c r="AR258" s="107"/>
      <c r="AS258" s="107"/>
      <c r="AT258" s="103" t="s">
        <v>2793</v>
      </c>
      <c r="AU258" s="108" t="s">
        <v>2693</v>
      </c>
      <c r="AV258" s="106"/>
      <c r="AW258" s="108" t="s">
        <v>836</v>
      </c>
      <c r="AX258" s="109">
        <f>IFERROR(IF(PAC!$X258="F01 - CAPTAÇÃO DE RECURSO",1,""),"")</f>
        <v>1</v>
      </c>
      <c r="AY258" s="109" t="str">
        <f>IFERROR(IF(PAC!$X258="F02 - LICITAÇÃO",1,""),"")</f>
        <v/>
      </c>
      <c r="AZ258" s="110" t="str">
        <f>IFERROR(IF(PAC!$X$6:$X$581="F03 - EXECUÇÃO DO OBJETO",1,""),"")</f>
        <v/>
      </c>
      <c r="BA258" s="110" t="str">
        <f>IFERROR(IF(PAC!$X$6:$X$581="F04 - CONCLUÍDA",1,""),"")</f>
        <v/>
      </c>
      <c r="BB258" s="111">
        <f>IF(PAC!$R258&gt;0,0,PAC!$Q258)</f>
        <v>3187749.88</v>
      </c>
    </row>
    <row r="259" spans="1:54" s="1" customFormat="1" ht="63" hidden="1" customHeight="1" thickBot="1">
      <c r="A259" s="112">
        <f t="shared" si="3"/>
        <v>254</v>
      </c>
      <c r="B259" s="112">
        <v>2025</v>
      </c>
      <c r="C259" s="112" t="s">
        <v>605</v>
      </c>
      <c r="D259" s="112" t="s">
        <v>1010</v>
      </c>
      <c r="E259" s="114" t="s">
        <v>2781</v>
      </c>
      <c r="F259" s="112" t="s">
        <v>53</v>
      </c>
      <c r="G259" s="112" t="s">
        <v>503</v>
      </c>
      <c r="H259" s="115" t="s">
        <v>1244</v>
      </c>
      <c r="I259" s="112" t="s">
        <v>1238</v>
      </c>
      <c r="J259" s="112" t="s">
        <v>361</v>
      </c>
      <c r="K259" s="31"/>
      <c r="L259" s="31">
        <v>5104672.8899999997</v>
      </c>
      <c r="M259" s="31">
        <v>5104672.8899999997</v>
      </c>
      <c r="N259" s="31"/>
      <c r="O259" s="31"/>
      <c r="P259" s="31"/>
      <c r="Q259" s="33">
        <f>SUM(PAC!$M259:$P259)</f>
        <v>5104672.8899999997</v>
      </c>
      <c r="R259" s="33"/>
      <c r="S259" s="33">
        <f>IF(PAC!$R259&gt;0,PAC!$R259,PAC!$Q259)</f>
        <v>5104672.8899999997</v>
      </c>
      <c r="T259" s="33"/>
      <c r="U259" s="116" t="s">
        <v>1570</v>
      </c>
      <c r="V259" s="116"/>
      <c r="W259" s="117"/>
      <c r="X259" s="117" t="s">
        <v>1419</v>
      </c>
      <c r="Y259" s="113" t="s">
        <v>2473</v>
      </c>
      <c r="Z259" s="118"/>
      <c r="AA259" s="119"/>
      <c r="AB259" s="122" t="s">
        <v>1459</v>
      </c>
      <c r="AC259" s="115" t="s">
        <v>2531</v>
      </c>
      <c r="AD259" s="120"/>
      <c r="AE259" s="114" t="s">
        <v>2434</v>
      </c>
      <c r="AF259" s="115" t="s">
        <v>1637</v>
      </c>
      <c r="AG259" s="115" t="s">
        <v>1701</v>
      </c>
      <c r="AH259" s="115" t="s">
        <v>977</v>
      </c>
      <c r="AI259" s="115"/>
      <c r="AJ259" s="118"/>
      <c r="AK259" s="115" t="s">
        <v>2009</v>
      </c>
      <c r="AL259" s="115" t="s">
        <v>2105</v>
      </c>
      <c r="AM259" s="115" t="s">
        <v>716</v>
      </c>
      <c r="AN259" s="118">
        <v>46265</v>
      </c>
      <c r="AO259" s="118"/>
      <c r="AP259" s="118"/>
      <c r="AQ259" s="118"/>
      <c r="AR259" s="121"/>
      <c r="AS259" s="121"/>
      <c r="AT259" s="116" t="s">
        <v>2782</v>
      </c>
      <c r="AU259" s="122" t="s">
        <v>2693</v>
      </c>
      <c r="AV259" s="120"/>
      <c r="AW259" s="122" t="s">
        <v>838</v>
      </c>
      <c r="AX259" s="194">
        <f>IFERROR(IF(PAC!$X259="F01 - CAPTAÇÃO DE RECURSO",1,""),"")</f>
        <v>1</v>
      </c>
      <c r="AY259" s="194" t="str">
        <f>IFERROR(IF(PAC!$X259="F02 - LICITAÇÃO",1,""),"")</f>
        <v/>
      </c>
      <c r="AZ259" s="123" t="str">
        <f>IFERROR(IF(PAC!$X$6:$X$581="F03 - EXECUÇÃO DO OBJETO",1,""),"")</f>
        <v/>
      </c>
      <c r="BA259" s="123" t="str">
        <f>IFERROR(IF(PAC!$X$6:$X$581="F04 - CONCLUÍDA",1,""),"")</f>
        <v/>
      </c>
      <c r="BB259" s="191">
        <f>IF(PAC!$R259&gt;0,0,PAC!$Q259)</f>
        <v>5104672.8899999997</v>
      </c>
    </row>
    <row r="260" spans="1:54" s="1" customFormat="1" ht="63" hidden="1" customHeight="1" thickBot="1">
      <c r="A260" s="88">
        <f t="shared" si="3"/>
        <v>255</v>
      </c>
      <c r="B260" s="88">
        <v>2025</v>
      </c>
      <c r="C260" s="88" t="s">
        <v>605</v>
      </c>
      <c r="D260" s="88" t="s">
        <v>1010</v>
      </c>
      <c r="E260" s="102" t="s">
        <v>820</v>
      </c>
      <c r="F260" s="88" t="s">
        <v>53</v>
      </c>
      <c r="G260" s="88" t="s">
        <v>503</v>
      </c>
      <c r="H260" s="40" t="s">
        <v>1244</v>
      </c>
      <c r="I260" s="88" t="s">
        <v>1238</v>
      </c>
      <c r="J260" s="88" t="s">
        <v>361</v>
      </c>
      <c r="K260" s="18">
        <v>1633264.62</v>
      </c>
      <c r="L260" s="18">
        <v>1633264.62</v>
      </c>
      <c r="M260" s="18"/>
      <c r="N260" s="18"/>
      <c r="O260" s="18"/>
      <c r="P260" s="18"/>
      <c r="Q260" s="20">
        <f>SUM(PAC!$M260:$P260)</f>
        <v>0</v>
      </c>
      <c r="R260" s="20"/>
      <c r="S260" s="20">
        <f>IF(PAC!$R260&gt;0,PAC!$R260,PAC!$Q260)</f>
        <v>0</v>
      </c>
      <c r="T260" s="20"/>
      <c r="U260" s="103" t="s">
        <v>1574</v>
      </c>
      <c r="V260" s="103"/>
      <c r="W260" s="104"/>
      <c r="X260" s="104" t="s">
        <v>1419</v>
      </c>
      <c r="Y260" s="101" t="s">
        <v>2478</v>
      </c>
      <c r="Z260" s="87"/>
      <c r="AA260" s="105"/>
      <c r="AB260" s="108"/>
      <c r="AC260" s="40"/>
      <c r="AD260" s="106"/>
      <c r="AE260" s="102"/>
      <c r="AF260" s="40" t="s">
        <v>988</v>
      </c>
      <c r="AG260" s="40"/>
      <c r="AH260" s="40"/>
      <c r="AI260" s="40"/>
      <c r="AJ260" s="87"/>
      <c r="AK260" s="40"/>
      <c r="AL260" s="40"/>
      <c r="AM260" s="40" t="s">
        <v>716</v>
      </c>
      <c r="AN260" s="87"/>
      <c r="AO260" s="87"/>
      <c r="AP260" s="87"/>
      <c r="AQ260" s="87"/>
      <c r="AR260" s="107"/>
      <c r="AS260" s="107"/>
      <c r="AT260" s="103" t="s">
        <v>518</v>
      </c>
      <c r="AU260" s="108"/>
      <c r="AV260" s="106"/>
      <c r="AW260" s="108" t="s">
        <v>836</v>
      </c>
      <c r="AX260" s="109">
        <f>IFERROR(IF(PAC!$X260="F01 - CAPTAÇÃO DE RECURSO",1,""),"")</f>
        <v>1</v>
      </c>
      <c r="AY260" s="109" t="str">
        <f>IFERROR(IF(PAC!$X260="F02 - LICITAÇÃO",1,""),"")</f>
        <v/>
      </c>
      <c r="AZ260" s="110" t="str">
        <f>IFERROR(IF(PAC!$X$6:$X$581="F03 - EXECUÇÃO DO OBJETO",1,""),"")</f>
        <v/>
      </c>
      <c r="BA260" s="110" t="str">
        <f>IFERROR(IF(PAC!$X$6:$X$581="F04 - CONCLUÍDA",1,""),"")</f>
        <v/>
      </c>
      <c r="BB260" s="111">
        <f>IF(PAC!$R260&gt;0,0,PAC!$Q260)</f>
        <v>0</v>
      </c>
    </row>
    <row r="261" spans="1:54" s="1" customFormat="1" ht="63" hidden="1" customHeight="1" thickBot="1">
      <c r="A261" s="112">
        <f t="shared" ref="A261:A324" si="4">ROW()-5</f>
        <v>256</v>
      </c>
      <c r="B261" s="112">
        <v>2025</v>
      </c>
      <c r="C261" s="112" t="s">
        <v>605</v>
      </c>
      <c r="D261" s="112" t="s">
        <v>1010</v>
      </c>
      <c r="E261" s="114" t="s">
        <v>2806</v>
      </c>
      <c r="F261" s="112" t="s">
        <v>53</v>
      </c>
      <c r="G261" s="112" t="s">
        <v>503</v>
      </c>
      <c r="H261" s="115" t="s">
        <v>1244</v>
      </c>
      <c r="I261" s="112" t="s">
        <v>1238</v>
      </c>
      <c r="J261" s="112" t="s">
        <v>361</v>
      </c>
      <c r="K261" s="31"/>
      <c r="L261" s="31">
        <v>4134508.79</v>
      </c>
      <c r="M261" s="31">
        <v>4134508.79</v>
      </c>
      <c r="N261" s="31"/>
      <c r="O261" s="31"/>
      <c r="P261" s="31"/>
      <c r="Q261" s="33">
        <f>SUM(PAC!$M261:$P261)</f>
        <v>4134508.79</v>
      </c>
      <c r="R261" s="33"/>
      <c r="S261" s="33">
        <f>IF(PAC!$R261&gt;0,PAC!$R261,PAC!$Q261)</f>
        <v>4134508.79</v>
      </c>
      <c r="T261" s="33"/>
      <c r="U261" s="116" t="s">
        <v>1570</v>
      </c>
      <c r="V261" s="116"/>
      <c r="W261" s="117"/>
      <c r="X261" s="117" t="s">
        <v>1419</v>
      </c>
      <c r="Y261" s="113" t="s">
        <v>2473</v>
      </c>
      <c r="Z261" s="118"/>
      <c r="AA261" s="119"/>
      <c r="AB261" s="122" t="s">
        <v>1459</v>
      </c>
      <c r="AC261" s="115" t="s">
        <v>2531</v>
      </c>
      <c r="AD261" s="120"/>
      <c r="AE261" s="114" t="s">
        <v>2434</v>
      </c>
      <c r="AF261" s="115" t="s">
        <v>1637</v>
      </c>
      <c r="AG261" s="115" t="s">
        <v>1701</v>
      </c>
      <c r="AH261" s="115" t="s">
        <v>977</v>
      </c>
      <c r="AI261" s="115"/>
      <c r="AJ261" s="118"/>
      <c r="AK261" s="115" t="s">
        <v>1709</v>
      </c>
      <c r="AL261" s="115" t="s">
        <v>2106</v>
      </c>
      <c r="AM261" s="115" t="s">
        <v>716</v>
      </c>
      <c r="AN261" s="118">
        <v>46265</v>
      </c>
      <c r="AO261" s="118"/>
      <c r="AP261" s="118"/>
      <c r="AQ261" s="118"/>
      <c r="AR261" s="121"/>
      <c r="AS261" s="121"/>
      <c r="AT261" s="116" t="s">
        <v>2807</v>
      </c>
      <c r="AU261" s="122" t="s">
        <v>2693</v>
      </c>
      <c r="AV261" s="120"/>
      <c r="AW261" s="122" t="s">
        <v>836</v>
      </c>
      <c r="AX261" s="194">
        <f>IFERROR(IF(PAC!$X261="F01 - CAPTAÇÃO DE RECURSO",1,""),"")</f>
        <v>1</v>
      </c>
      <c r="AY261" s="194" t="str">
        <f>IFERROR(IF(PAC!$X261="F02 - LICITAÇÃO",1,""),"")</f>
        <v/>
      </c>
      <c r="AZ261" s="123" t="str">
        <f>IFERROR(IF(PAC!$X$6:$X$581="F03 - EXECUÇÃO DO OBJETO",1,""),"")</f>
        <v/>
      </c>
      <c r="BA261" s="123" t="str">
        <f>IFERROR(IF(PAC!$X$6:$X$581="F04 - CONCLUÍDA",1,""),"")</f>
        <v/>
      </c>
      <c r="BB261" s="191">
        <f>IF(PAC!$R261&gt;0,0,PAC!$Q261)</f>
        <v>4134508.79</v>
      </c>
    </row>
    <row r="262" spans="1:54" s="1" customFormat="1" ht="63" hidden="1" customHeight="1" thickBot="1">
      <c r="A262" s="88">
        <f t="shared" si="4"/>
        <v>257</v>
      </c>
      <c r="B262" s="88">
        <v>2025</v>
      </c>
      <c r="C262" s="88" t="s">
        <v>605</v>
      </c>
      <c r="D262" s="88" t="s">
        <v>1010</v>
      </c>
      <c r="E262" s="102" t="s">
        <v>821</v>
      </c>
      <c r="F262" s="88" t="s">
        <v>53</v>
      </c>
      <c r="G262" s="88" t="s">
        <v>503</v>
      </c>
      <c r="H262" s="40" t="s">
        <v>1244</v>
      </c>
      <c r="I262" s="88" t="s">
        <v>1238</v>
      </c>
      <c r="J262" s="88" t="s">
        <v>361</v>
      </c>
      <c r="K262" s="18">
        <v>692132.82000000007</v>
      </c>
      <c r="L262" s="18">
        <v>692132.82000000007</v>
      </c>
      <c r="M262" s="18"/>
      <c r="N262" s="18"/>
      <c r="O262" s="18"/>
      <c r="P262" s="18"/>
      <c r="Q262" s="20">
        <f>SUM(PAC!$M262:$P262)</f>
        <v>0</v>
      </c>
      <c r="R262" s="20"/>
      <c r="S262" s="20">
        <f>IF(PAC!$R262&gt;0,PAC!$R262,PAC!$Q262)</f>
        <v>0</v>
      </c>
      <c r="T262" s="20"/>
      <c r="U262" s="103" t="s">
        <v>1574</v>
      </c>
      <c r="V262" s="103"/>
      <c r="W262" s="104"/>
      <c r="X262" s="104" t="s">
        <v>1419</v>
      </c>
      <c r="Y262" s="101" t="s">
        <v>2478</v>
      </c>
      <c r="Z262" s="87"/>
      <c r="AA262" s="105"/>
      <c r="AB262" s="108"/>
      <c r="AC262" s="40"/>
      <c r="AD262" s="106"/>
      <c r="AE262" s="102"/>
      <c r="AF262" s="40" t="s">
        <v>988</v>
      </c>
      <c r="AG262" s="40"/>
      <c r="AH262" s="40"/>
      <c r="AI262" s="40"/>
      <c r="AJ262" s="87"/>
      <c r="AK262" s="40"/>
      <c r="AL262" s="40"/>
      <c r="AM262" s="40" t="s">
        <v>716</v>
      </c>
      <c r="AN262" s="87"/>
      <c r="AO262" s="87"/>
      <c r="AP262" s="87"/>
      <c r="AQ262" s="87"/>
      <c r="AR262" s="107"/>
      <c r="AS262" s="107"/>
      <c r="AT262" s="103" t="s">
        <v>518</v>
      </c>
      <c r="AU262" s="108"/>
      <c r="AV262" s="106"/>
      <c r="AW262" s="108" t="s">
        <v>836</v>
      </c>
      <c r="AX262" s="109">
        <f>IFERROR(IF(PAC!$X262="F01 - CAPTAÇÃO DE RECURSO",1,""),"")</f>
        <v>1</v>
      </c>
      <c r="AY262" s="109" t="str">
        <f>IFERROR(IF(PAC!$X262="F02 - LICITAÇÃO",1,""),"")</f>
        <v/>
      </c>
      <c r="AZ262" s="110" t="str">
        <f>IFERROR(IF(PAC!$X$6:$X$581="F03 - EXECUÇÃO DO OBJETO",1,""),"")</f>
        <v/>
      </c>
      <c r="BA262" s="110" t="str">
        <f>IFERROR(IF(PAC!$X$6:$X$581="F04 - CONCLUÍDA",1,""),"")</f>
        <v/>
      </c>
      <c r="BB262" s="111">
        <f>IF(PAC!$R262&gt;0,0,PAC!$Q262)</f>
        <v>0</v>
      </c>
    </row>
    <row r="263" spans="1:54" s="1" customFormat="1" ht="63" hidden="1" customHeight="1" thickBot="1">
      <c r="A263" s="112">
        <f t="shared" si="4"/>
        <v>258</v>
      </c>
      <c r="B263" s="112">
        <v>2025</v>
      </c>
      <c r="C263" s="112" t="s">
        <v>605</v>
      </c>
      <c r="D263" s="112" t="s">
        <v>1010</v>
      </c>
      <c r="E263" s="114" t="s">
        <v>822</v>
      </c>
      <c r="F263" s="112" t="s">
        <v>53</v>
      </c>
      <c r="G263" s="112" t="s">
        <v>503</v>
      </c>
      <c r="H263" s="115" t="s">
        <v>1244</v>
      </c>
      <c r="I263" s="112" t="s">
        <v>1238</v>
      </c>
      <c r="J263" s="112" t="s">
        <v>361</v>
      </c>
      <c r="K263" s="31">
        <v>5243871.76</v>
      </c>
      <c r="L263" s="31">
        <v>5243871.76</v>
      </c>
      <c r="M263" s="31"/>
      <c r="N263" s="31"/>
      <c r="O263" s="31"/>
      <c r="P263" s="31"/>
      <c r="Q263" s="33">
        <f>SUM(PAC!$M263:$P263)</f>
        <v>0</v>
      </c>
      <c r="R263" s="33"/>
      <c r="S263" s="33">
        <f>IF(PAC!$R263&gt;0,PAC!$R263,PAC!$Q263)</f>
        <v>0</v>
      </c>
      <c r="T263" s="33"/>
      <c r="U263" s="116" t="s">
        <v>1574</v>
      </c>
      <c r="V263" s="116"/>
      <c r="W263" s="117"/>
      <c r="X263" s="117" t="s">
        <v>1419</v>
      </c>
      <c r="Y263" s="113" t="s">
        <v>2478</v>
      </c>
      <c r="Z263" s="118"/>
      <c r="AA263" s="119"/>
      <c r="AB263" s="122"/>
      <c r="AC263" s="115"/>
      <c r="AD263" s="120"/>
      <c r="AE263" s="114"/>
      <c r="AF263" s="115" t="s">
        <v>988</v>
      </c>
      <c r="AG263" s="115"/>
      <c r="AH263" s="115"/>
      <c r="AI263" s="115"/>
      <c r="AJ263" s="118"/>
      <c r="AK263" s="115"/>
      <c r="AL263" s="115"/>
      <c r="AM263" s="115"/>
      <c r="AN263" s="118"/>
      <c r="AO263" s="118"/>
      <c r="AP263" s="118"/>
      <c r="AQ263" s="118"/>
      <c r="AR263" s="121"/>
      <c r="AS263" s="121"/>
      <c r="AT263" s="116" t="s">
        <v>518</v>
      </c>
      <c r="AU263" s="122"/>
      <c r="AV263" s="120"/>
      <c r="AW263" s="122" t="s">
        <v>838</v>
      </c>
      <c r="AX263" s="194">
        <f>IFERROR(IF(PAC!$X263="F01 - CAPTAÇÃO DE RECURSO",1,""),"")</f>
        <v>1</v>
      </c>
      <c r="AY263" s="194" t="str">
        <f>IFERROR(IF(PAC!$X263="F02 - LICITAÇÃO",1,""),"")</f>
        <v/>
      </c>
      <c r="AZ263" s="123" t="str">
        <f>IFERROR(IF(PAC!$X$6:$X$581="F03 - EXECUÇÃO DO OBJETO",1,""),"")</f>
        <v/>
      </c>
      <c r="BA263" s="123" t="str">
        <f>IFERROR(IF(PAC!$X$6:$X$581="F04 - CONCLUÍDA",1,""),"")</f>
        <v/>
      </c>
      <c r="BB263" s="191">
        <f>IF(PAC!$R263&gt;0,0,PAC!$Q263)</f>
        <v>0</v>
      </c>
    </row>
    <row r="264" spans="1:54" s="1" customFormat="1" ht="63" hidden="1" customHeight="1" thickBot="1">
      <c r="A264" s="88">
        <f t="shared" si="4"/>
        <v>259</v>
      </c>
      <c r="B264" s="88">
        <v>2025</v>
      </c>
      <c r="C264" s="88" t="s">
        <v>605</v>
      </c>
      <c r="D264" s="88" t="s">
        <v>1010</v>
      </c>
      <c r="E264" s="102" t="s">
        <v>823</v>
      </c>
      <c r="F264" s="88" t="s">
        <v>53</v>
      </c>
      <c r="G264" s="88" t="s">
        <v>503</v>
      </c>
      <c r="H264" s="40" t="s">
        <v>1244</v>
      </c>
      <c r="I264" s="88" t="s">
        <v>1238</v>
      </c>
      <c r="J264" s="88" t="s">
        <v>361</v>
      </c>
      <c r="K264" s="18">
        <v>5321872.67</v>
      </c>
      <c r="L264" s="18">
        <v>5321872.67</v>
      </c>
      <c r="M264" s="18"/>
      <c r="N264" s="18"/>
      <c r="O264" s="18"/>
      <c r="P264" s="18"/>
      <c r="Q264" s="20">
        <f>SUM(PAC!$M264:$P264)</f>
        <v>0</v>
      </c>
      <c r="R264" s="20"/>
      <c r="S264" s="20">
        <f>IF(PAC!$R264&gt;0,PAC!$R264,PAC!$Q264)</f>
        <v>0</v>
      </c>
      <c r="T264" s="20"/>
      <c r="U264" s="103" t="s">
        <v>1574</v>
      </c>
      <c r="V264" s="103"/>
      <c r="W264" s="104"/>
      <c r="X264" s="104" t="s">
        <v>1419</v>
      </c>
      <c r="Y264" s="101" t="s">
        <v>2478</v>
      </c>
      <c r="Z264" s="87"/>
      <c r="AA264" s="105"/>
      <c r="AB264" s="108"/>
      <c r="AC264" s="40"/>
      <c r="AD264" s="106"/>
      <c r="AE264" s="102"/>
      <c r="AF264" s="40" t="s">
        <v>988</v>
      </c>
      <c r="AG264" s="40"/>
      <c r="AH264" s="40"/>
      <c r="AI264" s="40"/>
      <c r="AJ264" s="87"/>
      <c r="AK264" s="40"/>
      <c r="AL264" s="40"/>
      <c r="AM264" s="40"/>
      <c r="AN264" s="87"/>
      <c r="AO264" s="87"/>
      <c r="AP264" s="87"/>
      <c r="AQ264" s="87"/>
      <c r="AR264" s="107"/>
      <c r="AS264" s="107"/>
      <c r="AT264" s="103" t="s">
        <v>518</v>
      </c>
      <c r="AU264" s="108"/>
      <c r="AV264" s="106"/>
      <c r="AW264" s="108" t="s">
        <v>838</v>
      </c>
      <c r="AX264" s="109">
        <f>IFERROR(IF(PAC!$X264="F01 - CAPTAÇÃO DE RECURSO",1,""),"")</f>
        <v>1</v>
      </c>
      <c r="AY264" s="109" t="str">
        <f>IFERROR(IF(PAC!$X264="F02 - LICITAÇÃO",1,""),"")</f>
        <v/>
      </c>
      <c r="AZ264" s="110" t="str">
        <f>IFERROR(IF(PAC!$X$6:$X$581="F03 - EXECUÇÃO DO OBJETO",1,""),"")</f>
        <v/>
      </c>
      <c r="BA264" s="110" t="str">
        <f>IFERROR(IF(PAC!$X$6:$X$581="F04 - CONCLUÍDA",1,""),"")</f>
        <v/>
      </c>
      <c r="BB264" s="111">
        <f>IF(PAC!$R264&gt;0,0,PAC!$Q264)</f>
        <v>0</v>
      </c>
    </row>
    <row r="265" spans="1:54" s="1" customFormat="1" ht="63" hidden="1" customHeight="1" thickBot="1">
      <c r="A265" s="112">
        <f t="shared" si="4"/>
        <v>260</v>
      </c>
      <c r="B265" s="112">
        <v>2025</v>
      </c>
      <c r="C265" s="112" t="s">
        <v>605</v>
      </c>
      <c r="D265" s="112" t="s">
        <v>1010</v>
      </c>
      <c r="E265" s="114" t="s">
        <v>2044</v>
      </c>
      <c r="F265" s="112" t="s">
        <v>53</v>
      </c>
      <c r="G265" s="112" t="s">
        <v>503</v>
      </c>
      <c r="H265" s="115" t="s">
        <v>1244</v>
      </c>
      <c r="I265" s="112" t="s">
        <v>1238</v>
      </c>
      <c r="J265" s="112" t="s">
        <v>361</v>
      </c>
      <c r="K265" s="31"/>
      <c r="L265" s="31">
        <v>3449409.85</v>
      </c>
      <c r="M265" s="31">
        <v>3449409.85</v>
      </c>
      <c r="N265" s="31"/>
      <c r="O265" s="31"/>
      <c r="P265" s="31"/>
      <c r="Q265" s="33">
        <f>SUM(PAC!$M265:$P265)</f>
        <v>3449409.85</v>
      </c>
      <c r="R265" s="33">
        <v>2400042.06</v>
      </c>
      <c r="S265" s="33">
        <f>IF(PAC!$R265&gt;0,PAC!$R265,PAC!$Q265)</f>
        <v>2400042.06</v>
      </c>
      <c r="T265" s="33" t="s">
        <v>1590</v>
      </c>
      <c r="U265" s="116" t="s">
        <v>1570</v>
      </c>
      <c r="V265" s="116"/>
      <c r="W265" s="117">
        <v>8</v>
      </c>
      <c r="X265" s="117" t="s">
        <v>1418</v>
      </c>
      <c r="Y265" s="113" t="s">
        <v>2472</v>
      </c>
      <c r="Z265" s="118"/>
      <c r="AA265" s="119"/>
      <c r="AB265" s="122" t="s">
        <v>1469</v>
      </c>
      <c r="AC265" s="115" t="s">
        <v>2694</v>
      </c>
      <c r="AD265" s="120"/>
      <c r="AE265" s="114" t="s">
        <v>2713</v>
      </c>
      <c r="AF265" s="115" t="s">
        <v>1637</v>
      </c>
      <c r="AG265" s="115" t="s">
        <v>1701</v>
      </c>
      <c r="AH265" s="115" t="s">
        <v>977</v>
      </c>
      <c r="AI265" s="115"/>
      <c r="AJ265" s="118"/>
      <c r="AK265" s="115" t="s">
        <v>1710</v>
      </c>
      <c r="AL265" s="115" t="s">
        <v>2098</v>
      </c>
      <c r="AM265" s="115" t="s">
        <v>716</v>
      </c>
      <c r="AN265" s="118">
        <v>46143</v>
      </c>
      <c r="AO265" s="118">
        <v>46189</v>
      </c>
      <c r="AP265" s="118">
        <v>46253</v>
      </c>
      <c r="AQ265" s="118"/>
      <c r="AR265" s="121"/>
      <c r="AS265" s="121"/>
      <c r="AT265" s="116" t="s">
        <v>2692</v>
      </c>
      <c r="AU265" s="122" t="s">
        <v>2712</v>
      </c>
      <c r="AV265" s="120"/>
      <c r="AW265" s="122" t="s">
        <v>707</v>
      </c>
      <c r="AX265" s="194" t="str">
        <f>IFERROR(IF(PAC!$X265="F01 - CAPTAÇÃO DE RECURSO",1,""),"")</f>
        <v/>
      </c>
      <c r="AY265" s="194">
        <f>IFERROR(IF(PAC!$X265="F02 - LICITAÇÃO",1,""),"")</f>
        <v>1</v>
      </c>
      <c r="AZ265" s="123" t="str">
        <f>IFERROR(IF(PAC!$X$6:$X$581="F03 - EXECUÇÃO DO OBJETO",1,""),"")</f>
        <v/>
      </c>
      <c r="BA265" s="123" t="str">
        <f>IFERROR(IF(PAC!$X$6:$X$581="F04 - CONCLUÍDA",1,""),"")</f>
        <v/>
      </c>
      <c r="BB265" s="191">
        <f>IF(PAC!$R265&gt;0,0,PAC!$Q265)</f>
        <v>0</v>
      </c>
    </row>
    <row r="266" spans="1:54" s="1" customFormat="1" ht="63" hidden="1" customHeight="1" thickBot="1">
      <c r="A266" s="88">
        <f t="shared" si="4"/>
        <v>261</v>
      </c>
      <c r="B266" s="88">
        <v>2025</v>
      </c>
      <c r="C266" s="88" t="s">
        <v>605</v>
      </c>
      <c r="D266" s="88" t="s">
        <v>1010</v>
      </c>
      <c r="E266" s="102" t="s">
        <v>2794</v>
      </c>
      <c r="F266" s="88" t="s">
        <v>53</v>
      </c>
      <c r="G266" s="88" t="s">
        <v>503</v>
      </c>
      <c r="H266" s="40" t="s">
        <v>1244</v>
      </c>
      <c r="I266" s="88" t="s">
        <v>1238</v>
      </c>
      <c r="J266" s="88" t="s">
        <v>361</v>
      </c>
      <c r="K266" s="18"/>
      <c r="L266" s="18">
        <v>6554160.0700000003</v>
      </c>
      <c r="M266" s="18">
        <v>6554160.0700000003</v>
      </c>
      <c r="N266" s="18"/>
      <c r="O266" s="18"/>
      <c r="P266" s="18"/>
      <c r="Q266" s="20">
        <f>SUM(PAC!$M266:$P266)</f>
        <v>6554160.0700000003</v>
      </c>
      <c r="R266" s="20"/>
      <c r="S266" s="20">
        <f>IF(PAC!$R266&gt;0,PAC!$R266,PAC!$Q266)</f>
        <v>6554160.0700000003</v>
      </c>
      <c r="T266" s="20"/>
      <c r="U266" s="103" t="s">
        <v>1570</v>
      </c>
      <c r="V266" s="103"/>
      <c r="W266" s="104"/>
      <c r="X266" s="104" t="s">
        <v>1419</v>
      </c>
      <c r="Y266" s="101" t="s">
        <v>2473</v>
      </c>
      <c r="Z266" s="87"/>
      <c r="AA266" s="105"/>
      <c r="AB266" s="108" t="s">
        <v>1459</v>
      </c>
      <c r="AC266" s="40" t="s">
        <v>2531</v>
      </c>
      <c r="AD266" s="106"/>
      <c r="AE266" s="102" t="s">
        <v>2434</v>
      </c>
      <c r="AF266" s="40" t="s">
        <v>1637</v>
      </c>
      <c r="AG266" s="40" t="s">
        <v>1701</v>
      </c>
      <c r="AH266" s="40" t="s">
        <v>977</v>
      </c>
      <c r="AI266" s="40"/>
      <c r="AJ266" s="87"/>
      <c r="AK266" s="40" t="s">
        <v>2010</v>
      </c>
      <c r="AL266" s="40" t="s">
        <v>2107</v>
      </c>
      <c r="AM266" s="40" t="s">
        <v>716</v>
      </c>
      <c r="AN266" s="87">
        <v>46265</v>
      </c>
      <c r="AO266" s="87"/>
      <c r="AP266" s="87"/>
      <c r="AQ266" s="87"/>
      <c r="AR266" s="107"/>
      <c r="AS266" s="107"/>
      <c r="AT266" s="103" t="s">
        <v>2795</v>
      </c>
      <c r="AU266" s="108" t="s">
        <v>2693</v>
      </c>
      <c r="AV266" s="106"/>
      <c r="AW266" s="108" t="s">
        <v>838</v>
      </c>
      <c r="AX266" s="109">
        <f>IFERROR(IF(PAC!$X266="F01 - CAPTAÇÃO DE RECURSO",1,""),"")</f>
        <v>1</v>
      </c>
      <c r="AY266" s="109" t="str">
        <f>IFERROR(IF(PAC!$X266="F02 - LICITAÇÃO",1,""),"")</f>
        <v/>
      </c>
      <c r="AZ266" s="110" t="str">
        <f>IFERROR(IF(PAC!$X$6:$X$581="F03 - EXECUÇÃO DO OBJETO",1,""),"")</f>
        <v/>
      </c>
      <c r="BA266" s="110" t="str">
        <f>IFERROR(IF(PAC!$X$6:$X$581="F04 - CONCLUÍDA",1,""),"")</f>
        <v/>
      </c>
      <c r="BB266" s="111">
        <f>IF(PAC!$R266&gt;0,0,PAC!$Q266)</f>
        <v>6554160.0700000003</v>
      </c>
    </row>
    <row r="267" spans="1:54" s="1" customFormat="1" ht="63" hidden="1" customHeight="1" thickBot="1">
      <c r="A267" s="112">
        <f t="shared" si="4"/>
        <v>262</v>
      </c>
      <c r="B267" s="112">
        <v>2025</v>
      </c>
      <c r="C267" s="112" t="s">
        <v>605</v>
      </c>
      <c r="D267" s="112" t="s">
        <v>1010</v>
      </c>
      <c r="E267" s="114" t="s">
        <v>824</v>
      </c>
      <c r="F267" s="112" t="s">
        <v>53</v>
      </c>
      <c r="G267" s="112" t="s">
        <v>503</v>
      </c>
      <c r="H267" s="115" t="s">
        <v>1244</v>
      </c>
      <c r="I267" s="112" t="s">
        <v>1238</v>
      </c>
      <c r="J267" s="112" t="s">
        <v>361</v>
      </c>
      <c r="K267" s="31">
        <v>1545000</v>
      </c>
      <c r="L267" s="31">
        <v>1545000</v>
      </c>
      <c r="M267" s="31"/>
      <c r="N267" s="31"/>
      <c r="O267" s="31"/>
      <c r="P267" s="31"/>
      <c r="Q267" s="33">
        <f>SUM(PAC!$M267:$P267)</f>
        <v>0</v>
      </c>
      <c r="R267" s="33"/>
      <c r="S267" s="33">
        <f>IF(PAC!$R267&gt;0,PAC!$R267,PAC!$Q267)</f>
        <v>0</v>
      </c>
      <c r="T267" s="33"/>
      <c r="U267" s="116" t="s">
        <v>1574</v>
      </c>
      <c r="V267" s="116"/>
      <c r="W267" s="117"/>
      <c r="X267" s="117" t="s">
        <v>1419</v>
      </c>
      <c r="Y267" s="113" t="s">
        <v>2478</v>
      </c>
      <c r="Z267" s="118"/>
      <c r="AA267" s="119"/>
      <c r="AB267" s="122"/>
      <c r="AC267" s="115"/>
      <c r="AD267" s="120"/>
      <c r="AE267" s="114"/>
      <c r="AF267" s="115" t="s">
        <v>988</v>
      </c>
      <c r="AG267" s="115"/>
      <c r="AH267" s="115"/>
      <c r="AI267" s="115"/>
      <c r="AJ267" s="118"/>
      <c r="AK267" s="115"/>
      <c r="AL267" s="115"/>
      <c r="AM267" s="115" t="s">
        <v>716</v>
      </c>
      <c r="AN267" s="118"/>
      <c r="AO267" s="118"/>
      <c r="AP267" s="118"/>
      <c r="AQ267" s="118"/>
      <c r="AR267" s="121"/>
      <c r="AS267" s="121"/>
      <c r="AT267" s="116" t="s">
        <v>518</v>
      </c>
      <c r="AU267" s="122"/>
      <c r="AV267" s="120"/>
      <c r="AW267" s="122" t="s">
        <v>838</v>
      </c>
      <c r="AX267" s="194">
        <f>IFERROR(IF(PAC!$X267="F01 - CAPTAÇÃO DE RECURSO",1,""),"")</f>
        <v>1</v>
      </c>
      <c r="AY267" s="194" t="str">
        <f>IFERROR(IF(PAC!$X267="F02 - LICITAÇÃO",1,""),"")</f>
        <v/>
      </c>
      <c r="AZ267" s="123" t="str">
        <f>IFERROR(IF(PAC!$X$6:$X$581="F03 - EXECUÇÃO DO OBJETO",1,""),"")</f>
        <v/>
      </c>
      <c r="BA267" s="123" t="str">
        <f>IFERROR(IF(PAC!$X$6:$X$581="F04 - CONCLUÍDA",1,""),"")</f>
        <v/>
      </c>
      <c r="BB267" s="191">
        <f>IF(PAC!$R267&gt;0,0,PAC!$Q267)</f>
        <v>0</v>
      </c>
    </row>
    <row r="268" spans="1:54" s="1" customFormat="1" ht="63" hidden="1" customHeight="1" thickBot="1">
      <c r="A268" s="88">
        <f t="shared" si="4"/>
        <v>263</v>
      </c>
      <c r="B268" s="88">
        <v>2025</v>
      </c>
      <c r="C268" s="88" t="s">
        <v>605</v>
      </c>
      <c r="D268" s="88" t="s">
        <v>1010</v>
      </c>
      <c r="E268" s="102" t="s">
        <v>825</v>
      </c>
      <c r="F268" s="88" t="s">
        <v>53</v>
      </c>
      <c r="G268" s="88" t="s">
        <v>503</v>
      </c>
      <c r="H268" s="40" t="s">
        <v>1244</v>
      </c>
      <c r="I268" s="88" t="s">
        <v>1238</v>
      </c>
      <c r="J268" s="88" t="s">
        <v>361</v>
      </c>
      <c r="K268" s="18">
        <v>671031.21</v>
      </c>
      <c r="L268" s="18">
        <v>671031.21</v>
      </c>
      <c r="M268" s="18"/>
      <c r="N268" s="18"/>
      <c r="O268" s="18"/>
      <c r="P268" s="18"/>
      <c r="Q268" s="20">
        <f>SUM(PAC!$M268:$P268)</f>
        <v>0</v>
      </c>
      <c r="R268" s="20"/>
      <c r="S268" s="20">
        <f>IF(PAC!$R268&gt;0,PAC!$R268,PAC!$Q268)</f>
        <v>0</v>
      </c>
      <c r="T268" s="20"/>
      <c r="U268" s="103" t="s">
        <v>1574</v>
      </c>
      <c r="V268" s="103"/>
      <c r="W268" s="104"/>
      <c r="X268" s="104" t="s">
        <v>1419</v>
      </c>
      <c r="Y268" s="101" t="s">
        <v>2478</v>
      </c>
      <c r="Z268" s="87"/>
      <c r="AA268" s="105"/>
      <c r="AB268" s="108"/>
      <c r="AC268" s="40"/>
      <c r="AD268" s="106"/>
      <c r="AE268" s="102"/>
      <c r="AF268" s="40" t="s">
        <v>988</v>
      </c>
      <c r="AG268" s="40"/>
      <c r="AH268" s="40"/>
      <c r="AI268" s="40"/>
      <c r="AJ268" s="87"/>
      <c r="AK268" s="40"/>
      <c r="AL268" s="40"/>
      <c r="AM268" s="40" t="s">
        <v>716</v>
      </c>
      <c r="AN268" s="87"/>
      <c r="AO268" s="87"/>
      <c r="AP268" s="87"/>
      <c r="AQ268" s="87"/>
      <c r="AR268" s="107"/>
      <c r="AS268" s="107"/>
      <c r="AT268" s="103" t="s">
        <v>518</v>
      </c>
      <c r="AU268" s="108"/>
      <c r="AV268" s="106"/>
      <c r="AW268" s="108" t="s">
        <v>836</v>
      </c>
      <c r="AX268" s="109">
        <f>IFERROR(IF(PAC!$X268="F01 - CAPTAÇÃO DE RECURSO",1,""),"")</f>
        <v>1</v>
      </c>
      <c r="AY268" s="109" t="str">
        <f>IFERROR(IF(PAC!$X268="F02 - LICITAÇÃO",1,""),"")</f>
        <v/>
      </c>
      <c r="AZ268" s="110" t="str">
        <f>IFERROR(IF(PAC!$X$6:$X$581="F03 - EXECUÇÃO DO OBJETO",1,""),"")</f>
        <v/>
      </c>
      <c r="BA268" s="110" t="str">
        <f>IFERROR(IF(PAC!$X$6:$X$581="F04 - CONCLUÍDA",1,""),"")</f>
        <v/>
      </c>
      <c r="BB268" s="111">
        <f>IF(PAC!$R268&gt;0,0,PAC!$Q268)</f>
        <v>0</v>
      </c>
    </row>
    <row r="269" spans="1:54" s="1" customFormat="1" ht="63" hidden="1" customHeight="1" thickBot="1">
      <c r="A269" s="112">
        <f t="shared" si="4"/>
        <v>264</v>
      </c>
      <c r="B269" s="112">
        <v>2025</v>
      </c>
      <c r="C269" s="112" t="s">
        <v>605</v>
      </c>
      <c r="D269" s="112" t="s">
        <v>1010</v>
      </c>
      <c r="E269" s="114" t="s">
        <v>826</v>
      </c>
      <c r="F269" s="112" t="s">
        <v>53</v>
      </c>
      <c r="G269" s="112" t="s">
        <v>503</v>
      </c>
      <c r="H269" s="115" t="s">
        <v>1244</v>
      </c>
      <c r="I269" s="112" t="s">
        <v>1238</v>
      </c>
      <c r="J269" s="112" t="s">
        <v>361</v>
      </c>
      <c r="K269" s="31">
        <v>1535234</v>
      </c>
      <c r="L269" s="31">
        <v>1535234</v>
      </c>
      <c r="M269" s="31"/>
      <c r="N269" s="31"/>
      <c r="O269" s="31"/>
      <c r="P269" s="31"/>
      <c r="Q269" s="33">
        <f>SUM(PAC!$M269:$P269)</f>
        <v>0</v>
      </c>
      <c r="R269" s="33"/>
      <c r="S269" s="33">
        <f>IF(PAC!$R269&gt;0,PAC!$R269,PAC!$Q269)</f>
        <v>0</v>
      </c>
      <c r="T269" s="33"/>
      <c r="U269" s="116" t="s">
        <v>1574</v>
      </c>
      <c r="V269" s="116"/>
      <c r="W269" s="117"/>
      <c r="X269" s="117" t="s">
        <v>1419</v>
      </c>
      <c r="Y269" s="113" t="s">
        <v>2478</v>
      </c>
      <c r="Z269" s="118"/>
      <c r="AA269" s="119"/>
      <c r="AB269" s="122"/>
      <c r="AC269" s="115"/>
      <c r="AD269" s="120"/>
      <c r="AE269" s="114"/>
      <c r="AF269" s="115" t="s">
        <v>988</v>
      </c>
      <c r="AG269" s="115"/>
      <c r="AH269" s="115"/>
      <c r="AI269" s="115"/>
      <c r="AJ269" s="118"/>
      <c r="AK269" s="115"/>
      <c r="AL269" s="115"/>
      <c r="AM269" s="115" t="s">
        <v>716</v>
      </c>
      <c r="AN269" s="118"/>
      <c r="AO269" s="118"/>
      <c r="AP269" s="118"/>
      <c r="AQ269" s="118"/>
      <c r="AR269" s="121"/>
      <c r="AS269" s="121"/>
      <c r="AT269" s="116" t="s">
        <v>518</v>
      </c>
      <c r="AU269" s="122"/>
      <c r="AV269" s="120"/>
      <c r="AW269" s="122" t="s">
        <v>838</v>
      </c>
      <c r="AX269" s="194">
        <f>IFERROR(IF(PAC!$X269="F01 - CAPTAÇÃO DE RECURSO",1,""),"")</f>
        <v>1</v>
      </c>
      <c r="AY269" s="194" t="str">
        <f>IFERROR(IF(PAC!$X269="F02 - LICITAÇÃO",1,""),"")</f>
        <v/>
      </c>
      <c r="AZ269" s="123" t="str">
        <f>IFERROR(IF(PAC!$X$6:$X$581="F03 - EXECUÇÃO DO OBJETO",1,""),"")</f>
        <v/>
      </c>
      <c r="BA269" s="123" t="str">
        <f>IFERROR(IF(PAC!$X$6:$X$581="F04 - CONCLUÍDA",1,""),"")</f>
        <v/>
      </c>
      <c r="BB269" s="191">
        <f>IF(PAC!$R269&gt;0,0,PAC!$Q269)</f>
        <v>0</v>
      </c>
    </row>
    <row r="270" spans="1:54" s="1" customFormat="1" ht="63" hidden="1" customHeight="1" thickBot="1">
      <c r="A270" s="88">
        <f t="shared" si="4"/>
        <v>265</v>
      </c>
      <c r="B270" s="88">
        <v>2025</v>
      </c>
      <c r="C270" s="88" t="s">
        <v>605</v>
      </c>
      <c r="D270" s="88" t="s">
        <v>1010</v>
      </c>
      <c r="E270" s="102" t="s">
        <v>827</v>
      </c>
      <c r="F270" s="88" t="s">
        <v>53</v>
      </c>
      <c r="G270" s="88" t="s">
        <v>503</v>
      </c>
      <c r="H270" s="40" t="s">
        <v>1244</v>
      </c>
      <c r="I270" s="88" t="s">
        <v>1238</v>
      </c>
      <c r="J270" s="88" t="s">
        <v>361</v>
      </c>
      <c r="K270" s="18">
        <v>2008873.2600000002</v>
      </c>
      <c r="L270" s="18">
        <v>2008873.2600000002</v>
      </c>
      <c r="M270" s="18"/>
      <c r="N270" s="18"/>
      <c r="O270" s="18"/>
      <c r="P270" s="18"/>
      <c r="Q270" s="20">
        <f>SUM(PAC!$M270:$P270)</f>
        <v>0</v>
      </c>
      <c r="R270" s="20"/>
      <c r="S270" s="20">
        <f>IF(PAC!$R270&gt;0,PAC!$R270,PAC!$Q270)</f>
        <v>0</v>
      </c>
      <c r="T270" s="20"/>
      <c r="U270" s="103" t="s">
        <v>1574</v>
      </c>
      <c r="V270" s="103"/>
      <c r="W270" s="104"/>
      <c r="X270" s="104" t="s">
        <v>1419</v>
      </c>
      <c r="Y270" s="101" t="s">
        <v>2478</v>
      </c>
      <c r="Z270" s="87"/>
      <c r="AA270" s="105"/>
      <c r="AB270" s="108"/>
      <c r="AC270" s="40"/>
      <c r="AD270" s="106"/>
      <c r="AE270" s="102"/>
      <c r="AF270" s="40" t="s">
        <v>988</v>
      </c>
      <c r="AG270" s="40"/>
      <c r="AH270" s="40"/>
      <c r="AI270" s="40"/>
      <c r="AJ270" s="87"/>
      <c r="AK270" s="40"/>
      <c r="AL270" s="40"/>
      <c r="AM270" s="40" t="s">
        <v>716</v>
      </c>
      <c r="AN270" s="87"/>
      <c r="AO270" s="87"/>
      <c r="AP270" s="87"/>
      <c r="AQ270" s="87"/>
      <c r="AR270" s="107"/>
      <c r="AS270" s="107"/>
      <c r="AT270" s="103" t="s">
        <v>518</v>
      </c>
      <c r="AU270" s="108"/>
      <c r="AV270" s="106"/>
      <c r="AW270" s="108" t="s">
        <v>836</v>
      </c>
      <c r="AX270" s="109">
        <f>IFERROR(IF(PAC!$X270="F01 - CAPTAÇÃO DE RECURSO",1,""),"")</f>
        <v>1</v>
      </c>
      <c r="AY270" s="109" t="str">
        <f>IFERROR(IF(PAC!$X270="F02 - LICITAÇÃO",1,""),"")</f>
        <v/>
      </c>
      <c r="AZ270" s="110" t="str">
        <f>IFERROR(IF(PAC!$X$6:$X$581="F03 - EXECUÇÃO DO OBJETO",1,""),"")</f>
        <v/>
      </c>
      <c r="BA270" s="110" t="str">
        <f>IFERROR(IF(PAC!$X$6:$X$581="F04 - CONCLUÍDA",1,""),"")</f>
        <v/>
      </c>
      <c r="BB270" s="111">
        <f>IF(PAC!$R270&gt;0,0,PAC!$Q270)</f>
        <v>0</v>
      </c>
    </row>
    <row r="271" spans="1:54" s="1" customFormat="1" ht="63" hidden="1" customHeight="1" thickBot="1">
      <c r="A271" s="112">
        <f t="shared" si="4"/>
        <v>266</v>
      </c>
      <c r="B271" s="112">
        <v>2025</v>
      </c>
      <c r="C271" s="112" t="s">
        <v>605</v>
      </c>
      <c r="D271" s="112" t="s">
        <v>1010</v>
      </c>
      <c r="E271" s="114" t="s">
        <v>828</v>
      </c>
      <c r="F271" s="112" t="s">
        <v>53</v>
      </c>
      <c r="G271" s="112" t="s">
        <v>503</v>
      </c>
      <c r="H271" s="115" t="s">
        <v>1244</v>
      </c>
      <c r="I271" s="112" t="s">
        <v>1238</v>
      </c>
      <c r="J271" s="112" t="s">
        <v>361</v>
      </c>
      <c r="K271" s="31">
        <v>1899144.9000000001</v>
      </c>
      <c r="L271" s="31">
        <v>1899144.9000000001</v>
      </c>
      <c r="M271" s="31"/>
      <c r="N271" s="31"/>
      <c r="O271" s="31"/>
      <c r="P271" s="31"/>
      <c r="Q271" s="33">
        <f>SUM(PAC!$M271:$P271)</f>
        <v>0</v>
      </c>
      <c r="R271" s="33"/>
      <c r="S271" s="33">
        <f>IF(PAC!$R271&gt;0,PAC!$R271,PAC!$Q271)</f>
        <v>0</v>
      </c>
      <c r="T271" s="33"/>
      <c r="U271" s="116" t="s">
        <v>1574</v>
      </c>
      <c r="V271" s="116"/>
      <c r="W271" s="117"/>
      <c r="X271" s="117" t="s">
        <v>1419</v>
      </c>
      <c r="Y271" s="113" t="s">
        <v>2478</v>
      </c>
      <c r="Z271" s="118"/>
      <c r="AA271" s="119"/>
      <c r="AB271" s="122"/>
      <c r="AC271" s="115"/>
      <c r="AD271" s="120"/>
      <c r="AE271" s="114"/>
      <c r="AF271" s="115" t="s">
        <v>988</v>
      </c>
      <c r="AG271" s="115"/>
      <c r="AH271" s="115"/>
      <c r="AI271" s="115"/>
      <c r="AJ271" s="118"/>
      <c r="AK271" s="115"/>
      <c r="AL271" s="115"/>
      <c r="AM271" s="115" t="s">
        <v>716</v>
      </c>
      <c r="AN271" s="118"/>
      <c r="AO271" s="118"/>
      <c r="AP271" s="118"/>
      <c r="AQ271" s="118"/>
      <c r="AR271" s="121"/>
      <c r="AS271" s="121"/>
      <c r="AT271" s="116" t="s">
        <v>518</v>
      </c>
      <c r="AU271" s="122"/>
      <c r="AV271" s="120"/>
      <c r="AW271" s="122" t="s">
        <v>836</v>
      </c>
      <c r="AX271" s="194">
        <f>IFERROR(IF(PAC!$X271="F01 - CAPTAÇÃO DE RECURSO",1,""),"")</f>
        <v>1</v>
      </c>
      <c r="AY271" s="194" t="str">
        <f>IFERROR(IF(PAC!$X271="F02 - LICITAÇÃO",1,""),"")</f>
        <v/>
      </c>
      <c r="AZ271" s="123" t="str">
        <f>IFERROR(IF(PAC!$X$6:$X$581="F03 - EXECUÇÃO DO OBJETO",1,""),"")</f>
        <v/>
      </c>
      <c r="BA271" s="123" t="str">
        <f>IFERROR(IF(PAC!$X$6:$X$581="F04 - CONCLUÍDA",1,""),"")</f>
        <v/>
      </c>
      <c r="BB271" s="191">
        <f>IF(PAC!$R271&gt;0,0,PAC!$Q271)</f>
        <v>0</v>
      </c>
    </row>
    <row r="272" spans="1:54" s="1" customFormat="1" ht="63" hidden="1" customHeight="1" thickBot="1">
      <c r="A272" s="88">
        <f t="shared" si="4"/>
        <v>267</v>
      </c>
      <c r="B272" s="88">
        <v>2025</v>
      </c>
      <c r="C272" s="88" t="s">
        <v>605</v>
      </c>
      <c r="D272" s="88" t="s">
        <v>1010</v>
      </c>
      <c r="E272" s="102" t="s">
        <v>829</v>
      </c>
      <c r="F272" s="88" t="s">
        <v>53</v>
      </c>
      <c r="G272" s="88" t="s">
        <v>503</v>
      </c>
      <c r="H272" s="40" t="s">
        <v>1244</v>
      </c>
      <c r="I272" s="88" t="s">
        <v>1238</v>
      </c>
      <c r="J272" s="88" t="s">
        <v>361</v>
      </c>
      <c r="K272" s="18">
        <v>1927280.38</v>
      </c>
      <c r="L272" s="18">
        <v>1927280.38</v>
      </c>
      <c r="M272" s="18"/>
      <c r="N272" s="18"/>
      <c r="O272" s="18"/>
      <c r="P272" s="18"/>
      <c r="Q272" s="20">
        <f>SUM(PAC!$M272:$P272)</f>
        <v>0</v>
      </c>
      <c r="R272" s="20"/>
      <c r="S272" s="20">
        <f>IF(PAC!$R272&gt;0,PAC!$R272,PAC!$Q272)</f>
        <v>0</v>
      </c>
      <c r="T272" s="20"/>
      <c r="U272" s="103" t="s">
        <v>1574</v>
      </c>
      <c r="V272" s="103"/>
      <c r="W272" s="104"/>
      <c r="X272" s="104" t="s">
        <v>1419</v>
      </c>
      <c r="Y272" s="101" t="s">
        <v>2478</v>
      </c>
      <c r="Z272" s="87"/>
      <c r="AA272" s="105"/>
      <c r="AB272" s="108"/>
      <c r="AC272" s="40"/>
      <c r="AD272" s="106"/>
      <c r="AE272" s="102"/>
      <c r="AF272" s="40" t="s">
        <v>988</v>
      </c>
      <c r="AG272" s="40"/>
      <c r="AH272" s="40"/>
      <c r="AI272" s="40"/>
      <c r="AJ272" s="87"/>
      <c r="AK272" s="40"/>
      <c r="AL272" s="40"/>
      <c r="AM272" s="40" t="s">
        <v>716</v>
      </c>
      <c r="AN272" s="87"/>
      <c r="AO272" s="87"/>
      <c r="AP272" s="87"/>
      <c r="AQ272" s="87"/>
      <c r="AR272" s="107"/>
      <c r="AS272" s="107"/>
      <c r="AT272" s="103" t="s">
        <v>2169</v>
      </c>
      <c r="AU272" s="108"/>
      <c r="AV272" s="106"/>
      <c r="AW272" s="108" t="s">
        <v>836</v>
      </c>
      <c r="AX272" s="109">
        <f>IFERROR(IF(PAC!$X272="F01 - CAPTAÇÃO DE RECURSO",1,""),"")</f>
        <v>1</v>
      </c>
      <c r="AY272" s="109" t="str">
        <f>IFERROR(IF(PAC!$X272="F02 - LICITAÇÃO",1,""),"")</f>
        <v/>
      </c>
      <c r="AZ272" s="110" t="str">
        <f>IFERROR(IF(PAC!$X$6:$X$581="F03 - EXECUÇÃO DO OBJETO",1,""),"")</f>
        <v/>
      </c>
      <c r="BA272" s="110" t="str">
        <f>IFERROR(IF(PAC!$X$6:$X$581="F04 - CONCLUÍDA",1,""),"")</f>
        <v/>
      </c>
      <c r="BB272" s="111">
        <f>IF(PAC!$R272&gt;0,0,PAC!$Q272)</f>
        <v>0</v>
      </c>
    </row>
    <row r="273" spans="1:54" s="1" customFormat="1" ht="63" hidden="1" customHeight="1" thickBot="1">
      <c r="A273" s="112">
        <f t="shared" si="4"/>
        <v>268</v>
      </c>
      <c r="B273" s="112">
        <v>2025</v>
      </c>
      <c r="C273" s="112" t="s">
        <v>605</v>
      </c>
      <c r="D273" s="112" t="s">
        <v>1010</v>
      </c>
      <c r="E273" s="114" t="s">
        <v>784</v>
      </c>
      <c r="F273" s="112" t="s">
        <v>53</v>
      </c>
      <c r="G273" s="112" t="s">
        <v>503</v>
      </c>
      <c r="H273" s="115" t="s">
        <v>1244</v>
      </c>
      <c r="I273" s="112" t="s">
        <v>1238</v>
      </c>
      <c r="J273" s="112" t="s">
        <v>401</v>
      </c>
      <c r="K273" s="31"/>
      <c r="L273" s="31">
        <v>1482739.8</v>
      </c>
      <c r="M273" s="31">
        <v>1482739.8</v>
      </c>
      <c r="N273" s="31"/>
      <c r="O273" s="31"/>
      <c r="P273" s="31"/>
      <c r="Q273" s="33">
        <f>SUM(PAC!$M273:$P273)</f>
        <v>1482739.8</v>
      </c>
      <c r="R273" s="33"/>
      <c r="S273" s="33">
        <f>IF(PAC!$R273&gt;0,PAC!$R273,PAC!$Q273)</f>
        <v>1482739.8</v>
      </c>
      <c r="T273" s="33"/>
      <c r="U273" s="116" t="s">
        <v>1570</v>
      </c>
      <c r="V273" s="116"/>
      <c r="W273" s="117">
        <v>6</v>
      </c>
      <c r="X273" s="117" t="s">
        <v>1418</v>
      </c>
      <c r="Y273" s="113" t="s">
        <v>2472</v>
      </c>
      <c r="Z273" s="118"/>
      <c r="AA273" s="119"/>
      <c r="AB273" s="122" t="s">
        <v>1464</v>
      </c>
      <c r="AC273" s="115" t="s">
        <v>2657</v>
      </c>
      <c r="AD273" s="120">
        <v>46274</v>
      </c>
      <c r="AE273" s="114" t="s">
        <v>2682</v>
      </c>
      <c r="AF273" s="115" t="s">
        <v>1638</v>
      </c>
      <c r="AG273" s="115" t="s">
        <v>1723</v>
      </c>
      <c r="AH273" s="115" t="s">
        <v>977</v>
      </c>
      <c r="AI273" s="115"/>
      <c r="AJ273" s="118"/>
      <c r="AK273" s="115" t="s">
        <v>1724</v>
      </c>
      <c r="AL273" s="115" t="s">
        <v>2117</v>
      </c>
      <c r="AM273" s="115" t="s">
        <v>716</v>
      </c>
      <c r="AN273" s="118">
        <v>46247</v>
      </c>
      <c r="AO273" s="118">
        <v>46274</v>
      </c>
      <c r="AP273" s="118"/>
      <c r="AQ273" s="118"/>
      <c r="AR273" s="121"/>
      <c r="AS273" s="121"/>
      <c r="AT273" s="116" t="s">
        <v>2343</v>
      </c>
      <c r="AU273" s="122" t="s">
        <v>2658</v>
      </c>
      <c r="AV273" s="120"/>
      <c r="AW273" s="122" t="s">
        <v>707</v>
      </c>
      <c r="AX273" s="194" t="str">
        <f>IFERROR(IF(PAC!$X273="F01 - CAPTAÇÃO DE RECURSO",1,""),"")</f>
        <v/>
      </c>
      <c r="AY273" s="194">
        <f>IFERROR(IF(PAC!$X273="F02 - LICITAÇÃO",1,""),"")</f>
        <v>1</v>
      </c>
      <c r="AZ273" s="123" t="str">
        <f>IFERROR(IF(PAC!$X$6:$X$581="F03 - EXECUÇÃO DO OBJETO",1,""),"")</f>
        <v/>
      </c>
      <c r="BA273" s="123" t="str">
        <f>IFERROR(IF(PAC!$X$6:$X$581="F04 - CONCLUÍDA",1,""),"")</f>
        <v/>
      </c>
      <c r="BB273" s="191">
        <f>IF(PAC!$R273&gt;0,0,PAC!$Q273)</f>
        <v>1482739.8</v>
      </c>
    </row>
    <row r="274" spans="1:54" s="1" customFormat="1" ht="63" hidden="1" customHeight="1" thickBot="1">
      <c r="A274" s="88">
        <f t="shared" si="4"/>
        <v>269</v>
      </c>
      <c r="B274" s="88">
        <v>2025</v>
      </c>
      <c r="C274" s="88" t="s">
        <v>605</v>
      </c>
      <c r="D274" s="88" t="s">
        <v>1010</v>
      </c>
      <c r="E274" s="102" t="s">
        <v>830</v>
      </c>
      <c r="F274" s="88" t="s">
        <v>53</v>
      </c>
      <c r="G274" s="88" t="s">
        <v>503</v>
      </c>
      <c r="H274" s="40" t="s">
        <v>1244</v>
      </c>
      <c r="I274" s="88" t="s">
        <v>1238</v>
      </c>
      <c r="J274" s="88" t="s">
        <v>361</v>
      </c>
      <c r="K274" s="18">
        <v>1422248.52</v>
      </c>
      <c r="L274" s="18">
        <v>1422248.52</v>
      </c>
      <c r="M274" s="18"/>
      <c r="N274" s="18"/>
      <c r="O274" s="18"/>
      <c r="P274" s="18"/>
      <c r="Q274" s="20">
        <f>SUM(PAC!$M274:$P274)</f>
        <v>0</v>
      </c>
      <c r="R274" s="20"/>
      <c r="S274" s="20">
        <f>IF(PAC!$R274&gt;0,PAC!$R274,PAC!$Q274)</f>
        <v>0</v>
      </c>
      <c r="T274" s="20"/>
      <c r="U274" s="103" t="s">
        <v>1574</v>
      </c>
      <c r="V274" s="103"/>
      <c r="W274" s="104"/>
      <c r="X274" s="104" t="s">
        <v>1419</v>
      </c>
      <c r="Y274" s="101" t="s">
        <v>2478</v>
      </c>
      <c r="Z274" s="87"/>
      <c r="AA274" s="105"/>
      <c r="AB274" s="108"/>
      <c r="AC274" s="40"/>
      <c r="AD274" s="106"/>
      <c r="AE274" s="102"/>
      <c r="AF274" s="40" t="s">
        <v>988</v>
      </c>
      <c r="AG274" s="40"/>
      <c r="AH274" s="40"/>
      <c r="AI274" s="40"/>
      <c r="AJ274" s="87"/>
      <c r="AK274" s="40"/>
      <c r="AL274" s="40"/>
      <c r="AM274" s="40" t="s">
        <v>716</v>
      </c>
      <c r="AN274" s="87"/>
      <c r="AO274" s="87"/>
      <c r="AP274" s="87"/>
      <c r="AQ274" s="87"/>
      <c r="AR274" s="107"/>
      <c r="AS274" s="107"/>
      <c r="AT274" s="103" t="s">
        <v>518</v>
      </c>
      <c r="AU274" s="108"/>
      <c r="AV274" s="106"/>
      <c r="AW274" s="108" t="s">
        <v>836</v>
      </c>
      <c r="AX274" s="109">
        <f>IFERROR(IF(PAC!$X274="F01 - CAPTAÇÃO DE RECURSO",1,""),"")</f>
        <v>1</v>
      </c>
      <c r="AY274" s="109" t="str">
        <f>IFERROR(IF(PAC!$X274="F02 - LICITAÇÃO",1,""),"")</f>
        <v/>
      </c>
      <c r="AZ274" s="110" t="str">
        <f>IFERROR(IF(PAC!$X$6:$X$581="F03 - EXECUÇÃO DO OBJETO",1,""),"")</f>
        <v/>
      </c>
      <c r="BA274" s="110" t="str">
        <f>IFERROR(IF(PAC!$X$6:$X$581="F04 - CONCLUÍDA",1,""),"")</f>
        <v/>
      </c>
      <c r="BB274" s="111">
        <f>IF(PAC!$R274&gt;0,0,PAC!$Q274)</f>
        <v>0</v>
      </c>
    </row>
    <row r="275" spans="1:54" s="1" customFormat="1" ht="63" hidden="1" customHeight="1" thickBot="1">
      <c r="A275" s="112">
        <f t="shared" si="4"/>
        <v>270</v>
      </c>
      <c r="B275" s="112">
        <v>2025</v>
      </c>
      <c r="C275" s="112" t="s">
        <v>605</v>
      </c>
      <c r="D275" s="112" t="s">
        <v>1010</v>
      </c>
      <c r="E275" s="114" t="s">
        <v>831</v>
      </c>
      <c r="F275" s="112" t="s">
        <v>53</v>
      </c>
      <c r="G275" s="112" t="s">
        <v>503</v>
      </c>
      <c r="H275" s="115" t="s">
        <v>1244</v>
      </c>
      <c r="I275" s="112" t="s">
        <v>1238</v>
      </c>
      <c r="J275" s="112" t="s">
        <v>361</v>
      </c>
      <c r="K275" s="31">
        <v>1261876.28</v>
      </c>
      <c r="L275" s="31">
        <v>1261876.28</v>
      </c>
      <c r="M275" s="31"/>
      <c r="N275" s="31"/>
      <c r="O275" s="31"/>
      <c r="P275" s="31"/>
      <c r="Q275" s="33">
        <f>SUM(PAC!$M275:$P275)</f>
        <v>0</v>
      </c>
      <c r="R275" s="33"/>
      <c r="S275" s="33">
        <f>IF(PAC!$R275&gt;0,PAC!$R275,PAC!$Q275)</f>
        <v>0</v>
      </c>
      <c r="T275" s="33"/>
      <c r="U275" s="116" t="s">
        <v>1574</v>
      </c>
      <c r="V275" s="116"/>
      <c r="W275" s="117"/>
      <c r="X275" s="117" t="s">
        <v>1419</v>
      </c>
      <c r="Y275" s="113" t="s">
        <v>2478</v>
      </c>
      <c r="Z275" s="118"/>
      <c r="AA275" s="119"/>
      <c r="AB275" s="122"/>
      <c r="AC275" s="115"/>
      <c r="AD275" s="120"/>
      <c r="AE275" s="114"/>
      <c r="AF275" s="115" t="s">
        <v>988</v>
      </c>
      <c r="AG275" s="115"/>
      <c r="AH275" s="115"/>
      <c r="AI275" s="115"/>
      <c r="AJ275" s="118"/>
      <c r="AK275" s="115"/>
      <c r="AL275" s="115"/>
      <c r="AM275" s="115"/>
      <c r="AN275" s="118"/>
      <c r="AO275" s="118"/>
      <c r="AP275" s="118"/>
      <c r="AQ275" s="118"/>
      <c r="AR275" s="121"/>
      <c r="AS275" s="121"/>
      <c r="AT275" s="116" t="s">
        <v>518</v>
      </c>
      <c r="AU275" s="122"/>
      <c r="AV275" s="120"/>
      <c r="AW275" s="122" t="s">
        <v>836</v>
      </c>
      <c r="AX275" s="194">
        <f>IFERROR(IF(PAC!$X275="F01 - CAPTAÇÃO DE RECURSO",1,""),"")</f>
        <v>1</v>
      </c>
      <c r="AY275" s="194" t="str">
        <f>IFERROR(IF(PAC!$X275="F02 - LICITAÇÃO",1,""),"")</f>
        <v/>
      </c>
      <c r="AZ275" s="123" t="str">
        <f>IFERROR(IF(PAC!$X$6:$X$581="F03 - EXECUÇÃO DO OBJETO",1,""),"")</f>
        <v/>
      </c>
      <c r="BA275" s="123" t="str">
        <f>IFERROR(IF(PAC!$X$6:$X$581="F04 - CONCLUÍDA",1,""),"")</f>
        <v/>
      </c>
      <c r="BB275" s="191">
        <f>IF(PAC!$R275&gt;0,0,PAC!$Q275)</f>
        <v>0</v>
      </c>
    </row>
    <row r="276" spans="1:54" s="1" customFormat="1" ht="409.6" hidden="1" thickBot="1">
      <c r="A276" s="88">
        <f t="shared" si="4"/>
        <v>271</v>
      </c>
      <c r="B276" s="88">
        <v>2025</v>
      </c>
      <c r="C276" s="88" t="s">
        <v>605</v>
      </c>
      <c r="D276" s="88" t="s">
        <v>1010</v>
      </c>
      <c r="E276" s="102" t="s">
        <v>792</v>
      </c>
      <c r="F276" s="88" t="s">
        <v>53</v>
      </c>
      <c r="G276" s="88" t="s">
        <v>503</v>
      </c>
      <c r="H276" s="40" t="s">
        <v>1244</v>
      </c>
      <c r="I276" s="88" t="s">
        <v>1238</v>
      </c>
      <c r="J276" s="88" t="s">
        <v>437</v>
      </c>
      <c r="K276" s="18"/>
      <c r="L276" s="18">
        <v>1919543.13</v>
      </c>
      <c r="M276" s="18">
        <v>1919543.13</v>
      </c>
      <c r="N276" s="18"/>
      <c r="O276" s="18"/>
      <c r="P276" s="18"/>
      <c r="Q276" s="20">
        <f>SUM(PAC!$M276:$P276)</f>
        <v>1919543.13</v>
      </c>
      <c r="R276" s="20"/>
      <c r="S276" s="20">
        <f>IF(PAC!$R276&gt;0,PAC!$R276,PAC!$Q276)</f>
        <v>1919543.13</v>
      </c>
      <c r="T276" s="20"/>
      <c r="U276" s="103" t="s">
        <v>1570</v>
      </c>
      <c r="V276" s="103"/>
      <c r="W276" s="104">
        <v>9</v>
      </c>
      <c r="X276" s="104" t="s">
        <v>1418</v>
      </c>
      <c r="Y276" s="101" t="s">
        <v>2472</v>
      </c>
      <c r="Z276" s="87"/>
      <c r="AA276" s="105"/>
      <c r="AB276" s="108" t="s">
        <v>1464</v>
      </c>
      <c r="AC276" s="40" t="s">
        <v>2657</v>
      </c>
      <c r="AD276" s="106">
        <v>46274</v>
      </c>
      <c r="AE276" s="102" t="s">
        <v>2682</v>
      </c>
      <c r="AF276" s="40" t="s">
        <v>1638</v>
      </c>
      <c r="AG276" s="40" t="s">
        <v>1723</v>
      </c>
      <c r="AH276" s="40" t="s">
        <v>977</v>
      </c>
      <c r="AI276" s="40"/>
      <c r="AJ276" s="87"/>
      <c r="AK276" s="40" t="s">
        <v>2011</v>
      </c>
      <c r="AL276" s="40" t="s">
        <v>2118</v>
      </c>
      <c r="AM276" s="40" t="s">
        <v>716</v>
      </c>
      <c r="AN276" s="87">
        <v>46247</v>
      </c>
      <c r="AO276" s="87">
        <v>46274</v>
      </c>
      <c r="AP276" s="87"/>
      <c r="AQ276" s="87"/>
      <c r="AR276" s="107"/>
      <c r="AS276" s="107"/>
      <c r="AT276" s="103" t="s">
        <v>2344</v>
      </c>
      <c r="AU276" s="108" t="s">
        <v>2658</v>
      </c>
      <c r="AV276" s="106"/>
      <c r="AW276" s="108" t="s">
        <v>707</v>
      </c>
      <c r="AX276" s="109" t="str">
        <f>IFERROR(IF(PAC!$X276="F01 - CAPTAÇÃO DE RECURSO",1,""),"")</f>
        <v/>
      </c>
      <c r="AY276" s="109">
        <f>IFERROR(IF(PAC!$X276="F02 - LICITAÇÃO",1,""),"")</f>
        <v>1</v>
      </c>
      <c r="AZ276" s="110" t="str">
        <f>IFERROR(IF(PAC!$X$6:$X$581="F03 - EXECUÇÃO DO OBJETO",1,""),"")</f>
        <v/>
      </c>
      <c r="BA276" s="110" t="str">
        <f>IFERROR(IF(PAC!$X$6:$X$581="F04 - CONCLUÍDA",1,""),"")</f>
        <v/>
      </c>
      <c r="BB276" s="111">
        <f>IF(PAC!$R276&gt;0,0,PAC!$Q276)</f>
        <v>1919543.13</v>
      </c>
    </row>
    <row r="277" spans="1:54" s="1" customFormat="1" ht="63.75" hidden="1" thickBot="1">
      <c r="A277" s="112">
        <f t="shared" si="4"/>
        <v>272</v>
      </c>
      <c r="B277" s="112">
        <v>2025</v>
      </c>
      <c r="C277" s="112" t="s">
        <v>605</v>
      </c>
      <c r="D277" s="112" t="s">
        <v>1010</v>
      </c>
      <c r="E277" s="114" t="s">
        <v>852</v>
      </c>
      <c r="F277" s="112" t="s">
        <v>53</v>
      </c>
      <c r="G277" s="112" t="s">
        <v>503</v>
      </c>
      <c r="H277" s="115" t="s">
        <v>1244</v>
      </c>
      <c r="I277" s="112" t="s">
        <v>1238</v>
      </c>
      <c r="J277" s="112" t="s">
        <v>361</v>
      </c>
      <c r="K277" s="31">
        <v>1932907.48</v>
      </c>
      <c r="L277" s="31">
        <v>1932907.48</v>
      </c>
      <c r="M277" s="31"/>
      <c r="N277" s="31"/>
      <c r="O277" s="31"/>
      <c r="P277" s="31"/>
      <c r="Q277" s="33">
        <f>SUM(PAC!$M277:$P277)</f>
        <v>0</v>
      </c>
      <c r="R277" s="33"/>
      <c r="S277" s="33">
        <f>IF(PAC!$R277&gt;0,PAC!$R277,PAC!$Q277)</f>
        <v>0</v>
      </c>
      <c r="T277" s="33"/>
      <c r="U277" s="116" t="s">
        <v>1574</v>
      </c>
      <c r="V277" s="116"/>
      <c r="W277" s="117"/>
      <c r="X277" s="117" t="s">
        <v>1419</v>
      </c>
      <c r="Y277" s="113" t="s">
        <v>2478</v>
      </c>
      <c r="Z277" s="118"/>
      <c r="AA277" s="119"/>
      <c r="AB277" s="122"/>
      <c r="AC277" s="115"/>
      <c r="AD277" s="120"/>
      <c r="AE277" s="114"/>
      <c r="AF277" s="115" t="s">
        <v>988</v>
      </c>
      <c r="AG277" s="115"/>
      <c r="AH277" s="115"/>
      <c r="AI277" s="115"/>
      <c r="AJ277" s="118"/>
      <c r="AK277" s="115"/>
      <c r="AL277" s="115"/>
      <c r="AM277" s="115" t="s">
        <v>716</v>
      </c>
      <c r="AN277" s="118"/>
      <c r="AO277" s="118"/>
      <c r="AP277" s="118"/>
      <c r="AQ277" s="118"/>
      <c r="AR277" s="121"/>
      <c r="AS277" s="121"/>
      <c r="AT277" s="116" t="s">
        <v>518</v>
      </c>
      <c r="AU277" s="122"/>
      <c r="AV277" s="120"/>
      <c r="AW277" s="122" t="s">
        <v>836</v>
      </c>
      <c r="AX277" s="194">
        <f>IFERROR(IF(PAC!$X277="F01 - CAPTAÇÃO DE RECURSO",1,""),"")</f>
        <v>1</v>
      </c>
      <c r="AY277" s="194" t="str">
        <f>IFERROR(IF(PAC!$X277="F02 - LICITAÇÃO",1,""),"")</f>
        <v/>
      </c>
      <c r="AZ277" s="123" t="str">
        <f>IFERROR(IF(PAC!$X$6:$X$581="F03 - EXECUÇÃO DO OBJETO",1,""),"")</f>
        <v/>
      </c>
      <c r="BA277" s="123" t="str">
        <f>IFERROR(IF(PAC!$X$6:$X$581="F04 - CONCLUÍDA",1,""),"")</f>
        <v/>
      </c>
      <c r="BB277" s="191">
        <f>IF(PAC!$R277&gt;0,0,PAC!$Q277)</f>
        <v>0</v>
      </c>
    </row>
    <row r="278" spans="1:54" s="1" customFormat="1" ht="63.75" hidden="1" thickBot="1">
      <c r="A278" s="88">
        <f t="shared" si="4"/>
        <v>273</v>
      </c>
      <c r="B278" s="88">
        <v>2025</v>
      </c>
      <c r="C278" s="88" t="s">
        <v>605</v>
      </c>
      <c r="D278" s="88" t="s">
        <v>1010</v>
      </c>
      <c r="E278" s="102" t="s">
        <v>853</v>
      </c>
      <c r="F278" s="88" t="s">
        <v>53</v>
      </c>
      <c r="G278" s="88" t="s">
        <v>503</v>
      </c>
      <c r="H278" s="40" t="s">
        <v>1244</v>
      </c>
      <c r="I278" s="88" t="s">
        <v>1238</v>
      </c>
      <c r="J278" s="88" t="s">
        <v>361</v>
      </c>
      <c r="K278" s="18">
        <v>2022941.02</v>
      </c>
      <c r="L278" s="18">
        <v>2022941.02</v>
      </c>
      <c r="M278" s="18"/>
      <c r="N278" s="18"/>
      <c r="O278" s="18"/>
      <c r="P278" s="18"/>
      <c r="Q278" s="20">
        <f>SUM(PAC!$M278:$P278)</f>
        <v>0</v>
      </c>
      <c r="R278" s="20"/>
      <c r="S278" s="20">
        <f>IF(PAC!$R278&gt;0,PAC!$R278,PAC!$Q278)</f>
        <v>0</v>
      </c>
      <c r="T278" s="20"/>
      <c r="U278" s="103" t="s">
        <v>1574</v>
      </c>
      <c r="V278" s="103"/>
      <c r="W278" s="104"/>
      <c r="X278" s="104" t="s">
        <v>1419</v>
      </c>
      <c r="Y278" s="101" t="s">
        <v>2478</v>
      </c>
      <c r="Z278" s="87"/>
      <c r="AA278" s="105"/>
      <c r="AB278" s="108"/>
      <c r="AC278" s="40"/>
      <c r="AD278" s="106"/>
      <c r="AE278" s="102"/>
      <c r="AF278" s="40" t="s">
        <v>988</v>
      </c>
      <c r="AG278" s="40"/>
      <c r="AH278" s="40"/>
      <c r="AI278" s="40"/>
      <c r="AJ278" s="87"/>
      <c r="AK278" s="40"/>
      <c r="AL278" s="40"/>
      <c r="AM278" s="40" t="s">
        <v>716</v>
      </c>
      <c r="AN278" s="87"/>
      <c r="AO278" s="87"/>
      <c r="AP278" s="87"/>
      <c r="AQ278" s="87"/>
      <c r="AR278" s="107"/>
      <c r="AS278" s="107"/>
      <c r="AT278" s="103" t="s">
        <v>518</v>
      </c>
      <c r="AU278" s="108"/>
      <c r="AV278" s="106"/>
      <c r="AW278" s="108" t="s">
        <v>836</v>
      </c>
      <c r="AX278" s="109">
        <f>IFERROR(IF(PAC!$X278="F01 - CAPTAÇÃO DE RECURSO",1,""),"")</f>
        <v>1</v>
      </c>
      <c r="AY278" s="109" t="str">
        <f>IFERROR(IF(PAC!$X278="F02 - LICITAÇÃO",1,""),"")</f>
        <v/>
      </c>
      <c r="AZ278" s="110" t="str">
        <f>IFERROR(IF(PAC!$X$6:$X$581="F03 - EXECUÇÃO DO OBJETO",1,""),"")</f>
        <v/>
      </c>
      <c r="BA278" s="110" t="str">
        <f>IFERROR(IF(PAC!$X$6:$X$581="F04 - CONCLUÍDA",1,""),"")</f>
        <v/>
      </c>
      <c r="BB278" s="111">
        <f>IF(PAC!$R278&gt;0,0,PAC!$Q278)</f>
        <v>0</v>
      </c>
    </row>
    <row r="279" spans="1:54" s="1" customFormat="1" ht="63.75" hidden="1" thickBot="1">
      <c r="A279" s="112">
        <f t="shared" si="4"/>
        <v>274</v>
      </c>
      <c r="B279" s="112">
        <v>2025</v>
      </c>
      <c r="C279" s="112" t="s">
        <v>605</v>
      </c>
      <c r="D279" s="112" t="s">
        <v>1010</v>
      </c>
      <c r="E279" s="114" t="s">
        <v>832</v>
      </c>
      <c r="F279" s="112" t="s">
        <v>53</v>
      </c>
      <c r="G279" s="112" t="s">
        <v>503</v>
      </c>
      <c r="H279" s="115" t="s">
        <v>1244</v>
      </c>
      <c r="I279" s="112" t="s">
        <v>1238</v>
      </c>
      <c r="J279" s="112" t="s">
        <v>361</v>
      </c>
      <c r="K279" s="31">
        <v>2025754.56</v>
      </c>
      <c r="L279" s="31">
        <v>2025754.56</v>
      </c>
      <c r="M279" s="31"/>
      <c r="N279" s="31"/>
      <c r="O279" s="31"/>
      <c r="P279" s="31"/>
      <c r="Q279" s="33">
        <f>SUM(PAC!$M279:$P279)</f>
        <v>0</v>
      </c>
      <c r="R279" s="33"/>
      <c r="S279" s="33">
        <f>IF(PAC!$R279&gt;0,PAC!$R279,PAC!$Q279)</f>
        <v>0</v>
      </c>
      <c r="T279" s="33"/>
      <c r="U279" s="116" t="s">
        <v>1574</v>
      </c>
      <c r="V279" s="116"/>
      <c r="W279" s="117"/>
      <c r="X279" s="117" t="s">
        <v>1419</v>
      </c>
      <c r="Y279" s="113" t="s">
        <v>2478</v>
      </c>
      <c r="Z279" s="118"/>
      <c r="AA279" s="119"/>
      <c r="AB279" s="122"/>
      <c r="AC279" s="115"/>
      <c r="AD279" s="120"/>
      <c r="AE279" s="114"/>
      <c r="AF279" s="115" t="s">
        <v>988</v>
      </c>
      <c r="AG279" s="115"/>
      <c r="AH279" s="115"/>
      <c r="AI279" s="115"/>
      <c r="AJ279" s="118"/>
      <c r="AK279" s="115"/>
      <c r="AL279" s="115"/>
      <c r="AM279" s="115" t="s">
        <v>716</v>
      </c>
      <c r="AN279" s="118"/>
      <c r="AO279" s="118"/>
      <c r="AP279" s="118"/>
      <c r="AQ279" s="118"/>
      <c r="AR279" s="121"/>
      <c r="AS279" s="121"/>
      <c r="AT279" s="116" t="s">
        <v>518</v>
      </c>
      <c r="AU279" s="122"/>
      <c r="AV279" s="120"/>
      <c r="AW279" s="122" t="s">
        <v>836</v>
      </c>
      <c r="AX279" s="194">
        <f>IFERROR(IF(PAC!$X279="F01 - CAPTAÇÃO DE RECURSO",1,""),"")</f>
        <v>1</v>
      </c>
      <c r="AY279" s="194" t="str">
        <f>IFERROR(IF(PAC!$X279="F02 - LICITAÇÃO",1,""),"")</f>
        <v/>
      </c>
      <c r="AZ279" s="123" t="str">
        <f>IFERROR(IF(PAC!$X$6:$X$581="F03 - EXECUÇÃO DO OBJETO",1,""),"")</f>
        <v/>
      </c>
      <c r="BA279" s="123" t="str">
        <f>IFERROR(IF(PAC!$X$6:$X$581="F04 - CONCLUÍDA",1,""),"")</f>
        <v/>
      </c>
      <c r="BB279" s="191">
        <f>IF(PAC!$R279&gt;0,0,PAC!$Q279)</f>
        <v>0</v>
      </c>
    </row>
    <row r="280" spans="1:54" s="1" customFormat="1" ht="63.75" hidden="1" thickBot="1">
      <c r="A280" s="88">
        <f t="shared" si="4"/>
        <v>275</v>
      </c>
      <c r="B280" s="88">
        <v>2025</v>
      </c>
      <c r="C280" s="88" t="s">
        <v>605</v>
      </c>
      <c r="D280" s="88" t="s">
        <v>1010</v>
      </c>
      <c r="E280" s="102" t="s">
        <v>833</v>
      </c>
      <c r="F280" s="88" t="s">
        <v>53</v>
      </c>
      <c r="G280" s="88" t="s">
        <v>503</v>
      </c>
      <c r="H280" s="40" t="s">
        <v>1244</v>
      </c>
      <c r="I280" s="88" t="s">
        <v>1238</v>
      </c>
      <c r="J280" s="88" t="s">
        <v>361</v>
      </c>
      <c r="K280" s="18">
        <v>1983551.34</v>
      </c>
      <c r="L280" s="18">
        <v>1983551.34</v>
      </c>
      <c r="M280" s="18"/>
      <c r="N280" s="18"/>
      <c r="O280" s="18"/>
      <c r="P280" s="18"/>
      <c r="Q280" s="20">
        <f>SUM(PAC!$M280:$P280)</f>
        <v>0</v>
      </c>
      <c r="R280" s="20"/>
      <c r="S280" s="20">
        <f>IF(PAC!$R280&gt;0,PAC!$R280,PAC!$Q280)</f>
        <v>0</v>
      </c>
      <c r="T280" s="20"/>
      <c r="U280" s="103" t="s">
        <v>1574</v>
      </c>
      <c r="V280" s="103"/>
      <c r="W280" s="104"/>
      <c r="X280" s="104" t="s">
        <v>1419</v>
      </c>
      <c r="Y280" s="101" t="s">
        <v>2478</v>
      </c>
      <c r="Z280" s="87"/>
      <c r="AA280" s="105"/>
      <c r="AB280" s="108"/>
      <c r="AC280" s="40"/>
      <c r="AD280" s="106"/>
      <c r="AE280" s="102"/>
      <c r="AF280" s="40" t="s">
        <v>988</v>
      </c>
      <c r="AG280" s="40"/>
      <c r="AH280" s="40"/>
      <c r="AI280" s="40"/>
      <c r="AJ280" s="87"/>
      <c r="AK280" s="40"/>
      <c r="AL280" s="40"/>
      <c r="AM280" s="40" t="s">
        <v>716</v>
      </c>
      <c r="AN280" s="87"/>
      <c r="AO280" s="87"/>
      <c r="AP280" s="87"/>
      <c r="AQ280" s="87"/>
      <c r="AR280" s="107"/>
      <c r="AS280" s="107"/>
      <c r="AT280" s="103" t="s">
        <v>518</v>
      </c>
      <c r="AU280" s="108"/>
      <c r="AV280" s="106"/>
      <c r="AW280" s="108" t="s">
        <v>836</v>
      </c>
      <c r="AX280" s="109">
        <f>IFERROR(IF(PAC!$X280="F01 - CAPTAÇÃO DE RECURSO",1,""),"")</f>
        <v>1</v>
      </c>
      <c r="AY280" s="109" t="str">
        <f>IFERROR(IF(PAC!$X280="F02 - LICITAÇÃO",1,""),"")</f>
        <v/>
      </c>
      <c r="AZ280" s="110" t="str">
        <f>IFERROR(IF(PAC!$X$6:$X$581="F03 - EXECUÇÃO DO OBJETO",1,""),"")</f>
        <v/>
      </c>
      <c r="BA280" s="110" t="str">
        <f>IFERROR(IF(PAC!$X$6:$X$581="F04 - CONCLUÍDA",1,""),"")</f>
        <v/>
      </c>
      <c r="BB280" s="111">
        <f>IF(PAC!$R280&gt;0,0,PAC!$Q280)</f>
        <v>0</v>
      </c>
    </row>
    <row r="281" spans="1:54" s="1" customFormat="1" ht="63.75" hidden="1" thickBot="1">
      <c r="A281" s="112">
        <f t="shared" si="4"/>
        <v>276</v>
      </c>
      <c r="B281" s="112">
        <v>2025</v>
      </c>
      <c r="C281" s="112" t="s">
        <v>605</v>
      </c>
      <c r="D281" s="112" t="s">
        <v>1010</v>
      </c>
      <c r="E281" s="114" t="s">
        <v>834</v>
      </c>
      <c r="F281" s="112" t="s">
        <v>53</v>
      </c>
      <c r="G281" s="112" t="s">
        <v>503</v>
      </c>
      <c r="H281" s="115" t="s">
        <v>1244</v>
      </c>
      <c r="I281" s="112" t="s">
        <v>1238</v>
      </c>
      <c r="J281" s="112" t="s">
        <v>361</v>
      </c>
      <c r="K281" s="31">
        <v>1320960.78</v>
      </c>
      <c r="L281" s="31">
        <v>1320960.78</v>
      </c>
      <c r="M281" s="31"/>
      <c r="N281" s="31"/>
      <c r="O281" s="31"/>
      <c r="P281" s="31"/>
      <c r="Q281" s="33">
        <f>SUM(PAC!$M281:$P281)</f>
        <v>0</v>
      </c>
      <c r="R281" s="33"/>
      <c r="S281" s="33">
        <f>IF(PAC!$R281&gt;0,PAC!$R281,PAC!$Q281)</f>
        <v>0</v>
      </c>
      <c r="T281" s="33"/>
      <c r="U281" s="116" t="s">
        <v>1574</v>
      </c>
      <c r="V281" s="116"/>
      <c r="W281" s="117"/>
      <c r="X281" s="117" t="s">
        <v>1419</v>
      </c>
      <c r="Y281" s="113" t="s">
        <v>2478</v>
      </c>
      <c r="Z281" s="118"/>
      <c r="AA281" s="119"/>
      <c r="AB281" s="122"/>
      <c r="AC281" s="115"/>
      <c r="AD281" s="120"/>
      <c r="AE281" s="114"/>
      <c r="AF281" s="115" t="s">
        <v>988</v>
      </c>
      <c r="AG281" s="115"/>
      <c r="AH281" s="115"/>
      <c r="AI281" s="115"/>
      <c r="AJ281" s="118"/>
      <c r="AK281" s="115"/>
      <c r="AL281" s="115"/>
      <c r="AM281" s="115" t="s">
        <v>716</v>
      </c>
      <c r="AN281" s="118"/>
      <c r="AO281" s="118"/>
      <c r="AP281" s="118"/>
      <c r="AQ281" s="118"/>
      <c r="AR281" s="121"/>
      <c r="AS281" s="121"/>
      <c r="AT281" s="116" t="s">
        <v>518</v>
      </c>
      <c r="AU281" s="122"/>
      <c r="AV281" s="120"/>
      <c r="AW281" s="122" t="s">
        <v>836</v>
      </c>
      <c r="AX281" s="194">
        <f>IFERROR(IF(PAC!$X281="F01 - CAPTAÇÃO DE RECURSO",1,""),"")</f>
        <v>1</v>
      </c>
      <c r="AY281" s="194" t="str">
        <f>IFERROR(IF(PAC!$X281="F02 - LICITAÇÃO",1,""),"")</f>
        <v/>
      </c>
      <c r="AZ281" s="123" t="str">
        <f>IFERROR(IF(PAC!$X$6:$X$581="F03 - EXECUÇÃO DO OBJETO",1,""),"")</f>
        <v/>
      </c>
      <c r="BA281" s="123" t="str">
        <f>IFERROR(IF(PAC!$X$6:$X$581="F04 - CONCLUÍDA",1,""),"")</f>
        <v/>
      </c>
      <c r="BB281" s="191">
        <f>IF(PAC!$R281&gt;0,0,PAC!$Q281)</f>
        <v>0</v>
      </c>
    </row>
    <row r="282" spans="1:54" s="1" customFormat="1" ht="272.25" hidden="1" customHeight="1" thickBot="1">
      <c r="A282" s="88">
        <f t="shared" si="4"/>
        <v>277</v>
      </c>
      <c r="B282" s="101">
        <v>2023</v>
      </c>
      <c r="C282" s="88" t="s">
        <v>605</v>
      </c>
      <c r="D282" s="88" t="s">
        <v>1011</v>
      </c>
      <c r="E282" s="102" t="s">
        <v>681</v>
      </c>
      <c r="F282" s="88" t="s">
        <v>49</v>
      </c>
      <c r="G282" s="88" t="s">
        <v>614</v>
      </c>
      <c r="H282" s="40" t="s">
        <v>1247</v>
      </c>
      <c r="I282" s="88" t="s">
        <v>598</v>
      </c>
      <c r="J282" s="88" t="s">
        <v>189</v>
      </c>
      <c r="K282" s="18">
        <v>95000000</v>
      </c>
      <c r="L282" s="18">
        <v>95000000</v>
      </c>
      <c r="M282" s="18">
        <v>95000000</v>
      </c>
      <c r="N282" s="18"/>
      <c r="O282" s="18"/>
      <c r="P282" s="18"/>
      <c r="Q282" s="20">
        <f>SUM(PAC!$M282:$P282)</f>
        <v>95000000</v>
      </c>
      <c r="R282" s="20"/>
      <c r="S282" s="20">
        <f>IF(PAC!$R282&gt;0,PAC!$R282,PAC!$Q282)</f>
        <v>95000000</v>
      </c>
      <c r="T282" s="20"/>
      <c r="U282" s="103" t="s">
        <v>1570</v>
      </c>
      <c r="V282" s="103"/>
      <c r="W282" s="104"/>
      <c r="X282" s="104" t="s">
        <v>1418</v>
      </c>
      <c r="Y282" s="101" t="s">
        <v>2472</v>
      </c>
      <c r="Z282" s="87">
        <v>46325</v>
      </c>
      <c r="AA282" s="105">
        <v>0</v>
      </c>
      <c r="AB282" s="102" t="s">
        <v>1465</v>
      </c>
      <c r="AC282" s="102" t="s">
        <v>2647</v>
      </c>
      <c r="AD282" s="87">
        <v>46325</v>
      </c>
      <c r="AE282" s="102" t="s">
        <v>1465</v>
      </c>
      <c r="AF282" s="40"/>
      <c r="AG282" s="40"/>
      <c r="AH282" s="40"/>
      <c r="AI282" s="40"/>
      <c r="AJ282" s="87"/>
      <c r="AK282" s="40" t="s">
        <v>1153</v>
      </c>
      <c r="AL282" s="40"/>
      <c r="AM282" s="40"/>
      <c r="AN282" s="87"/>
      <c r="AO282" s="87"/>
      <c r="AP282" s="87"/>
      <c r="AQ282" s="87"/>
      <c r="AR282" s="107"/>
      <c r="AS282" s="107"/>
      <c r="AT282" s="102" t="s">
        <v>670</v>
      </c>
      <c r="AU282" s="40" t="s">
        <v>1550</v>
      </c>
      <c r="AV282" s="106"/>
      <c r="AW282" s="105"/>
      <c r="AX282" s="109" t="str">
        <f>IFERROR(IF(PAC!$X282="F01 - CAPTAÇÃO DE RECURSO",1,""),"")</f>
        <v/>
      </c>
      <c r="AY282" s="109">
        <f>IFERROR(IF(PAC!$X282="F02 - LICITAÇÃO",1,""),"")</f>
        <v>1</v>
      </c>
      <c r="AZ282" s="110" t="str">
        <f>IFERROR(IF(PAC!$X$6:$X$581="F03 - EXECUÇÃO DO OBJETO",1,""),"")</f>
        <v/>
      </c>
      <c r="BA282" s="110" t="str">
        <f>IFERROR(IF(PAC!$X$6:$X$581="F04 - CONCLUÍDA",1,""),"")</f>
        <v/>
      </c>
      <c r="BB282" s="111">
        <f>IF(PAC!$R282&gt;0,0,PAC!$Q282)</f>
        <v>95000000</v>
      </c>
    </row>
    <row r="283" spans="1:54" s="1" customFormat="1" ht="396.75" hidden="1" customHeight="1" thickBot="1">
      <c r="A283" s="112">
        <f t="shared" si="4"/>
        <v>278</v>
      </c>
      <c r="B283" s="113">
        <v>2023</v>
      </c>
      <c r="C283" s="112" t="s">
        <v>605</v>
      </c>
      <c r="D283" s="112" t="s">
        <v>1011</v>
      </c>
      <c r="E283" s="114" t="s">
        <v>615</v>
      </c>
      <c r="F283" s="112" t="s">
        <v>49</v>
      </c>
      <c r="G283" s="112" t="s">
        <v>614</v>
      </c>
      <c r="H283" s="115" t="s">
        <v>1247</v>
      </c>
      <c r="I283" s="112" t="s">
        <v>598</v>
      </c>
      <c r="J283" s="112" t="s">
        <v>156</v>
      </c>
      <c r="K283" s="31"/>
      <c r="L283" s="31"/>
      <c r="M283" s="31"/>
      <c r="N283" s="31"/>
      <c r="O283" s="31"/>
      <c r="P283" s="31"/>
      <c r="Q283" s="33">
        <f>SUM(PAC!$M283:$P283)</f>
        <v>0</v>
      </c>
      <c r="R283" s="33"/>
      <c r="S283" s="33">
        <f>IF(PAC!$R283&gt;0,PAC!$R283,PAC!$Q283)</f>
        <v>0</v>
      </c>
      <c r="T283" s="33"/>
      <c r="U283" s="116" t="s">
        <v>1493</v>
      </c>
      <c r="V283" s="116"/>
      <c r="W283" s="117"/>
      <c r="X283" s="117" t="s">
        <v>1419</v>
      </c>
      <c r="Y283" s="113" t="s">
        <v>2473</v>
      </c>
      <c r="Z283" s="118"/>
      <c r="AA283" s="119"/>
      <c r="AB283" s="114" t="s">
        <v>1498</v>
      </c>
      <c r="AC283" s="114" t="s">
        <v>1823</v>
      </c>
      <c r="AD283" s="120"/>
      <c r="AE283" s="114" t="s">
        <v>1822</v>
      </c>
      <c r="AF283" s="115"/>
      <c r="AG283" s="115"/>
      <c r="AH283" s="115"/>
      <c r="AI283" s="115"/>
      <c r="AJ283" s="118"/>
      <c r="AK283" s="115"/>
      <c r="AL283" s="115"/>
      <c r="AM283" s="115"/>
      <c r="AN283" s="118"/>
      <c r="AO283" s="118"/>
      <c r="AP283" s="118"/>
      <c r="AQ283" s="118"/>
      <c r="AR283" s="121"/>
      <c r="AS283" s="121"/>
      <c r="AT283" s="114" t="s">
        <v>679</v>
      </c>
      <c r="AU283" s="115" t="s">
        <v>1405</v>
      </c>
      <c r="AV283" s="120"/>
      <c r="AW283" s="119"/>
      <c r="AX283" s="194">
        <f>IFERROR(IF(PAC!$X283="F01 - CAPTAÇÃO DE RECURSO",1,""),"")</f>
        <v>1</v>
      </c>
      <c r="AY283" s="194" t="str">
        <f>IFERROR(IF(PAC!$X283="F02 - LICITAÇÃO",1,""),"")</f>
        <v/>
      </c>
      <c r="AZ283" s="123" t="str">
        <f>IFERROR(IF(PAC!$X$6:$X$581="F03 - EXECUÇÃO DO OBJETO",1,""),"")</f>
        <v/>
      </c>
      <c r="BA283" s="123" t="str">
        <f>IFERROR(IF(PAC!$X$6:$X$581="F04 - CONCLUÍDA",1,""),"")</f>
        <v/>
      </c>
      <c r="BB283" s="191">
        <f>IF(PAC!$R283&gt;0,0,PAC!$Q283)</f>
        <v>0</v>
      </c>
    </row>
    <row r="284" spans="1:54" s="1" customFormat="1" ht="168.75" hidden="1" customHeight="1" thickBot="1">
      <c r="A284" s="88">
        <f t="shared" si="4"/>
        <v>279</v>
      </c>
      <c r="B284" s="101">
        <v>2023</v>
      </c>
      <c r="C284" s="88" t="s">
        <v>605</v>
      </c>
      <c r="D284" s="88" t="s">
        <v>1011</v>
      </c>
      <c r="E284" s="102" t="s">
        <v>645</v>
      </c>
      <c r="F284" s="88" t="s">
        <v>49</v>
      </c>
      <c r="G284" s="88" t="s">
        <v>614</v>
      </c>
      <c r="H284" s="40" t="s">
        <v>1247</v>
      </c>
      <c r="I284" s="88" t="s">
        <v>598</v>
      </c>
      <c r="J284" s="88" t="s">
        <v>156</v>
      </c>
      <c r="K284" s="18"/>
      <c r="L284" s="18"/>
      <c r="M284" s="18">
        <v>644500000</v>
      </c>
      <c r="N284" s="18"/>
      <c r="O284" s="18"/>
      <c r="P284" s="18"/>
      <c r="Q284" s="20">
        <f>SUM(PAC!$M284:$P284)</f>
        <v>644500000</v>
      </c>
      <c r="R284" s="20"/>
      <c r="S284" s="20">
        <f>IF(PAC!$R284&gt;0,PAC!$R284,PAC!$Q284)</f>
        <v>644500000</v>
      </c>
      <c r="T284" s="20"/>
      <c r="U284" s="103" t="s">
        <v>1570</v>
      </c>
      <c r="V284" s="103"/>
      <c r="W284" s="104">
        <v>48</v>
      </c>
      <c r="X284" s="104" t="s">
        <v>1694</v>
      </c>
      <c r="Y284" s="101" t="s">
        <v>2470</v>
      </c>
      <c r="Z284" s="87"/>
      <c r="AA284" s="105"/>
      <c r="AB284" s="40" t="s">
        <v>1472</v>
      </c>
      <c r="AC284" s="40"/>
      <c r="AD284" s="106"/>
      <c r="AE284" s="102" t="s">
        <v>1005</v>
      </c>
      <c r="AF284" s="40"/>
      <c r="AG284" s="40"/>
      <c r="AH284" s="40"/>
      <c r="AI284" s="40"/>
      <c r="AJ284" s="87"/>
      <c r="AK284" s="40"/>
      <c r="AL284" s="40"/>
      <c r="AM284" s="40"/>
      <c r="AN284" s="87"/>
      <c r="AO284" s="87"/>
      <c r="AP284" s="87"/>
      <c r="AQ284" s="87"/>
      <c r="AR284" s="107"/>
      <c r="AS284" s="107"/>
      <c r="AT284" s="102" t="s">
        <v>678</v>
      </c>
      <c r="AU284" s="108" t="s">
        <v>1276</v>
      </c>
      <c r="AV284" s="106"/>
      <c r="AW284" s="105"/>
      <c r="AX284" s="109" t="str">
        <f>IFERROR(IF(PAC!$X284="F01 - CAPTAÇÃO DE RECURSO",1,""),"")</f>
        <v/>
      </c>
      <c r="AY284" s="109" t="str">
        <f>IFERROR(IF(PAC!$X284="F02 - LICITAÇÃO",1,""),"")</f>
        <v/>
      </c>
      <c r="AZ284" s="110">
        <f>IFERROR(IF(PAC!$X$6:$X$581="F03 - EXECUÇÃO DO OBJETO",1,""),"")</f>
        <v>1</v>
      </c>
      <c r="BA284" s="110" t="str">
        <f>IFERROR(IF(PAC!$X$6:$X$581="F04 - CONCLUÍDA",1,""),"")</f>
        <v/>
      </c>
      <c r="BB284" s="111">
        <f>IF(PAC!$R284&gt;0,0,PAC!$Q284)</f>
        <v>644500000</v>
      </c>
    </row>
    <row r="285" spans="1:54" s="1" customFormat="1" ht="359.25" hidden="1" customHeight="1" thickBot="1">
      <c r="A285" s="112">
        <f t="shared" si="4"/>
        <v>280</v>
      </c>
      <c r="B285" s="113">
        <v>2023</v>
      </c>
      <c r="C285" s="112" t="s">
        <v>605</v>
      </c>
      <c r="D285" s="112" t="s">
        <v>1011</v>
      </c>
      <c r="E285" s="114" t="s">
        <v>457</v>
      </c>
      <c r="F285" s="112" t="s">
        <v>49</v>
      </c>
      <c r="G285" s="112" t="s">
        <v>614</v>
      </c>
      <c r="H285" s="115" t="s">
        <v>1247</v>
      </c>
      <c r="I285" s="112" t="s">
        <v>598</v>
      </c>
      <c r="J285" s="112" t="s">
        <v>399</v>
      </c>
      <c r="K285" s="31"/>
      <c r="L285" s="31"/>
      <c r="M285" s="31"/>
      <c r="N285" s="31"/>
      <c r="O285" s="31"/>
      <c r="P285" s="31"/>
      <c r="Q285" s="33">
        <f>SUM(PAC!$M285:$P285)</f>
        <v>0</v>
      </c>
      <c r="R285" s="33"/>
      <c r="S285" s="33">
        <f>IF(PAC!$R285&gt;0,PAC!$R285,PAC!$Q285)</f>
        <v>0</v>
      </c>
      <c r="T285" s="33"/>
      <c r="U285" s="116" t="s">
        <v>1493</v>
      </c>
      <c r="V285" s="116"/>
      <c r="W285" s="117"/>
      <c r="X285" s="117" t="s">
        <v>1490</v>
      </c>
      <c r="Y285" s="113" t="s">
        <v>2482</v>
      </c>
      <c r="Z285" s="118"/>
      <c r="AA285" s="119"/>
      <c r="AB285" s="115"/>
      <c r="AC285" s="115"/>
      <c r="AD285" s="120"/>
      <c r="AE285" s="114"/>
      <c r="AF285" s="115"/>
      <c r="AG285" s="115"/>
      <c r="AH285" s="115"/>
      <c r="AI285" s="115"/>
      <c r="AJ285" s="118"/>
      <c r="AK285" s="115"/>
      <c r="AL285" s="115"/>
      <c r="AM285" s="115"/>
      <c r="AN285" s="118"/>
      <c r="AO285" s="118"/>
      <c r="AP285" s="118"/>
      <c r="AQ285" s="118"/>
      <c r="AR285" s="121"/>
      <c r="AS285" s="121"/>
      <c r="AT285" s="114" t="s">
        <v>677</v>
      </c>
      <c r="AU285" s="122" t="s">
        <v>1015</v>
      </c>
      <c r="AV285" s="120"/>
      <c r="AW285" s="119"/>
      <c r="AX285" s="194" t="str">
        <f>IFERROR(IF(PAC!$X285="F01 - CAPTAÇÃO DE RECURSO",1,""),"")</f>
        <v/>
      </c>
      <c r="AY285" s="194" t="str">
        <f>IFERROR(IF(PAC!$X285="F02 - LICITAÇÃO",1,""),"")</f>
        <v/>
      </c>
      <c r="AZ285" s="123" t="str">
        <f>IFERROR(IF(PAC!$X$6:$X$581="F03 - EXECUÇÃO DO OBJETO",1,""),"")</f>
        <v/>
      </c>
      <c r="BA285" s="123">
        <f>IFERROR(IF(PAC!$X$6:$X$581="F04 - CONCLUÍDA",1,""),"")</f>
        <v>1</v>
      </c>
      <c r="BB285" s="191">
        <f>IF(PAC!$R285&gt;0,0,PAC!$Q285)</f>
        <v>0</v>
      </c>
    </row>
    <row r="286" spans="1:54" s="1" customFormat="1" ht="294" hidden="1" customHeight="1" thickBot="1">
      <c r="A286" s="88">
        <f t="shared" si="4"/>
        <v>281</v>
      </c>
      <c r="B286" s="101">
        <v>2023</v>
      </c>
      <c r="C286" s="88" t="s">
        <v>605</v>
      </c>
      <c r="D286" s="88" t="s">
        <v>1011</v>
      </c>
      <c r="E286" s="102" t="s">
        <v>661</v>
      </c>
      <c r="F286" s="88" t="s">
        <v>49</v>
      </c>
      <c r="G286" s="88" t="s">
        <v>614</v>
      </c>
      <c r="H286" s="40" t="s">
        <v>1247</v>
      </c>
      <c r="I286" s="88" t="s">
        <v>598</v>
      </c>
      <c r="J286" s="88" t="s">
        <v>399</v>
      </c>
      <c r="K286" s="18"/>
      <c r="L286" s="18"/>
      <c r="M286" s="18">
        <v>476700000</v>
      </c>
      <c r="N286" s="18"/>
      <c r="O286" s="18"/>
      <c r="P286" s="18"/>
      <c r="Q286" s="20">
        <f>SUM(PAC!$M286:$P286)</f>
        <v>476700000</v>
      </c>
      <c r="R286" s="20"/>
      <c r="S286" s="20">
        <f>IF(PAC!$R286&gt;0,PAC!$R286,PAC!$Q286)</f>
        <v>476700000</v>
      </c>
      <c r="T286" s="20"/>
      <c r="U286" s="103" t="s">
        <v>1570</v>
      </c>
      <c r="V286" s="103"/>
      <c r="W286" s="104">
        <v>48</v>
      </c>
      <c r="X286" s="104" t="s">
        <v>1694</v>
      </c>
      <c r="Y286" s="101" t="s">
        <v>2470</v>
      </c>
      <c r="Z286" s="87"/>
      <c r="AA286" s="105"/>
      <c r="AB286" s="40" t="s">
        <v>1499</v>
      </c>
      <c r="AC286" s="40" t="s">
        <v>1841</v>
      </c>
      <c r="AD286" s="106"/>
      <c r="AE286" s="102" t="s">
        <v>1310</v>
      </c>
      <c r="AF286" s="40"/>
      <c r="AG286" s="40"/>
      <c r="AH286" s="40"/>
      <c r="AI286" s="40"/>
      <c r="AJ286" s="87"/>
      <c r="AK286" s="40"/>
      <c r="AL286" s="40"/>
      <c r="AM286" s="40"/>
      <c r="AN286" s="87"/>
      <c r="AO286" s="87"/>
      <c r="AP286" s="87"/>
      <c r="AQ286" s="87"/>
      <c r="AR286" s="107"/>
      <c r="AS286" s="107"/>
      <c r="AT286" s="102" t="s">
        <v>671</v>
      </c>
      <c r="AU286" s="108" t="s">
        <v>2170</v>
      </c>
      <c r="AV286" s="106"/>
      <c r="AW286" s="105"/>
      <c r="AX286" s="109" t="str">
        <f>IFERROR(IF(PAC!$X286="F01 - CAPTAÇÃO DE RECURSO",1,""),"")</f>
        <v/>
      </c>
      <c r="AY286" s="109" t="str">
        <f>IFERROR(IF(PAC!$X286="F02 - LICITAÇÃO",1,""),"")</f>
        <v/>
      </c>
      <c r="AZ286" s="110">
        <f>IFERROR(IF(PAC!$X$6:$X$581="F03 - EXECUÇÃO DO OBJETO",1,""),"")</f>
        <v>1</v>
      </c>
      <c r="BA286" s="110" t="str">
        <f>IFERROR(IF(PAC!$X$6:$X$581="F04 - CONCLUÍDA",1,""),"")</f>
        <v/>
      </c>
      <c r="BB286" s="111">
        <f>IF(PAC!$R286&gt;0,0,PAC!$Q286)</f>
        <v>476700000</v>
      </c>
    </row>
    <row r="287" spans="1:54" s="1" customFormat="1" ht="409.5" hidden="1" customHeight="1" thickBot="1">
      <c r="A287" s="112">
        <f t="shared" si="4"/>
        <v>282</v>
      </c>
      <c r="B287" s="113">
        <v>2023</v>
      </c>
      <c r="C287" s="112" t="s">
        <v>605</v>
      </c>
      <c r="D287" s="112" t="s">
        <v>1011</v>
      </c>
      <c r="E287" s="114" t="s">
        <v>458</v>
      </c>
      <c r="F287" s="112" t="s">
        <v>49</v>
      </c>
      <c r="G287" s="112" t="s">
        <v>614</v>
      </c>
      <c r="H287" s="115" t="s">
        <v>1247</v>
      </c>
      <c r="I287" s="112" t="s">
        <v>598</v>
      </c>
      <c r="J287" s="112" t="s">
        <v>156</v>
      </c>
      <c r="K287" s="31"/>
      <c r="L287" s="31"/>
      <c r="M287" s="31">
        <v>179422844.66</v>
      </c>
      <c r="N287" s="31"/>
      <c r="O287" s="31"/>
      <c r="P287" s="31"/>
      <c r="Q287" s="33">
        <f>SUM(PAC!$M287:$P287)</f>
        <v>179422844.66</v>
      </c>
      <c r="R287" s="33"/>
      <c r="S287" s="33">
        <f>IF(PAC!$R287&gt;0,PAC!$R287,PAC!$Q287)</f>
        <v>179422844.66</v>
      </c>
      <c r="T287" s="33"/>
      <c r="U287" s="116" t="s">
        <v>1570</v>
      </c>
      <c r="V287" s="116"/>
      <c r="W287" s="117">
        <v>12</v>
      </c>
      <c r="X287" s="117" t="s">
        <v>1694</v>
      </c>
      <c r="Y287" s="113" t="s">
        <v>2470</v>
      </c>
      <c r="Z287" s="118"/>
      <c r="AA287" s="119">
        <v>2</v>
      </c>
      <c r="AB287" s="115" t="s">
        <v>1472</v>
      </c>
      <c r="AC287" s="115" t="s">
        <v>1840</v>
      </c>
      <c r="AD287" s="120"/>
      <c r="AE287" s="114" t="s">
        <v>1615</v>
      </c>
      <c r="AF287" s="115"/>
      <c r="AG287" s="115"/>
      <c r="AH287" s="115"/>
      <c r="AI287" s="115"/>
      <c r="AJ287" s="118"/>
      <c r="AK287" s="115"/>
      <c r="AL287" s="115"/>
      <c r="AM287" s="115"/>
      <c r="AN287" s="118"/>
      <c r="AO287" s="118"/>
      <c r="AP287" s="118"/>
      <c r="AQ287" s="118"/>
      <c r="AR287" s="121"/>
      <c r="AS287" s="121"/>
      <c r="AT287" s="114" t="s">
        <v>1006</v>
      </c>
      <c r="AU287" s="122" t="s">
        <v>2171</v>
      </c>
      <c r="AV287" s="120"/>
      <c r="AW287" s="119"/>
      <c r="AX287" s="194" t="str">
        <f>IFERROR(IF(PAC!$X287="F01 - CAPTAÇÃO DE RECURSO",1,""),"")</f>
        <v/>
      </c>
      <c r="AY287" s="194" t="str">
        <f>IFERROR(IF(PAC!$X287="F02 - LICITAÇÃO",1,""),"")</f>
        <v/>
      </c>
      <c r="AZ287" s="123">
        <f>IFERROR(IF(PAC!$X$6:$X$581="F03 - EXECUÇÃO DO OBJETO",1,""),"")</f>
        <v>1</v>
      </c>
      <c r="BA287" s="123" t="str">
        <f>IFERROR(IF(PAC!$X$6:$X$581="F04 - CONCLUÍDA",1,""),"")</f>
        <v/>
      </c>
      <c r="BB287" s="191">
        <f>IF(PAC!$R287&gt;0,0,PAC!$Q287)</f>
        <v>179422844.66</v>
      </c>
    </row>
    <row r="288" spans="1:54" s="1" customFormat="1" ht="168.75" hidden="1" customHeight="1" thickBot="1">
      <c r="A288" s="88">
        <f t="shared" si="4"/>
        <v>283</v>
      </c>
      <c r="B288" s="101">
        <v>2023</v>
      </c>
      <c r="C288" s="88" t="s">
        <v>610</v>
      </c>
      <c r="D288" s="88" t="s">
        <v>1011</v>
      </c>
      <c r="E288" s="102" t="s">
        <v>459</v>
      </c>
      <c r="F288" s="88" t="s">
        <v>49</v>
      </c>
      <c r="G288" s="88" t="s">
        <v>614</v>
      </c>
      <c r="H288" s="40" t="s">
        <v>1247</v>
      </c>
      <c r="I288" s="88" t="s">
        <v>598</v>
      </c>
      <c r="J288" s="88" t="s">
        <v>260</v>
      </c>
      <c r="K288" s="18"/>
      <c r="L288" s="18"/>
      <c r="M288" s="18"/>
      <c r="N288" s="18"/>
      <c r="O288" s="18"/>
      <c r="P288" s="18"/>
      <c r="Q288" s="20">
        <f>SUM(PAC!$M288:$P288)</f>
        <v>0</v>
      </c>
      <c r="R288" s="20"/>
      <c r="S288" s="20">
        <f>IF(PAC!$R288&gt;0,PAC!$R288,PAC!$Q288)</f>
        <v>0</v>
      </c>
      <c r="T288" s="20"/>
      <c r="U288" s="103" t="s">
        <v>1493</v>
      </c>
      <c r="V288" s="103"/>
      <c r="W288" s="104"/>
      <c r="X288" s="104" t="s">
        <v>1490</v>
      </c>
      <c r="Y288" s="101" t="s">
        <v>2469</v>
      </c>
      <c r="Z288" s="87"/>
      <c r="AA288" s="105"/>
      <c r="AB288" s="40"/>
      <c r="AC288" s="102" t="s">
        <v>2650</v>
      </c>
      <c r="AD288" s="106"/>
      <c r="AE288" s="102" t="s">
        <v>1500</v>
      </c>
      <c r="AF288" s="40"/>
      <c r="AG288" s="40"/>
      <c r="AH288" s="40"/>
      <c r="AI288" s="40"/>
      <c r="AJ288" s="87"/>
      <c r="AK288" s="40"/>
      <c r="AL288" s="40"/>
      <c r="AM288" s="40"/>
      <c r="AN288" s="87"/>
      <c r="AO288" s="87"/>
      <c r="AP288" s="87"/>
      <c r="AQ288" s="87"/>
      <c r="AR288" s="107"/>
      <c r="AS288" s="107"/>
      <c r="AT288" s="102" t="s">
        <v>1315</v>
      </c>
      <c r="AU288" s="40" t="s">
        <v>1092</v>
      </c>
      <c r="AV288" s="106"/>
      <c r="AW288" s="105"/>
      <c r="AX288" s="109" t="str">
        <f>IFERROR(IF(PAC!$X288="F01 - CAPTAÇÃO DE RECURSO",1,""),"")</f>
        <v/>
      </c>
      <c r="AY288" s="109" t="str">
        <f>IFERROR(IF(PAC!$X288="F02 - LICITAÇÃO",1,""),"")</f>
        <v/>
      </c>
      <c r="AZ288" s="110" t="str">
        <f>IFERROR(IF(PAC!$X$6:$X$581="F03 - EXECUÇÃO DO OBJETO",1,""),"")</f>
        <v/>
      </c>
      <c r="BA288" s="110">
        <f>IFERROR(IF(PAC!$X$6:$X$581="F04 - CONCLUÍDA",1,""),"")</f>
        <v>1</v>
      </c>
      <c r="BB288" s="111">
        <f>IF(PAC!$R288&gt;0,0,PAC!$Q288)</f>
        <v>0</v>
      </c>
    </row>
    <row r="289" spans="1:54" s="1" customFormat="1" ht="168" hidden="1" customHeight="1" thickBot="1">
      <c r="A289" s="112">
        <f t="shared" si="4"/>
        <v>284</v>
      </c>
      <c r="B289" s="113">
        <v>2023</v>
      </c>
      <c r="C289" s="112" t="s">
        <v>605</v>
      </c>
      <c r="D289" s="112" t="s">
        <v>1011</v>
      </c>
      <c r="E289" s="114" t="s">
        <v>459</v>
      </c>
      <c r="F289" s="112" t="s">
        <v>49</v>
      </c>
      <c r="G289" s="112" t="s">
        <v>614</v>
      </c>
      <c r="H289" s="115" t="s">
        <v>1247</v>
      </c>
      <c r="I289" s="112" t="s">
        <v>598</v>
      </c>
      <c r="J289" s="112" t="s">
        <v>260</v>
      </c>
      <c r="K289" s="31"/>
      <c r="L289" s="31"/>
      <c r="M289" s="31">
        <v>250000000</v>
      </c>
      <c r="N289" s="31"/>
      <c r="O289" s="31"/>
      <c r="P289" s="31"/>
      <c r="Q289" s="33">
        <f>SUM(PAC!$M289:$P289)</f>
        <v>250000000</v>
      </c>
      <c r="R289" s="33"/>
      <c r="S289" s="33">
        <f>IF(PAC!$R289&gt;0,PAC!$R289,PAC!$Q289)</f>
        <v>250000000</v>
      </c>
      <c r="T289" s="33"/>
      <c r="U289" s="116" t="s">
        <v>1570</v>
      </c>
      <c r="V289" s="116"/>
      <c r="W289" s="117"/>
      <c r="X289" s="117" t="s">
        <v>1419</v>
      </c>
      <c r="Y289" s="113" t="s">
        <v>2473</v>
      </c>
      <c r="Z289" s="118"/>
      <c r="AA289" s="119"/>
      <c r="AB289" s="115" t="s">
        <v>1459</v>
      </c>
      <c r="AC289" s="125" t="s">
        <v>1093</v>
      </c>
      <c r="AD289" s="120"/>
      <c r="AE289" s="125" t="s">
        <v>1500</v>
      </c>
      <c r="AF289" s="115"/>
      <c r="AG289" s="115"/>
      <c r="AH289" s="115"/>
      <c r="AI289" s="115"/>
      <c r="AJ289" s="118"/>
      <c r="AK289" s="115"/>
      <c r="AL289" s="115"/>
      <c r="AM289" s="115"/>
      <c r="AN289" s="118"/>
      <c r="AO289" s="118"/>
      <c r="AP289" s="118"/>
      <c r="AQ289" s="118"/>
      <c r="AR289" s="121"/>
      <c r="AS289" s="121"/>
      <c r="AT289" s="114"/>
      <c r="AU289" s="115" t="s">
        <v>672</v>
      </c>
      <c r="AV289" s="120"/>
      <c r="AW289" s="119"/>
      <c r="AX289" s="194">
        <f>IFERROR(IF(PAC!$X289="F01 - CAPTAÇÃO DE RECURSO",1,""),"")</f>
        <v>1</v>
      </c>
      <c r="AY289" s="194" t="str">
        <f>IFERROR(IF(PAC!$X289="F02 - LICITAÇÃO",1,""),"")</f>
        <v/>
      </c>
      <c r="AZ289" s="123" t="str">
        <f>IFERROR(IF(PAC!$X$6:$X$581="F03 - EXECUÇÃO DO OBJETO",1,""),"")</f>
        <v/>
      </c>
      <c r="BA289" s="123" t="str">
        <f>IFERROR(IF(PAC!$X$6:$X$581="F04 - CONCLUÍDA",1,""),"")</f>
        <v/>
      </c>
      <c r="BB289" s="191">
        <f>IF(PAC!$R289&gt;0,0,PAC!$Q289)</f>
        <v>250000000</v>
      </c>
    </row>
    <row r="290" spans="1:54" s="1" customFormat="1" ht="409.5" hidden="1" customHeight="1" thickBot="1">
      <c r="A290" s="88">
        <f t="shared" si="4"/>
        <v>285</v>
      </c>
      <c r="B290" s="101">
        <v>2023</v>
      </c>
      <c r="C290" s="88" t="s">
        <v>610</v>
      </c>
      <c r="D290" s="88" t="s">
        <v>1011</v>
      </c>
      <c r="E290" s="102" t="s">
        <v>460</v>
      </c>
      <c r="F290" s="88" t="s">
        <v>49</v>
      </c>
      <c r="G290" s="88" t="s">
        <v>614</v>
      </c>
      <c r="H290" s="40" t="s">
        <v>1247</v>
      </c>
      <c r="I290" s="88" t="s">
        <v>599</v>
      </c>
      <c r="J290" s="88" t="s">
        <v>153</v>
      </c>
      <c r="K290" s="18"/>
      <c r="L290" s="18"/>
      <c r="M290" s="18">
        <v>11100000</v>
      </c>
      <c r="N290" s="18"/>
      <c r="O290" s="18"/>
      <c r="P290" s="18"/>
      <c r="Q290" s="20">
        <f>SUM(PAC!$M290:$P290)</f>
        <v>11100000</v>
      </c>
      <c r="R290" s="20"/>
      <c r="S290" s="20">
        <f>IF(PAC!$R290&gt;0,PAC!$R290,PAC!$Q290)</f>
        <v>11100000</v>
      </c>
      <c r="T290" s="20"/>
      <c r="U290" s="103" t="s">
        <v>1570</v>
      </c>
      <c r="V290" s="103"/>
      <c r="W290" s="104"/>
      <c r="X290" s="104" t="s">
        <v>1419</v>
      </c>
      <c r="Y290" s="101" t="s">
        <v>2485</v>
      </c>
      <c r="Z290" s="87"/>
      <c r="AA290" s="105"/>
      <c r="AB290" s="40"/>
      <c r="AC290" s="102" t="s">
        <v>2172</v>
      </c>
      <c r="AD290" s="106"/>
      <c r="AE290" s="102" t="s">
        <v>1497</v>
      </c>
      <c r="AF290" s="40"/>
      <c r="AG290" s="40"/>
      <c r="AH290" s="40"/>
      <c r="AI290" s="40"/>
      <c r="AJ290" s="87"/>
      <c r="AK290" s="40"/>
      <c r="AL290" s="40"/>
      <c r="AM290" s="40"/>
      <c r="AN290" s="87"/>
      <c r="AO290" s="87"/>
      <c r="AP290" s="87"/>
      <c r="AQ290" s="87"/>
      <c r="AR290" s="107"/>
      <c r="AS290" s="107"/>
      <c r="AT290" s="102" t="s">
        <v>591</v>
      </c>
      <c r="AU290" s="108" t="s">
        <v>1013</v>
      </c>
      <c r="AV290" s="106"/>
      <c r="AW290" s="105"/>
      <c r="AX290" s="109">
        <f>IFERROR(IF(PAC!$X290="F01 - CAPTAÇÃO DE RECURSO",1,""),"")</f>
        <v>1</v>
      </c>
      <c r="AY290" s="109" t="str">
        <f>IFERROR(IF(PAC!$X290="F02 - LICITAÇÃO",1,""),"")</f>
        <v/>
      </c>
      <c r="AZ290" s="110" t="str">
        <f>IFERROR(IF(PAC!$X$6:$X$581="F03 - EXECUÇÃO DO OBJETO",1,""),"")</f>
        <v/>
      </c>
      <c r="BA290" s="110" t="str">
        <f>IFERROR(IF(PAC!$X$6:$X$581="F04 - CONCLUÍDA",1,""),"")</f>
        <v/>
      </c>
      <c r="BB290" s="111">
        <f>IF(PAC!$R290&gt;0,0,PAC!$Q290)</f>
        <v>11100000</v>
      </c>
    </row>
    <row r="291" spans="1:54" s="1" customFormat="1" ht="210" hidden="1" customHeight="1" thickBot="1">
      <c r="A291" s="112">
        <f t="shared" si="4"/>
        <v>286</v>
      </c>
      <c r="B291" s="113">
        <v>2023</v>
      </c>
      <c r="C291" s="112" t="s">
        <v>610</v>
      </c>
      <c r="D291" s="112" t="s">
        <v>1011</v>
      </c>
      <c r="E291" s="114" t="s">
        <v>1311</v>
      </c>
      <c r="F291" s="112" t="s">
        <v>49</v>
      </c>
      <c r="G291" s="112" t="s">
        <v>614</v>
      </c>
      <c r="H291" s="115" t="s">
        <v>1247</v>
      </c>
      <c r="I291" s="112" t="s">
        <v>599</v>
      </c>
      <c r="J291" s="112" t="s">
        <v>449</v>
      </c>
      <c r="K291" s="31"/>
      <c r="L291" s="31"/>
      <c r="M291" s="31">
        <v>5000000</v>
      </c>
      <c r="N291" s="31"/>
      <c r="O291" s="31"/>
      <c r="P291" s="31"/>
      <c r="Q291" s="33">
        <f>SUM(PAC!$M291:$P291)</f>
        <v>5000000</v>
      </c>
      <c r="R291" s="33"/>
      <c r="S291" s="33">
        <f>IF(PAC!$R291&gt;0,PAC!$R291,PAC!$Q291)</f>
        <v>5000000</v>
      </c>
      <c r="T291" s="33"/>
      <c r="U291" s="116" t="s">
        <v>1570</v>
      </c>
      <c r="V291" s="116"/>
      <c r="W291" s="117"/>
      <c r="X291" s="117" t="s">
        <v>1419</v>
      </c>
      <c r="Y291" s="113" t="s">
        <v>2485</v>
      </c>
      <c r="Z291" s="118"/>
      <c r="AA291" s="119"/>
      <c r="AB291" s="115"/>
      <c r="AC291" s="114" t="s">
        <v>2173</v>
      </c>
      <c r="AD291" s="120"/>
      <c r="AE291" s="114" t="s">
        <v>2143</v>
      </c>
      <c r="AF291" s="115"/>
      <c r="AG291" s="115"/>
      <c r="AH291" s="115"/>
      <c r="AI291" s="115"/>
      <c r="AJ291" s="118"/>
      <c r="AK291" s="115"/>
      <c r="AL291" s="115"/>
      <c r="AM291" s="115"/>
      <c r="AN291" s="118"/>
      <c r="AO291" s="118"/>
      <c r="AP291" s="118"/>
      <c r="AQ291" s="118"/>
      <c r="AR291" s="121"/>
      <c r="AS291" s="121"/>
      <c r="AT291" s="114" t="s">
        <v>2174</v>
      </c>
      <c r="AU291" s="115" t="s">
        <v>1312</v>
      </c>
      <c r="AV291" s="120"/>
      <c r="AW291" s="119"/>
      <c r="AX291" s="194">
        <f>IFERROR(IF(PAC!$X291="F01 - CAPTAÇÃO DE RECURSO",1,""),"")</f>
        <v>1</v>
      </c>
      <c r="AY291" s="194" t="str">
        <f>IFERROR(IF(PAC!$X291="F02 - LICITAÇÃO",1,""),"")</f>
        <v/>
      </c>
      <c r="AZ291" s="123" t="str">
        <f>IFERROR(IF(PAC!$X$6:$X$581="F03 - EXECUÇÃO DO OBJETO",1,""),"")</f>
        <v/>
      </c>
      <c r="BA291" s="123" t="str">
        <f>IFERROR(IF(PAC!$X$6:$X$581="F04 - CONCLUÍDA",1,""),"")</f>
        <v/>
      </c>
      <c r="BB291" s="191">
        <f>IF(PAC!$R291&gt;0,0,PAC!$Q291)</f>
        <v>5000000</v>
      </c>
    </row>
    <row r="292" spans="1:54" s="1" customFormat="1" ht="273" hidden="1" customHeight="1" thickBot="1">
      <c r="A292" s="88">
        <f t="shared" si="4"/>
        <v>287</v>
      </c>
      <c r="B292" s="101">
        <v>2023</v>
      </c>
      <c r="C292" s="88" t="s">
        <v>605</v>
      </c>
      <c r="D292" s="88" t="s">
        <v>1011</v>
      </c>
      <c r="E292" s="102" t="s">
        <v>453</v>
      </c>
      <c r="F292" s="88" t="s">
        <v>49</v>
      </c>
      <c r="G292" s="88" t="s">
        <v>614</v>
      </c>
      <c r="H292" s="40" t="s">
        <v>1248</v>
      </c>
      <c r="I292" s="88" t="s">
        <v>606</v>
      </c>
      <c r="J292" s="88" t="s">
        <v>115</v>
      </c>
      <c r="K292" s="18"/>
      <c r="L292" s="18"/>
      <c r="M292" s="18"/>
      <c r="N292" s="18"/>
      <c r="O292" s="18"/>
      <c r="P292" s="18">
        <v>617930000</v>
      </c>
      <c r="Q292" s="20">
        <f>SUM(PAC!$M292:$P292)</f>
        <v>617930000</v>
      </c>
      <c r="R292" s="20"/>
      <c r="S292" s="20">
        <f>IF(PAC!$R292&gt;0,PAC!$R292,PAC!$Q292)</f>
        <v>617930000</v>
      </c>
      <c r="T292" s="20"/>
      <c r="U292" s="103" t="s">
        <v>594</v>
      </c>
      <c r="V292" s="103" t="s">
        <v>1805</v>
      </c>
      <c r="W292" s="104">
        <v>18</v>
      </c>
      <c r="X292" s="104" t="s">
        <v>1419</v>
      </c>
      <c r="Y292" s="101" t="s">
        <v>2473</v>
      </c>
      <c r="Z292" s="87"/>
      <c r="AA292" s="105">
        <v>0</v>
      </c>
      <c r="AB292" s="40" t="s">
        <v>1482</v>
      </c>
      <c r="AC292" s="124" t="s">
        <v>1821</v>
      </c>
      <c r="AD292" s="106"/>
      <c r="AE292" s="102" t="s">
        <v>1309</v>
      </c>
      <c r="AF292" s="40"/>
      <c r="AG292" s="40"/>
      <c r="AH292" s="40"/>
      <c r="AI292" s="40"/>
      <c r="AJ292" s="87"/>
      <c r="AK292" s="40" t="s">
        <v>1152</v>
      </c>
      <c r="AL292" s="40"/>
      <c r="AM292" s="40"/>
      <c r="AN292" s="87"/>
      <c r="AO292" s="87"/>
      <c r="AP292" s="87"/>
      <c r="AQ292" s="87"/>
      <c r="AR292" s="107"/>
      <c r="AS292" s="107"/>
      <c r="AT292" s="102" t="s">
        <v>2808</v>
      </c>
      <c r="AU292" s="108" t="s">
        <v>2489</v>
      </c>
      <c r="AV292" s="106"/>
      <c r="AW292" s="105"/>
      <c r="AX292" s="109">
        <f>IFERROR(IF(PAC!$X292="F01 - CAPTAÇÃO DE RECURSO",1,""),"")</f>
        <v>1</v>
      </c>
      <c r="AY292" s="109" t="str">
        <f>IFERROR(IF(PAC!$X292="F02 - LICITAÇÃO",1,""),"")</f>
        <v/>
      </c>
      <c r="AZ292" s="110" t="str">
        <f>IFERROR(IF(PAC!$X$6:$X$581="F03 - EXECUÇÃO DO OBJETO",1,""),"")</f>
        <v/>
      </c>
      <c r="BA292" s="110" t="str">
        <f>IFERROR(IF(PAC!$X$6:$X$581="F04 - CONCLUÍDA",1,""),"")</f>
        <v/>
      </c>
      <c r="BB292" s="111">
        <f>IF(PAC!$R292&gt;0,0,PAC!$Q292)</f>
        <v>617930000</v>
      </c>
    </row>
    <row r="293" spans="1:54" s="1" customFormat="1" ht="409.5" hidden="1" customHeight="1" thickBot="1">
      <c r="A293" s="112">
        <f t="shared" si="4"/>
        <v>288</v>
      </c>
      <c r="B293" s="113">
        <v>2023</v>
      </c>
      <c r="C293" s="112" t="s">
        <v>605</v>
      </c>
      <c r="D293" s="112" t="s">
        <v>1011</v>
      </c>
      <c r="E293" s="114" t="s">
        <v>2310</v>
      </c>
      <c r="F293" s="112" t="s">
        <v>49</v>
      </c>
      <c r="G293" s="112" t="s">
        <v>614</v>
      </c>
      <c r="H293" s="115" t="s">
        <v>1248</v>
      </c>
      <c r="I293" s="112" t="s">
        <v>606</v>
      </c>
      <c r="J293" s="112" t="s">
        <v>297</v>
      </c>
      <c r="K293" s="31"/>
      <c r="L293" s="31"/>
      <c r="M293" s="31"/>
      <c r="N293" s="31"/>
      <c r="O293" s="31"/>
      <c r="P293" s="31">
        <v>495000000</v>
      </c>
      <c r="Q293" s="33">
        <f>SUM(PAC!$M293:$P293)</f>
        <v>495000000</v>
      </c>
      <c r="R293" s="33"/>
      <c r="S293" s="33">
        <f>IF(PAC!$R293&gt;0,PAC!$R293,PAC!$Q293)</f>
        <v>495000000</v>
      </c>
      <c r="T293" s="33"/>
      <c r="U293" s="116" t="s">
        <v>594</v>
      </c>
      <c r="V293" s="116" t="s">
        <v>1805</v>
      </c>
      <c r="W293" s="117"/>
      <c r="X293" s="117" t="s">
        <v>1419</v>
      </c>
      <c r="Y293" s="113" t="s">
        <v>2481</v>
      </c>
      <c r="Z293" s="118"/>
      <c r="AA293" s="119">
        <v>57</v>
      </c>
      <c r="AB293" s="115" t="s">
        <v>1482</v>
      </c>
      <c r="AC293" s="125" t="s">
        <v>2490</v>
      </c>
      <c r="AD293" s="120">
        <v>46264</v>
      </c>
      <c r="AE293" s="114" t="s">
        <v>2036</v>
      </c>
      <c r="AF293" s="115"/>
      <c r="AG293" s="115"/>
      <c r="AH293" s="115"/>
      <c r="AI293" s="115"/>
      <c r="AJ293" s="118"/>
      <c r="AK293" s="115"/>
      <c r="AL293" s="115"/>
      <c r="AM293" s="115"/>
      <c r="AN293" s="118"/>
      <c r="AO293" s="118"/>
      <c r="AP293" s="118"/>
      <c r="AQ293" s="118"/>
      <c r="AR293" s="121"/>
      <c r="AS293" s="121"/>
      <c r="AT293" s="114"/>
      <c r="AU293" s="115" t="s">
        <v>1738</v>
      </c>
      <c r="AV293" s="120"/>
      <c r="AW293" s="119"/>
      <c r="AX293" s="194">
        <f>IFERROR(IF(PAC!$X293="F01 - CAPTAÇÃO DE RECURSO",1,""),"")</f>
        <v>1</v>
      </c>
      <c r="AY293" s="194" t="str">
        <f>IFERROR(IF(PAC!$X293="F02 - LICITAÇÃO",1,""),"")</f>
        <v/>
      </c>
      <c r="AZ293" s="123" t="str">
        <f>IFERROR(IF(PAC!$X$6:$X$581="F03 - EXECUÇÃO DO OBJETO",1,""),"")</f>
        <v/>
      </c>
      <c r="BA293" s="123" t="str">
        <f>IFERROR(IF(PAC!$X$6:$X$581="F04 - CONCLUÍDA",1,""),"")</f>
        <v/>
      </c>
      <c r="BB293" s="191">
        <f>IF(PAC!$R293&gt;0,0,PAC!$Q293)</f>
        <v>495000000</v>
      </c>
    </row>
    <row r="294" spans="1:54" s="1" customFormat="1" ht="210" hidden="1" customHeight="1" thickBot="1">
      <c r="A294" s="88">
        <f t="shared" si="4"/>
        <v>289</v>
      </c>
      <c r="B294" s="101">
        <v>2023</v>
      </c>
      <c r="C294" s="88" t="s">
        <v>605</v>
      </c>
      <c r="D294" s="88" t="s">
        <v>1011</v>
      </c>
      <c r="E294" s="102" t="s">
        <v>2551</v>
      </c>
      <c r="F294" s="88" t="s">
        <v>49</v>
      </c>
      <c r="G294" s="88" t="s">
        <v>1023</v>
      </c>
      <c r="H294" s="40" t="s">
        <v>1247</v>
      </c>
      <c r="I294" s="88" t="s">
        <v>597</v>
      </c>
      <c r="J294" s="88" t="s">
        <v>90</v>
      </c>
      <c r="K294" s="18"/>
      <c r="L294" s="18"/>
      <c r="M294" s="18">
        <v>365200000</v>
      </c>
      <c r="N294" s="18"/>
      <c r="O294" s="18"/>
      <c r="P294" s="18"/>
      <c r="Q294" s="20">
        <f>SUM(PAC!$M294:$P294)</f>
        <v>365200000</v>
      </c>
      <c r="R294" s="20"/>
      <c r="S294" s="20">
        <f>IF(PAC!$R294&gt;0,PAC!$R294,PAC!$Q294)</f>
        <v>365200000</v>
      </c>
      <c r="T294" s="20"/>
      <c r="U294" s="103" t="s">
        <v>1562</v>
      </c>
      <c r="V294" s="103"/>
      <c r="W294" s="104">
        <v>26</v>
      </c>
      <c r="X294" s="104" t="s">
        <v>1694</v>
      </c>
      <c r="Y294" s="101" t="s">
        <v>2470</v>
      </c>
      <c r="Z294" s="87">
        <v>46387</v>
      </c>
      <c r="AA294" s="105">
        <v>70.17</v>
      </c>
      <c r="AB294" s="40"/>
      <c r="AC294" s="40"/>
      <c r="AD294" s="106"/>
      <c r="AE294" s="102" t="s">
        <v>454</v>
      </c>
      <c r="AF294" s="40"/>
      <c r="AG294" s="40"/>
      <c r="AH294" s="40"/>
      <c r="AI294" s="40"/>
      <c r="AJ294" s="87"/>
      <c r="AK294" s="40"/>
      <c r="AL294" s="40"/>
      <c r="AM294" s="40"/>
      <c r="AN294" s="87">
        <v>45246</v>
      </c>
      <c r="AO294" s="87">
        <v>45345</v>
      </c>
      <c r="AP294" s="87">
        <v>45391</v>
      </c>
      <c r="AQ294" s="87">
        <v>45450</v>
      </c>
      <c r="AR294" s="107">
        <v>46387</v>
      </c>
      <c r="AS294" s="107">
        <v>46387</v>
      </c>
      <c r="AT294" s="102" t="s">
        <v>455</v>
      </c>
      <c r="AU294" s="108" t="s">
        <v>1012</v>
      </c>
      <c r="AV294" s="106"/>
      <c r="AW294" s="105"/>
      <c r="AX294" s="109" t="str">
        <f>IFERROR(IF(PAC!$X294="F01 - CAPTAÇÃO DE RECURSO",1,""),"")</f>
        <v/>
      </c>
      <c r="AY294" s="109" t="str">
        <f>IFERROR(IF(PAC!$X294="F02 - LICITAÇÃO",1,""),"")</f>
        <v/>
      </c>
      <c r="AZ294" s="110">
        <f>IFERROR(IF(PAC!$X$6:$X$581="F03 - EXECUÇÃO DO OBJETO",1,""),"")</f>
        <v>1</v>
      </c>
      <c r="BA294" s="110" t="str">
        <f>IFERROR(IF(PAC!$X$6:$X$581="F04 - CONCLUÍDA",1,""),"")</f>
        <v/>
      </c>
      <c r="BB294" s="111">
        <f>IF(PAC!$R294&gt;0,0,PAC!$Q294)</f>
        <v>365200000</v>
      </c>
    </row>
    <row r="295" spans="1:54" s="1" customFormat="1" ht="231" hidden="1" customHeight="1" thickBot="1">
      <c r="A295" s="112">
        <f t="shared" si="4"/>
        <v>290</v>
      </c>
      <c r="B295" s="112">
        <v>2025</v>
      </c>
      <c r="C295" s="112" t="s">
        <v>605</v>
      </c>
      <c r="D295" s="112" t="s">
        <v>1011</v>
      </c>
      <c r="E295" s="130" t="s">
        <v>1976</v>
      </c>
      <c r="F295" s="115" t="s">
        <v>49</v>
      </c>
      <c r="G295" s="115" t="s">
        <v>1023</v>
      </c>
      <c r="H295" s="112" t="s">
        <v>1247</v>
      </c>
      <c r="I295" s="112" t="s">
        <v>597</v>
      </c>
      <c r="J295" s="112" t="s">
        <v>90</v>
      </c>
      <c r="K295" s="31"/>
      <c r="L295" s="31"/>
      <c r="M295" s="31">
        <v>467970011.11000001</v>
      </c>
      <c r="N295" s="31"/>
      <c r="O295" s="31"/>
      <c r="P295" s="31"/>
      <c r="Q295" s="33">
        <f>SUM(PAC!$M295:$P295)</f>
        <v>467970011.11000001</v>
      </c>
      <c r="R295" s="33"/>
      <c r="S295" s="33">
        <f>IF(PAC!$R295&gt;0,PAC!$R295,PAC!$Q295)</f>
        <v>467970011.11000001</v>
      </c>
      <c r="T295" s="33" t="s">
        <v>1980</v>
      </c>
      <c r="U295" s="116" t="s">
        <v>1562</v>
      </c>
      <c r="V295" s="116"/>
      <c r="W295" s="117">
        <v>38</v>
      </c>
      <c r="X295" s="117" t="s">
        <v>1694</v>
      </c>
      <c r="Y295" s="113" t="s">
        <v>2470</v>
      </c>
      <c r="Z295" s="118">
        <v>47566</v>
      </c>
      <c r="AA295" s="119">
        <v>69.52</v>
      </c>
      <c r="AB295" s="115"/>
      <c r="AC295" s="115"/>
      <c r="AD295" s="120"/>
      <c r="AE295" s="114"/>
      <c r="AF295" s="115"/>
      <c r="AG295" s="115"/>
      <c r="AH295" s="115"/>
      <c r="AI295" s="115"/>
      <c r="AJ295" s="118"/>
      <c r="AK295" s="115"/>
      <c r="AL295" s="115"/>
      <c r="AM295" s="115"/>
      <c r="AN295" s="118"/>
      <c r="AO295" s="118"/>
      <c r="AP295" s="118"/>
      <c r="AQ295" s="118">
        <v>46136</v>
      </c>
      <c r="AR295" s="121">
        <v>47566</v>
      </c>
      <c r="AS295" s="121">
        <v>47566</v>
      </c>
      <c r="AT295" s="114" t="s">
        <v>1981</v>
      </c>
      <c r="AU295" s="122"/>
      <c r="AV295" s="120"/>
      <c r="AW295" s="131"/>
      <c r="AX295" s="194" t="str">
        <f>IFERROR(IF(PAC!$X295="F01 - CAPTAÇÃO DE RECURSO",1,""),"")</f>
        <v/>
      </c>
      <c r="AY295" s="194" t="str">
        <f>IFERROR(IF(PAC!$X295="F02 - LICITAÇÃO",1,""),"")</f>
        <v/>
      </c>
      <c r="AZ295" s="123">
        <f>IFERROR(IF(PAC!$X$6:$X$581="F03 - EXECUÇÃO DO OBJETO",1,""),"")</f>
        <v>1</v>
      </c>
      <c r="BA295" s="123" t="str">
        <f>IFERROR(IF(PAC!$X$6:$X$581="F04 - CONCLUÍDA",1,""),"")</f>
        <v/>
      </c>
      <c r="BB295" s="191">
        <f>IF(PAC!$R295&gt;0,0,PAC!$Q295)</f>
        <v>467970011.11000001</v>
      </c>
    </row>
    <row r="296" spans="1:54" s="1" customFormat="1" ht="210" hidden="1" customHeight="1" thickBot="1">
      <c r="A296" s="88">
        <f t="shared" si="4"/>
        <v>291</v>
      </c>
      <c r="B296" s="88">
        <v>2025</v>
      </c>
      <c r="C296" s="88" t="s">
        <v>605</v>
      </c>
      <c r="D296" s="88" t="s">
        <v>1011</v>
      </c>
      <c r="E296" s="89" t="s">
        <v>1977</v>
      </c>
      <c r="F296" s="40" t="s">
        <v>49</v>
      </c>
      <c r="G296" s="40" t="s">
        <v>1023</v>
      </c>
      <c r="H296" s="88" t="s">
        <v>1247</v>
      </c>
      <c r="I296" s="88" t="s">
        <v>597</v>
      </c>
      <c r="J296" s="88" t="s">
        <v>396</v>
      </c>
      <c r="K296" s="18"/>
      <c r="L296" s="18"/>
      <c r="M296" s="18"/>
      <c r="N296" s="18"/>
      <c r="O296" s="18"/>
      <c r="P296" s="18"/>
      <c r="Q296" s="20">
        <f>SUM(PAC!$M296:$P296)</f>
        <v>0</v>
      </c>
      <c r="R296" s="20"/>
      <c r="S296" s="20">
        <f>IF(PAC!$R296&gt;0,PAC!$R296,PAC!$Q296)</f>
        <v>0</v>
      </c>
      <c r="T296" s="20" t="s">
        <v>2552</v>
      </c>
      <c r="U296" s="103" t="s">
        <v>1562</v>
      </c>
      <c r="V296" s="103"/>
      <c r="W296" s="104">
        <v>60</v>
      </c>
      <c r="X296" s="104" t="s">
        <v>1694</v>
      </c>
      <c r="Y296" s="101" t="s">
        <v>2470</v>
      </c>
      <c r="Z296" s="87">
        <v>46470</v>
      </c>
      <c r="AA296" s="105"/>
      <c r="AB296" s="40"/>
      <c r="AC296" s="40"/>
      <c r="AD296" s="106"/>
      <c r="AE296" s="102"/>
      <c r="AF296" s="40"/>
      <c r="AG296" s="40"/>
      <c r="AH296" s="40"/>
      <c r="AI296" s="40"/>
      <c r="AJ296" s="87"/>
      <c r="AK296" s="40"/>
      <c r="AL296" s="40"/>
      <c r="AM296" s="40"/>
      <c r="AN296" s="87"/>
      <c r="AO296" s="87"/>
      <c r="AP296" s="87"/>
      <c r="AQ296" s="87">
        <v>44554</v>
      </c>
      <c r="AR296" s="107">
        <v>46470</v>
      </c>
      <c r="AS296" s="107">
        <v>46470</v>
      </c>
      <c r="AT296" s="102" t="s">
        <v>1982</v>
      </c>
      <c r="AU296" s="108"/>
      <c r="AV296" s="106"/>
      <c r="AW296" s="129"/>
      <c r="AX296" s="109" t="str">
        <f>IFERROR(IF(PAC!$X296="F01 - CAPTAÇÃO DE RECURSO",1,""),"")</f>
        <v/>
      </c>
      <c r="AY296" s="109" t="str">
        <f>IFERROR(IF(PAC!$X296="F02 - LICITAÇÃO",1,""),"")</f>
        <v/>
      </c>
      <c r="AZ296" s="110">
        <f>IFERROR(IF(PAC!$X$6:$X$581="F03 - EXECUÇÃO DO OBJETO",1,""),"")</f>
        <v>1</v>
      </c>
      <c r="BA296" s="110" t="str">
        <f>IFERROR(IF(PAC!$X$6:$X$581="F04 - CONCLUÍDA",1,""),"")</f>
        <v/>
      </c>
      <c r="BB296" s="111">
        <f>IF(PAC!$R296&gt;0,0,PAC!$Q296)</f>
        <v>0</v>
      </c>
    </row>
    <row r="297" spans="1:54" s="1" customFormat="1" ht="147" hidden="1" customHeight="1" thickBot="1">
      <c r="A297" s="112">
        <f t="shared" si="4"/>
        <v>292</v>
      </c>
      <c r="B297" s="112">
        <v>2025</v>
      </c>
      <c r="C297" s="112" t="s">
        <v>605</v>
      </c>
      <c r="D297" s="112" t="s">
        <v>1011</v>
      </c>
      <c r="E297" s="130" t="s">
        <v>1978</v>
      </c>
      <c r="F297" s="115" t="s">
        <v>49</v>
      </c>
      <c r="G297" s="115" t="s">
        <v>1023</v>
      </c>
      <c r="H297" s="112" t="s">
        <v>1247</v>
      </c>
      <c r="I297" s="112" t="s">
        <v>597</v>
      </c>
      <c r="J297" s="112" t="s">
        <v>396</v>
      </c>
      <c r="K297" s="31"/>
      <c r="L297" s="31"/>
      <c r="M297" s="31"/>
      <c r="N297" s="31"/>
      <c r="O297" s="31"/>
      <c r="P297" s="31"/>
      <c r="Q297" s="33">
        <f>SUM(PAC!$M297:$P297)</f>
        <v>0</v>
      </c>
      <c r="R297" s="33"/>
      <c r="S297" s="33">
        <f>IF(PAC!$R297&gt;0,PAC!$R297,PAC!$Q297)</f>
        <v>0</v>
      </c>
      <c r="T297" s="33"/>
      <c r="U297" s="116" t="s">
        <v>1493</v>
      </c>
      <c r="V297" s="116"/>
      <c r="W297" s="117"/>
      <c r="X297" s="117" t="s">
        <v>1419</v>
      </c>
      <c r="Y297" s="113" t="s">
        <v>2481</v>
      </c>
      <c r="Z297" s="118"/>
      <c r="AA297" s="119"/>
      <c r="AB297" s="115"/>
      <c r="AC297" s="115"/>
      <c r="AD297" s="120"/>
      <c r="AE297" s="114"/>
      <c r="AF297" s="115"/>
      <c r="AG297" s="115"/>
      <c r="AH297" s="115"/>
      <c r="AI297" s="115"/>
      <c r="AJ297" s="118"/>
      <c r="AK297" s="115"/>
      <c r="AL297" s="115"/>
      <c r="AM297" s="115"/>
      <c r="AN297" s="118"/>
      <c r="AO297" s="118"/>
      <c r="AP297" s="118"/>
      <c r="AQ297" s="118"/>
      <c r="AR297" s="121"/>
      <c r="AS297" s="121"/>
      <c r="AT297" s="114" t="s">
        <v>1983</v>
      </c>
      <c r="AU297" s="122"/>
      <c r="AV297" s="120"/>
      <c r="AW297" s="131"/>
      <c r="AX297" s="194">
        <f>IFERROR(IF(PAC!$X297="F01 - CAPTAÇÃO DE RECURSO",1,""),"")</f>
        <v>1</v>
      </c>
      <c r="AY297" s="194" t="str">
        <f>IFERROR(IF(PAC!$X297="F02 - LICITAÇÃO",1,""),"")</f>
        <v/>
      </c>
      <c r="AZ297" s="123" t="str">
        <f>IFERROR(IF(PAC!$X$6:$X$581="F03 - EXECUÇÃO DO OBJETO",1,""),"")</f>
        <v/>
      </c>
      <c r="BA297" s="123" t="str">
        <f>IFERROR(IF(PAC!$X$6:$X$581="F04 - CONCLUÍDA",1,""),"")</f>
        <v/>
      </c>
      <c r="BB297" s="191">
        <f>IF(PAC!$R297&gt;0,0,PAC!$Q297)</f>
        <v>0</v>
      </c>
    </row>
    <row r="298" spans="1:54" s="1" customFormat="1" ht="378" hidden="1" customHeight="1" thickBot="1">
      <c r="A298" s="88">
        <f t="shared" si="4"/>
        <v>293</v>
      </c>
      <c r="B298" s="88">
        <v>2025</v>
      </c>
      <c r="C298" s="88" t="s">
        <v>605</v>
      </c>
      <c r="D298" s="88" t="s">
        <v>1011</v>
      </c>
      <c r="E298" s="89" t="s">
        <v>1979</v>
      </c>
      <c r="F298" s="40" t="s">
        <v>49</v>
      </c>
      <c r="G298" s="40" t="s">
        <v>1023</v>
      </c>
      <c r="H298" s="88" t="s">
        <v>1247</v>
      </c>
      <c r="I298" s="88" t="s">
        <v>597</v>
      </c>
      <c r="J298" s="88" t="s">
        <v>63</v>
      </c>
      <c r="K298" s="18"/>
      <c r="L298" s="18"/>
      <c r="M298" s="18"/>
      <c r="N298" s="18"/>
      <c r="O298" s="18"/>
      <c r="P298" s="18"/>
      <c r="Q298" s="20">
        <f>SUM(PAC!$M298:$P298)</f>
        <v>0</v>
      </c>
      <c r="R298" s="20"/>
      <c r="S298" s="20">
        <f>IF(PAC!$R298&gt;0,PAC!$R298,PAC!$Q298)</f>
        <v>0</v>
      </c>
      <c r="T298" s="20"/>
      <c r="U298" s="103" t="s">
        <v>1493</v>
      </c>
      <c r="V298" s="103"/>
      <c r="W298" s="104"/>
      <c r="X298" s="104" t="s">
        <v>1419</v>
      </c>
      <c r="Y298" s="101" t="s">
        <v>2473</v>
      </c>
      <c r="Z298" s="87"/>
      <c r="AA298" s="105"/>
      <c r="AB298" s="40"/>
      <c r="AC298" s="40"/>
      <c r="AD298" s="106"/>
      <c r="AE298" s="102"/>
      <c r="AF298" s="40"/>
      <c r="AG298" s="40"/>
      <c r="AH298" s="40"/>
      <c r="AI298" s="40"/>
      <c r="AJ298" s="87"/>
      <c r="AK298" s="40"/>
      <c r="AL298" s="40"/>
      <c r="AM298" s="40"/>
      <c r="AN298" s="87"/>
      <c r="AO298" s="87"/>
      <c r="AP298" s="87"/>
      <c r="AQ298" s="87"/>
      <c r="AR298" s="107"/>
      <c r="AS298" s="107"/>
      <c r="AT298" s="102" t="s">
        <v>2553</v>
      </c>
      <c r="AU298" s="108"/>
      <c r="AV298" s="106"/>
      <c r="AW298" s="129"/>
      <c r="AX298" s="109">
        <f>IFERROR(IF(PAC!$X298="F01 - CAPTAÇÃO DE RECURSO",1,""),"")</f>
        <v>1</v>
      </c>
      <c r="AY298" s="109" t="str">
        <f>IFERROR(IF(PAC!$X298="F02 - LICITAÇÃO",1,""),"")</f>
        <v/>
      </c>
      <c r="AZ298" s="110" t="str">
        <f>IFERROR(IF(PAC!$X$6:$X$581="F03 - EXECUÇÃO DO OBJETO",1,""),"")</f>
        <v/>
      </c>
      <c r="BA298" s="110" t="str">
        <f>IFERROR(IF(PAC!$X$6:$X$581="F04 - CONCLUÍDA",1,""),"")</f>
        <v/>
      </c>
      <c r="BB298" s="111">
        <f>IF(PAC!$R298&gt;0,0,PAC!$Q298)</f>
        <v>0</v>
      </c>
    </row>
    <row r="299" spans="1:54" s="1" customFormat="1" ht="336" hidden="1" customHeight="1" thickBot="1">
      <c r="A299" s="112">
        <f t="shared" si="4"/>
        <v>294</v>
      </c>
      <c r="B299" s="113">
        <v>2023</v>
      </c>
      <c r="C299" s="112" t="s">
        <v>605</v>
      </c>
      <c r="D299" s="112" t="s">
        <v>1011</v>
      </c>
      <c r="E299" s="114" t="s">
        <v>682</v>
      </c>
      <c r="F299" s="112" t="s">
        <v>56</v>
      </c>
      <c r="G299" s="112" t="s">
        <v>665</v>
      </c>
      <c r="H299" s="115" t="s">
        <v>1245</v>
      </c>
      <c r="I299" s="112" t="s">
        <v>1238</v>
      </c>
      <c r="J299" s="112" t="s">
        <v>23</v>
      </c>
      <c r="K299" s="31"/>
      <c r="L299" s="31"/>
      <c r="M299" s="31">
        <v>96073925.420000002</v>
      </c>
      <c r="N299" s="31"/>
      <c r="O299" s="31">
        <v>65115674.579999998</v>
      </c>
      <c r="P299" s="31"/>
      <c r="Q299" s="33">
        <f>SUM(PAC!$M299:$P299)</f>
        <v>161189600</v>
      </c>
      <c r="R299" s="33">
        <v>161189600</v>
      </c>
      <c r="S299" s="33">
        <f>IF(PAC!$R299&gt;0,PAC!$R299,PAC!$Q299)</f>
        <v>161189600</v>
      </c>
      <c r="T299" s="33" t="s">
        <v>2329</v>
      </c>
      <c r="U299" s="116" t="s">
        <v>1572</v>
      </c>
      <c r="V299" s="116"/>
      <c r="W299" s="117">
        <v>18</v>
      </c>
      <c r="X299" s="117" t="s">
        <v>1490</v>
      </c>
      <c r="Y299" s="113" t="s">
        <v>2482</v>
      </c>
      <c r="Z299" s="121">
        <v>46111</v>
      </c>
      <c r="AA299" s="119">
        <v>100</v>
      </c>
      <c r="AB299" s="115"/>
      <c r="AC299" s="115"/>
      <c r="AD299" s="120"/>
      <c r="AE299" s="114" t="s">
        <v>685</v>
      </c>
      <c r="AF299" s="115" t="s">
        <v>684</v>
      </c>
      <c r="AG299" s="115" t="s">
        <v>1018</v>
      </c>
      <c r="AH299" s="115" t="s">
        <v>977</v>
      </c>
      <c r="AI299" s="115"/>
      <c r="AJ299" s="118"/>
      <c r="AK299" s="115" t="s">
        <v>1101</v>
      </c>
      <c r="AL299" s="115" t="s">
        <v>1108</v>
      </c>
      <c r="AM299" s="115"/>
      <c r="AN299" s="118">
        <v>45100</v>
      </c>
      <c r="AO299" s="118">
        <v>45168</v>
      </c>
      <c r="AP299" s="118">
        <v>45253</v>
      </c>
      <c r="AQ299" s="118">
        <v>45253</v>
      </c>
      <c r="AR299" s="121">
        <v>45800</v>
      </c>
      <c r="AS299" s="121">
        <v>46111</v>
      </c>
      <c r="AT299" s="114" t="s">
        <v>1948</v>
      </c>
      <c r="AU299" s="115" t="s">
        <v>1848</v>
      </c>
      <c r="AV299" s="120"/>
      <c r="AW299" s="119"/>
      <c r="AX299" s="194" t="str">
        <f>IFERROR(IF(PAC!$X299="F01 - CAPTAÇÃO DE RECURSO",1,""),"")</f>
        <v/>
      </c>
      <c r="AY299" s="194" t="str">
        <f>IFERROR(IF(PAC!$X299="F02 - LICITAÇÃO",1,""),"")</f>
        <v/>
      </c>
      <c r="AZ299" s="123" t="str">
        <f>IFERROR(IF(PAC!$X$6:$X$581="F03 - EXECUÇÃO DO OBJETO",1,""),"")</f>
        <v/>
      </c>
      <c r="BA299" s="123">
        <f>IFERROR(IF(PAC!$X$6:$X$581="F04 - CONCLUÍDA",1,""),"")</f>
        <v>1</v>
      </c>
      <c r="BB299" s="191">
        <f>IF(PAC!$R299&gt;0,0,PAC!$Q299)</f>
        <v>0</v>
      </c>
    </row>
    <row r="300" spans="1:54" s="1" customFormat="1" ht="252.75" hidden="1" thickBot="1">
      <c r="A300" s="88">
        <f t="shared" si="4"/>
        <v>295</v>
      </c>
      <c r="B300" s="101">
        <v>2023</v>
      </c>
      <c r="C300" s="88" t="s">
        <v>605</v>
      </c>
      <c r="D300" s="88" t="s">
        <v>1011</v>
      </c>
      <c r="E300" s="102" t="s">
        <v>682</v>
      </c>
      <c r="F300" s="88" t="s">
        <v>56</v>
      </c>
      <c r="G300" s="88" t="s">
        <v>665</v>
      </c>
      <c r="H300" s="40" t="s">
        <v>1245</v>
      </c>
      <c r="I300" s="88" t="s">
        <v>1238</v>
      </c>
      <c r="J300" s="88" t="s">
        <v>233</v>
      </c>
      <c r="K300" s="18"/>
      <c r="L300" s="18"/>
      <c r="M300" s="18">
        <v>78125000</v>
      </c>
      <c r="N300" s="18">
        <v>18079415.120000001</v>
      </c>
      <c r="O300" s="18">
        <v>28724486.77</v>
      </c>
      <c r="P300" s="18"/>
      <c r="Q300" s="20">
        <f>SUM(PAC!$M300:$P300)</f>
        <v>124928901.89</v>
      </c>
      <c r="R300" s="20">
        <v>118859268.17</v>
      </c>
      <c r="S300" s="20">
        <f>IF(PAC!$R300&gt;0,PAC!$R300,PAC!$Q300)</f>
        <v>118859268.17</v>
      </c>
      <c r="T300" s="20" t="s">
        <v>1601</v>
      </c>
      <c r="U300" s="103" t="s">
        <v>1572</v>
      </c>
      <c r="V300" s="103"/>
      <c r="W300" s="104">
        <v>18</v>
      </c>
      <c r="X300" s="104" t="s">
        <v>1694</v>
      </c>
      <c r="Y300" s="101" t="s">
        <v>2470</v>
      </c>
      <c r="Z300" s="107">
        <v>46295</v>
      </c>
      <c r="AA300" s="105">
        <v>84.2</v>
      </c>
      <c r="AB300" s="40" t="s">
        <v>1472</v>
      </c>
      <c r="AC300" s="105" t="s">
        <v>1492</v>
      </c>
      <c r="AD300" s="106"/>
      <c r="AE300" s="102" t="s">
        <v>685</v>
      </c>
      <c r="AF300" s="40" t="s">
        <v>683</v>
      </c>
      <c r="AG300" s="40" t="s">
        <v>1019</v>
      </c>
      <c r="AH300" s="40" t="s">
        <v>977</v>
      </c>
      <c r="AI300" s="40"/>
      <c r="AJ300" s="87"/>
      <c r="AK300" s="40" t="s">
        <v>1102</v>
      </c>
      <c r="AL300" s="40" t="s">
        <v>2037</v>
      </c>
      <c r="AM300" s="40"/>
      <c r="AN300" s="87">
        <v>45267</v>
      </c>
      <c r="AO300" s="87">
        <v>45342</v>
      </c>
      <c r="AP300" s="87">
        <v>45400</v>
      </c>
      <c r="AQ300" s="87">
        <v>45404</v>
      </c>
      <c r="AR300" s="107">
        <v>45954</v>
      </c>
      <c r="AS300" s="107">
        <v>46295</v>
      </c>
      <c r="AT300" s="102" t="s">
        <v>1849</v>
      </c>
      <c r="AU300" s="105" t="s">
        <v>1850</v>
      </c>
      <c r="AV300" s="106"/>
      <c r="AW300" s="105"/>
      <c r="AX300" s="109" t="str">
        <f>IFERROR(IF(PAC!$X300="F01 - CAPTAÇÃO DE RECURSO",1,""),"")</f>
        <v/>
      </c>
      <c r="AY300" s="109" t="str">
        <f>IFERROR(IF(PAC!$X300="F02 - LICITAÇÃO",1,""),"")</f>
        <v/>
      </c>
      <c r="AZ300" s="110">
        <f>IFERROR(IF(PAC!$X$6:$X$581="F03 - EXECUÇÃO DO OBJETO",1,""),"")</f>
        <v>1</v>
      </c>
      <c r="BA300" s="110" t="str">
        <f>IFERROR(IF(PAC!$X$6:$X$581="F04 - CONCLUÍDA",1,""),"")</f>
        <v/>
      </c>
      <c r="BB300" s="111">
        <f>IF(PAC!$R300&gt;0,0,PAC!$Q300)</f>
        <v>0</v>
      </c>
    </row>
    <row r="301" spans="1:54" s="1" customFormat="1" ht="231" hidden="1" customHeight="1" thickBot="1">
      <c r="A301" s="112">
        <f t="shared" si="4"/>
        <v>296</v>
      </c>
      <c r="B301" s="112">
        <v>2025</v>
      </c>
      <c r="C301" s="112" t="s">
        <v>605</v>
      </c>
      <c r="D301" s="112" t="s">
        <v>1010</v>
      </c>
      <c r="E301" s="114" t="s">
        <v>1121</v>
      </c>
      <c r="F301" s="112" t="s">
        <v>56</v>
      </c>
      <c r="G301" s="112" t="s">
        <v>665</v>
      </c>
      <c r="H301" s="115" t="s">
        <v>1245</v>
      </c>
      <c r="I301" s="112" t="s">
        <v>1238</v>
      </c>
      <c r="J301" s="112" t="s">
        <v>319</v>
      </c>
      <c r="K301" s="31"/>
      <c r="L301" s="31"/>
      <c r="M301" s="31">
        <v>148937315.90000001</v>
      </c>
      <c r="N301" s="31"/>
      <c r="O301" s="31"/>
      <c r="P301" s="31"/>
      <c r="Q301" s="33">
        <f>SUM(PAC!$M301:$P301)</f>
        <v>148937315.90000001</v>
      </c>
      <c r="R301" s="33">
        <v>148937315.90000001</v>
      </c>
      <c r="S301" s="33">
        <f>IF(PAC!$R301&gt;0,PAC!$R301,PAC!$Q301)</f>
        <v>148937315.90000001</v>
      </c>
      <c r="T301" s="33" t="s">
        <v>1602</v>
      </c>
      <c r="U301" s="116" t="s">
        <v>1562</v>
      </c>
      <c r="V301" s="116"/>
      <c r="W301" s="117">
        <v>18</v>
      </c>
      <c r="X301" s="117" t="s">
        <v>1419</v>
      </c>
      <c r="Y301" s="113" t="s">
        <v>2470</v>
      </c>
      <c r="Z301" s="118"/>
      <c r="AA301" s="119">
        <v>35</v>
      </c>
      <c r="AB301" s="115" t="s">
        <v>1455</v>
      </c>
      <c r="AC301" s="115" t="s">
        <v>1806</v>
      </c>
      <c r="AD301" s="120"/>
      <c r="AE301" s="114" t="s">
        <v>1807</v>
      </c>
      <c r="AF301" s="115" t="s">
        <v>2149</v>
      </c>
      <c r="AG301" s="115"/>
      <c r="AH301" s="115"/>
      <c r="AI301" s="115"/>
      <c r="AJ301" s="118"/>
      <c r="AK301" s="115" t="s">
        <v>1147</v>
      </c>
      <c r="AL301" s="115" t="s">
        <v>1123</v>
      </c>
      <c r="AM301" s="115"/>
      <c r="AN301" s="118">
        <v>45752</v>
      </c>
      <c r="AO301" s="118">
        <v>45825</v>
      </c>
      <c r="AP301" s="118">
        <v>45903</v>
      </c>
      <c r="AQ301" s="118">
        <v>45908</v>
      </c>
      <c r="AR301" s="121">
        <v>46456</v>
      </c>
      <c r="AS301" s="121">
        <v>46456</v>
      </c>
      <c r="AT301" s="114" t="s">
        <v>2033</v>
      </c>
      <c r="AU301" s="115" t="s">
        <v>1851</v>
      </c>
      <c r="AV301" s="120"/>
      <c r="AW301" s="119"/>
      <c r="AX301" s="194">
        <f>IFERROR(IF(PAC!$X301="F01 - CAPTAÇÃO DE RECURSO",1,""),"")</f>
        <v>1</v>
      </c>
      <c r="AY301" s="194" t="str">
        <f>IFERROR(IF(PAC!$X301="F02 - LICITAÇÃO",1,""),"")</f>
        <v/>
      </c>
      <c r="AZ301" s="123" t="str">
        <f>IFERROR(IF(PAC!$X$6:$X$581="F03 - EXECUÇÃO DO OBJETO",1,""),"")</f>
        <v/>
      </c>
      <c r="BA301" s="123" t="str">
        <f>IFERROR(IF(PAC!$X$6:$X$581="F04 - CONCLUÍDA",1,""),"")</f>
        <v/>
      </c>
      <c r="BB301" s="191">
        <f>IF(PAC!$R301&gt;0,0,PAC!$Q301)</f>
        <v>0</v>
      </c>
    </row>
    <row r="302" spans="1:54" s="1" customFormat="1" ht="126" hidden="1" customHeight="1" thickBot="1">
      <c r="A302" s="88">
        <f t="shared" si="4"/>
        <v>297</v>
      </c>
      <c r="B302" s="88">
        <v>2025</v>
      </c>
      <c r="C302" s="88" t="s">
        <v>605</v>
      </c>
      <c r="D302" s="88" t="s">
        <v>1010</v>
      </c>
      <c r="E302" s="102" t="s">
        <v>994</v>
      </c>
      <c r="F302" s="88" t="s">
        <v>51</v>
      </c>
      <c r="G302" s="88" t="s">
        <v>959</v>
      </c>
      <c r="H302" s="40" t="s">
        <v>1244</v>
      </c>
      <c r="I302" s="88" t="s">
        <v>603</v>
      </c>
      <c r="J302" s="88" t="s">
        <v>361</v>
      </c>
      <c r="K302" s="18">
        <v>153063295.72</v>
      </c>
      <c r="L302" s="18">
        <v>153063295.72</v>
      </c>
      <c r="M302" s="18"/>
      <c r="N302" s="18"/>
      <c r="O302" s="18"/>
      <c r="P302" s="18"/>
      <c r="Q302" s="20">
        <f>SUM(PAC!$M302:$P302)</f>
        <v>0</v>
      </c>
      <c r="R302" s="20"/>
      <c r="S302" s="20">
        <f>IF(PAC!$R302&gt;0,PAC!$R302,PAC!$Q302)</f>
        <v>0</v>
      </c>
      <c r="T302" s="20"/>
      <c r="U302" s="103" t="s">
        <v>1574</v>
      </c>
      <c r="V302" s="103"/>
      <c r="W302" s="104">
        <v>18</v>
      </c>
      <c r="X302" s="104" t="s">
        <v>1419</v>
      </c>
      <c r="Y302" s="101" t="s">
        <v>2480</v>
      </c>
      <c r="Z302" s="87"/>
      <c r="AA302" s="105"/>
      <c r="AB302" s="40"/>
      <c r="AC302" s="40"/>
      <c r="AD302" s="106"/>
      <c r="AE302" s="102"/>
      <c r="AF302" s="40" t="s">
        <v>975</v>
      </c>
      <c r="AG302" s="40"/>
      <c r="AH302" s="40"/>
      <c r="AI302" s="40"/>
      <c r="AJ302" s="87"/>
      <c r="AK302" s="40"/>
      <c r="AL302" s="40"/>
      <c r="AM302" s="40"/>
      <c r="AN302" s="87"/>
      <c r="AO302" s="87"/>
      <c r="AP302" s="87"/>
      <c r="AQ302" s="87"/>
      <c r="AR302" s="107"/>
      <c r="AS302" s="107"/>
      <c r="AT302" s="102" t="s">
        <v>1285</v>
      </c>
      <c r="AU302" s="108"/>
      <c r="AV302" s="106"/>
      <c r="AW302" s="105" t="s">
        <v>976</v>
      </c>
      <c r="AX302" s="109">
        <f>IFERROR(IF(PAC!$X302="F01 - CAPTAÇÃO DE RECURSO",1,""),"")</f>
        <v>1</v>
      </c>
      <c r="AY302" s="109" t="str">
        <f>IFERROR(IF(PAC!$X302="F02 - LICITAÇÃO",1,""),"")</f>
        <v/>
      </c>
      <c r="AZ302" s="110" t="str">
        <f>IFERROR(IF(PAC!$X$6:$X$581="F03 - EXECUÇÃO DO OBJETO",1,""),"")</f>
        <v/>
      </c>
      <c r="BA302" s="110" t="str">
        <f>IFERROR(IF(PAC!$X$6:$X$581="F04 - CONCLUÍDA",1,""),"")</f>
        <v/>
      </c>
      <c r="BB302" s="111">
        <f>IF(PAC!$R302&gt;0,0,PAC!$Q302)</f>
        <v>0</v>
      </c>
    </row>
    <row r="303" spans="1:54" s="1" customFormat="1" ht="147" hidden="1" customHeight="1" thickBot="1">
      <c r="A303" s="112">
        <f t="shared" si="4"/>
        <v>298</v>
      </c>
      <c r="B303" s="112">
        <v>2025</v>
      </c>
      <c r="C303" s="112" t="s">
        <v>605</v>
      </c>
      <c r="D303" s="112" t="s">
        <v>1010</v>
      </c>
      <c r="E303" s="114" t="s">
        <v>991</v>
      </c>
      <c r="F303" s="112" t="s">
        <v>51</v>
      </c>
      <c r="G303" s="112" t="s">
        <v>959</v>
      </c>
      <c r="H303" s="115" t="s">
        <v>1244</v>
      </c>
      <c r="I303" s="112" t="s">
        <v>603</v>
      </c>
      <c r="J303" s="112" t="s">
        <v>361</v>
      </c>
      <c r="K303" s="31">
        <v>121105937.95</v>
      </c>
      <c r="L303" s="31">
        <v>121105937.95</v>
      </c>
      <c r="M303" s="31"/>
      <c r="N303" s="31"/>
      <c r="O303" s="31"/>
      <c r="P303" s="31"/>
      <c r="Q303" s="33">
        <f>SUM(PAC!$M303:$P303)</f>
        <v>0</v>
      </c>
      <c r="R303" s="33"/>
      <c r="S303" s="33">
        <f>IF(PAC!$R303&gt;0,PAC!$R303,PAC!$Q303)</f>
        <v>0</v>
      </c>
      <c r="T303" s="33"/>
      <c r="U303" s="116" t="s">
        <v>1574</v>
      </c>
      <c r="V303" s="116"/>
      <c r="W303" s="117">
        <v>18</v>
      </c>
      <c r="X303" s="117" t="s">
        <v>1419</v>
      </c>
      <c r="Y303" s="113" t="s">
        <v>2480</v>
      </c>
      <c r="Z303" s="118"/>
      <c r="AA303" s="119"/>
      <c r="AB303" s="115"/>
      <c r="AC303" s="115"/>
      <c r="AD303" s="120"/>
      <c r="AE303" s="114"/>
      <c r="AF303" s="115" t="s">
        <v>989</v>
      </c>
      <c r="AG303" s="115"/>
      <c r="AH303" s="115"/>
      <c r="AI303" s="115"/>
      <c r="AJ303" s="118"/>
      <c r="AK303" s="115"/>
      <c r="AL303" s="115"/>
      <c r="AM303" s="115"/>
      <c r="AN303" s="118"/>
      <c r="AO303" s="118"/>
      <c r="AP303" s="118"/>
      <c r="AQ303" s="118"/>
      <c r="AR303" s="121"/>
      <c r="AS303" s="121"/>
      <c r="AT303" s="114" t="s">
        <v>1285</v>
      </c>
      <c r="AU303" s="122"/>
      <c r="AV303" s="120"/>
      <c r="AW303" s="119" t="s">
        <v>707</v>
      </c>
      <c r="AX303" s="194">
        <f>IFERROR(IF(PAC!$X303="F01 - CAPTAÇÃO DE RECURSO",1,""),"")</f>
        <v>1</v>
      </c>
      <c r="AY303" s="194" t="str">
        <f>IFERROR(IF(PAC!$X303="F02 - LICITAÇÃO",1,""),"")</f>
        <v/>
      </c>
      <c r="AZ303" s="123" t="str">
        <f>IFERROR(IF(PAC!$X$6:$X$581="F03 - EXECUÇÃO DO OBJETO",1,""),"")</f>
        <v/>
      </c>
      <c r="BA303" s="123" t="str">
        <f>IFERROR(IF(PAC!$X$6:$X$581="F04 - CONCLUÍDA",1,""),"")</f>
        <v/>
      </c>
      <c r="BB303" s="191">
        <f>IF(PAC!$R303&gt;0,0,PAC!$Q303)</f>
        <v>0</v>
      </c>
    </row>
    <row r="304" spans="1:54" s="1" customFormat="1" ht="126" hidden="1" customHeight="1" thickBot="1">
      <c r="A304" s="88">
        <f t="shared" si="4"/>
        <v>299</v>
      </c>
      <c r="B304" s="88">
        <v>2025</v>
      </c>
      <c r="C304" s="88" t="s">
        <v>605</v>
      </c>
      <c r="D304" s="88" t="s">
        <v>1010</v>
      </c>
      <c r="E304" s="102" t="s">
        <v>992</v>
      </c>
      <c r="F304" s="88" t="s">
        <v>51</v>
      </c>
      <c r="G304" s="88" t="s">
        <v>959</v>
      </c>
      <c r="H304" s="40" t="s">
        <v>1244</v>
      </c>
      <c r="I304" s="88" t="s">
        <v>603</v>
      </c>
      <c r="J304" s="88" t="s">
        <v>361</v>
      </c>
      <c r="K304" s="18">
        <v>164581030.25</v>
      </c>
      <c r="L304" s="18">
        <v>164581030.25</v>
      </c>
      <c r="M304" s="18"/>
      <c r="N304" s="18"/>
      <c r="O304" s="18"/>
      <c r="P304" s="18"/>
      <c r="Q304" s="20">
        <f>SUM(PAC!$M304:$P304)</f>
        <v>0</v>
      </c>
      <c r="R304" s="20"/>
      <c r="S304" s="20">
        <f>IF(PAC!$R304&gt;0,PAC!$R304,PAC!$Q304)</f>
        <v>0</v>
      </c>
      <c r="T304" s="20"/>
      <c r="U304" s="103" t="s">
        <v>1574</v>
      </c>
      <c r="V304" s="103"/>
      <c r="W304" s="104">
        <v>18</v>
      </c>
      <c r="X304" s="104" t="s">
        <v>1419</v>
      </c>
      <c r="Y304" s="101" t="s">
        <v>2480</v>
      </c>
      <c r="Z304" s="87"/>
      <c r="AA304" s="105"/>
      <c r="AB304" s="40"/>
      <c r="AC304" s="40"/>
      <c r="AD304" s="106"/>
      <c r="AE304" s="102"/>
      <c r="AF304" s="40" t="s">
        <v>990</v>
      </c>
      <c r="AG304" s="40"/>
      <c r="AH304" s="40"/>
      <c r="AI304" s="40"/>
      <c r="AJ304" s="87"/>
      <c r="AK304" s="40"/>
      <c r="AL304" s="40"/>
      <c r="AM304" s="40"/>
      <c r="AN304" s="87"/>
      <c r="AO304" s="87"/>
      <c r="AP304" s="87"/>
      <c r="AQ304" s="87"/>
      <c r="AR304" s="107"/>
      <c r="AS304" s="107"/>
      <c r="AT304" s="102" t="s">
        <v>1285</v>
      </c>
      <c r="AU304" s="108"/>
      <c r="AV304" s="106"/>
      <c r="AW304" s="105" t="s">
        <v>707</v>
      </c>
      <c r="AX304" s="109">
        <f>IFERROR(IF(PAC!$X304="F01 - CAPTAÇÃO DE RECURSO",1,""),"")</f>
        <v>1</v>
      </c>
      <c r="AY304" s="109" t="str">
        <f>IFERROR(IF(PAC!$X304="F02 - LICITAÇÃO",1,""),"")</f>
        <v/>
      </c>
      <c r="AZ304" s="110" t="str">
        <f>IFERROR(IF(PAC!$X$6:$X$581="F03 - EXECUÇÃO DO OBJETO",1,""),"")</f>
        <v/>
      </c>
      <c r="BA304" s="110" t="str">
        <f>IFERROR(IF(PAC!$X$6:$X$581="F04 - CONCLUÍDA",1,""),"")</f>
        <v/>
      </c>
      <c r="BB304" s="111">
        <f>IF(PAC!$R304&gt;0,0,PAC!$Q304)</f>
        <v>0</v>
      </c>
    </row>
    <row r="305" spans="1:70" s="1" customFormat="1" ht="147" hidden="1" customHeight="1" thickBot="1">
      <c r="A305" s="112">
        <f t="shared" si="4"/>
        <v>300</v>
      </c>
      <c r="B305" s="113">
        <v>2023</v>
      </c>
      <c r="C305" s="112" t="s">
        <v>605</v>
      </c>
      <c r="D305" s="112" t="s">
        <v>1010</v>
      </c>
      <c r="E305" s="114" t="s">
        <v>480</v>
      </c>
      <c r="F305" s="112" t="s">
        <v>56</v>
      </c>
      <c r="G305" s="112" t="s">
        <v>506</v>
      </c>
      <c r="H305" s="115" t="s">
        <v>1245</v>
      </c>
      <c r="I305" s="112" t="s">
        <v>1238</v>
      </c>
      <c r="J305" s="112" t="s">
        <v>27</v>
      </c>
      <c r="K305" s="31"/>
      <c r="L305" s="31">
        <v>60000000</v>
      </c>
      <c r="M305" s="31">
        <v>50001270</v>
      </c>
      <c r="N305" s="31">
        <v>194996.93</v>
      </c>
      <c r="O305" s="31">
        <v>24553733.07</v>
      </c>
      <c r="P305" s="31"/>
      <c r="Q305" s="33">
        <f>SUM(PAC!$M305:$P305)</f>
        <v>74750000</v>
      </c>
      <c r="R305" s="33">
        <v>74750000</v>
      </c>
      <c r="S305" s="33">
        <f>IF(PAC!$R305&gt;0,PAC!$R305,PAC!$Q305)</f>
        <v>74750000</v>
      </c>
      <c r="T305" s="33" t="s">
        <v>1603</v>
      </c>
      <c r="U305" s="116" t="s">
        <v>1564</v>
      </c>
      <c r="V305" s="116"/>
      <c r="W305" s="117">
        <v>18</v>
      </c>
      <c r="X305" s="117" t="s">
        <v>1694</v>
      </c>
      <c r="Y305" s="113" t="s">
        <v>2470</v>
      </c>
      <c r="Z305" s="118">
        <v>46403</v>
      </c>
      <c r="AA305" s="119">
        <v>14</v>
      </c>
      <c r="AB305" s="115" t="s">
        <v>1472</v>
      </c>
      <c r="AC305" s="115" t="s">
        <v>1492</v>
      </c>
      <c r="AD305" s="120"/>
      <c r="AE305" s="114" t="s">
        <v>685</v>
      </c>
      <c r="AF305" s="115" t="s">
        <v>486</v>
      </c>
      <c r="AG305" s="115" t="s">
        <v>492</v>
      </c>
      <c r="AH305" s="115" t="s">
        <v>977</v>
      </c>
      <c r="AI305" s="115"/>
      <c r="AJ305" s="118"/>
      <c r="AK305" s="115" t="s">
        <v>1095</v>
      </c>
      <c r="AL305" s="115" t="s">
        <v>1104</v>
      </c>
      <c r="AM305" s="115"/>
      <c r="AN305" s="118">
        <v>45703</v>
      </c>
      <c r="AO305" s="118">
        <v>45782</v>
      </c>
      <c r="AP305" s="118">
        <v>45853</v>
      </c>
      <c r="AQ305" s="118">
        <v>45852</v>
      </c>
      <c r="AR305" s="121">
        <v>46403</v>
      </c>
      <c r="AS305" s="121">
        <v>46403</v>
      </c>
      <c r="AT305" s="114" t="s">
        <v>1874</v>
      </c>
      <c r="AU305" s="115" t="s">
        <v>1873</v>
      </c>
      <c r="AV305" s="120"/>
      <c r="AW305" s="119" t="s">
        <v>481</v>
      </c>
      <c r="AX305" s="194" t="str">
        <f>IFERROR(IF(PAC!$X305="F01 - CAPTAÇÃO DE RECURSO",1,""),"")</f>
        <v/>
      </c>
      <c r="AY305" s="194" t="str">
        <f>IFERROR(IF(PAC!$X305="F02 - LICITAÇÃO",1,""),"")</f>
        <v/>
      </c>
      <c r="AZ305" s="123">
        <f>IFERROR(IF(PAC!$X$6:$X$581="F03 - EXECUÇÃO DO OBJETO",1,""),"")</f>
        <v>1</v>
      </c>
      <c r="BA305" s="123" t="str">
        <f>IFERROR(IF(PAC!$X$6:$X$581="F04 - CONCLUÍDA",1,""),"")</f>
        <v/>
      </c>
      <c r="BB305" s="191">
        <f>IF(PAC!$R305&gt;0,0,PAC!$Q305)</f>
        <v>0</v>
      </c>
    </row>
    <row r="306" spans="1:70" s="1" customFormat="1" ht="177.75" hidden="1" customHeight="1" thickBot="1">
      <c r="A306" s="88">
        <f t="shared" si="4"/>
        <v>301</v>
      </c>
      <c r="B306" s="101">
        <v>2023</v>
      </c>
      <c r="C306" s="88" t="s">
        <v>605</v>
      </c>
      <c r="D306" s="88" t="s">
        <v>1010</v>
      </c>
      <c r="E306" s="102" t="s">
        <v>480</v>
      </c>
      <c r="F306" s="88" t="s">
        <v>56</v>
      </c>
      <c r="G306" s="88" t="s">
        <v>506</v>
      </c>
      <c r="H306" s="40" t="s">
        <v>1245</v>
      </c>
      <c r="I306" s="88" t="s">
        <v>1238</v>
      </c>
      <c r="J306" s="88" t="s">
        <v>399</v>
      </c>
      <c r="K306" s="18"/>
      <c r="L306" s="18">
        <v>100000000</v>
      </c>
      <c r="M306" s="18">
        <v>60000072</v>
      </c>
      <c r="N306" s="18">
        <v>2126006.81</v>
      </c>
      <c r="O306" s="18">
        <v>111374654.55</v>
      </c>
      <c r="P306" s="18"/>
      <c r="Q306" s="20">
        <f>SUM(PAC!$M306:$P306)</f>
        <v>173500733.36000001</v>
      </c>
      <c r="R306" s="20">
        <v>173500733.36000001</v>
      </c>
      <c r="S306" s="20">
        <f>IF(PAC!$R306&gt;0,PAC!$R306,PAC!$Q306)</f>
        <v>173500733.36000001</v>
      </c>
      <c r="T306" s="20" t="s">
        <v>1604</v>
      </c>
      <c r="U306" s="103" t="s">
        <v>1572</v>
      </c>
      <c r="V306" s="103"/>
      <c r="W306" s="104">
        <v>20</v>
      </c>
      <c r="X306" s="104" t="s">
        <v>1694</v>
      </c>
      <c r="Y306" s="101" t="s">
        <v>2470</v>
      </c>
      <c r="Z306" s="87">
        <v>46463</v>
      </c>
      <c r="AA306" s="105">
        <v>27</v>
      </c>
      <c r="AB306" s="40" t="s">
        <v>1472</v>
      </c>
      <c r="AC306" s="40" t="s">
        <v>1492</v>
      </c>
      <c r="AD306" s="106"/>
      <c r="AE306" s="102" t="s">
        <v>685</v>
      </c>
      <c r="AF306" s="40" t="s">
        <v>487</v>
      </c>
      <c r="AG306" s="40" t="s">
        <v>493</v>
      </c>
      <c r="AH306" s="40" t="s">
        <v>977</v>
      </c>
      <c r="AI306" s="40"/>
      <c r="AJ306" s="87"/>
      <c r="AK306" s="40" t="s">
        <v>1096</v>
      </c>
      <c r="AL306" s="40" t="s">
        <v>1105</v>
      </c>
      <c r="AM306" s="40"/>
      <c r="AN306" s="87">
        <v>45709</v>
      </c>
      <c r="AO306" s="87">
        <v>45786</v>
      </c>
      <c r="AP306" s="87">
        <v>45848</v>
      </c>
      <c r="AQ306" s="87">
        <v>45853</v>
      </c>
      <c r="AR306" s="107">
        <v>46463</v>
      </c>
      <c r="AS306" s="107">
        <v>46463</v>
      </c>
      <c r="AT306" s="102" t="s">
        <v>691</v>
      </c>
      <c r="AU306" s="40" t="s">
        <v>1959</v>
      </c>
      <c r="AV306" s="106"/>
      <c r="AW306" s="105" t="s">
        <v>481</v>
      </c>
      <c r="AX306" s="109" t="str">
        <f>IFERROR(IF(PAC!$X306="F01 - CAPTAÇÃO DE RECURSO",1,""),"")</f>
        <v/>
      </c>
      <c r="AY306" s="109" t="str">
        <f>IFERROR(IF(PAC!$X306="F02 - LICITAÇÃO",1,""),"")</f>
        <v/>
      </c>
      <c r="AZ306" s="110">
        <f>IFERROR(IF(PAC!$X$6:$X$581="F03 - EXECUÇÃO DO OBJETO",1,""),"")</f>
        <v>1</v>
      </c>
      <c r="BA306" s="110" t="str">
        <f>IFERROR(IF(PAC!$X$6:$X$581="F04 - CONCLUÍDA",1,""),"")</f>
        <v/>
      </c>
      <c r="BB306" s="111">
        <f>IF(PAC!$R306&gt;0,0,PAC!$Q306)</f>
        <v>0</v>
      </c>
    </row>
    <row r="307" spans="1:70" s="1" customFormat="1" ht="189" hidden="1" customHeight="1" thickBot="1">
      <c r="A307" s="112">
        <f t="shared" si="4"/>
        <v>302</v>
      </c>
      <c r="B307" s="113">
        <v>2023</v>
      </c>
      <c r="C307" s="112" t="s">
        <v>605</v>
      </c>
      <c r="D307" s="112" t="s">
        <v>1010</v>
      </c>
      <c r="E307" s="114" t="s">
        <v>480</v>
      </c>
      <c r="F307" s="112" t="s">
        <v>56</v>
      </c>
      <c r="G307" s="112" t="s">
        <v>506</v>
      </c>
      <c r="H307" s="115" t="s">
        <v>1245</v>
      </c>
      <c r="I307" s="112" t="s">
        <v>1238</v>
      </c>
      <c r="J307" s="112" t="s">
        <v>429</v>
      </c>
      <c r="K307" s="31"/>
      <c r="L307" s="31">
        <v>100000000</v>
      </c>
      <c r="M307" s="31">
        <v>60000072</v>
      </c>
      <c r="N307" s="31">
        <v>1857428.46</v>
      </c>
      <c r="O307" s="31">
        <v>92680080.890000001</v>
      </c>
      <c r="P307" s="31"/>
      <c r="Q307" s="33">
        <f>SUM(PAC!$M307:$P307)</f>
        <v>154537581.34999999</v>
      </c>
      <c r="R307" s="33">
        <v>154537581.34999999</v>
      </c>
      <c r="S307" s="33">
        <f>IF(PAC!$R307&gt;0,PAC!$R307,PAC!$Q307)</f>
        <v>154537581.34999999</v>
      </c>
      <c r="T307" s="33" t="s">
        <v>2320</v>
      </c>
      <c r="U307" s="116" t="s">
        <v>1572</v>
      </c>
      <c r="V307" s="116"/>
      <c r="W307" s="117">
        <v>20</v>
      </c>
      <c r="X307" s="117" t="s">
        <v>1694</v>
      </c>
      <c r="Y307" s="113" t="s">
        <v>2470</v>
      </c>
      <c r="Z307" s="118">
        <v>46454</v>
      </c>
      <c r="AA307" s="119">
        <v>25.85</v>
      </c>
      <c r="AB307" s="115" t="s">
        <v>1472</v>
      </c>
      <c r="AC307" s="115" t="s">
        <v>1492</v>
      </c>
      <c r="AD307" s="120"/>
      <c r="AE307" s="114" t="s">
        <v>685</v>
      </c>
      <c r="AF307" s="115" t="s">
        <v>488</v>
      </c>
      <c r="AG307" s="115" t="s">
        <v>494</v>
      </c>
      <c r="AH307" s="115" t="s">
        <v>977</v>
      </c>
      <c r="AI307" s="115"/>
      <c r="AJ307" s="118"/>
      <c r="AK307" s="115" t="s">
        <v>1097</v>
      </c>
      <c r="AL307" s="115" t="s">
        <v>1106</v>
      </c>
      <c r="AM307" s="115"/>
      <c r="AN307" s="118">
        <v>45687</v>
      </c>
      <c r="AO307" s="118">
        <v>45761</v>
      </c>
      <c r="AP307" s="118">
        <v>45826</v>
      </c>
      <c r="AQ307" s="118">
        <v>45843</v>
      </c>
      <c r="AR307" s="121">
        <v>46454</v>
      </c>
      <c r="AS307" s="121">
        <v>46454</v>
      </c>
      <c r="AT307" s="114" t="s">
        <v>1317</v>
      </c>
      <c r="AU307" s="122" t="s">
        <v>2175</v>
      </c>
      <c r="AV307" s="120"/>
      <c r="AW307" s="119" t="s">
        <v>481</v>
      </c>
      <c r="AX307" s="194" t="str">
        <f>IFERROR(IF(PAC!$X307="F01 - CAPTAÇÃO DE RECURSO",1,""),"")</f>
        <v/>
      </c>
      <c r="AY307" s="194" t="str">
        <f>IFERROR(IF(PAC!$X307="F02 - LICITAÇÃO",1,""),"")</f>
        <v/>
      </c>
      <c r="AZ307" s="123">
        <f>IFERROR(IF(PAC!$X$6:$X$581="F03 - EXECUÇÃO DO OBJETO",1,""),"")</f>
        <v>1</v>
      </c>
      <c r="BA307" s="123" t="str">
        <f>IFERROR(IF(PAC!$X$6:$X$581="F04 - CONCLUÍDA",1,""),"")</f>
        <v/>
      </c>
      <c r="BB307" s="191">
        <f>IF(PAC!$R307&gt;0,0,PAC!$Q307)</f>
        <v>0</v>
      </c>
    </row>
    <row r="308" spans="1:70" s="1" customFormat="1" ht="147" hidden="1" customHeight="1" thickBot="1">
      <c r="A308" s="88">
        <f t="shared" si="4"/>
        <v>303</v>
      </c>
      <c r="B308" s="88">
        <v>2024</v>
      </c>
      <c r="C308" s="88" t="s">
        <v>605</v>
      </c>
      <c r="D308" s="88" t="s">
        <v>1010</v>
      </c>
      <c r="E308" s="89" t="s">
        <v>1424</v>
      </c>
      <c r="F308" s="40" t="s">
        <v>577</v>
      </c>
      <c r="G308" s="40" t="s">
        <v>694</v>
      </c>
      <c r="H308" s="88" t="s">
        <v>1244</v>
      </c>
      <c r="I308" s="88" t="s">
        <v>603</v>
      </c>
      <c r="J308" s="88" t="s">
        <v>21</v>
      </c>
      <c r="K308" s="18"/>
      <c r="L308" s="18">
        <v>3250000</v>
      </c>
      <c r="M308" s="18">
        <v>3250000</v>
      </c>
      <c r="N308" s="18"/>
      <c r="O308" s="18">
        <v>352469.16000000015</v>
      </c>
      <c r="P308" s="18"/>
      <c r="Q308" s="20">
        <f>SUM(PAC!$M308:$P308)</f>
        <v>3602469.16</v>
      </c>
      <c r="R308" s="20">
        <v>3025130.64</v>
      </c>
      <c r="S308" s="20">
        <f>IF(PAC!$R308&gt;0,PAC!$R308,PAC!$Q308)</f>
        <v>3025130.64</v>
      </c>
      <c r="T308" s="20" t="s">
        <v>2602</v>
      </c>
      <c r="U308" s="103" t="s">
        <v>1570</v>
      </c>
      <c r="V308" s="103"/>
      <c r="W308" s="104">
        <v>8</v>
      </c>
      <c r="X308" s="104" t="s">
        <v>1418</v>
      </c>
      <c r="Y308" s="101" t="s">
        <v>2472</v>
      </c>
      <c r="Z308" s="87">
        <v>46265</v>
      </c>
      <c r="AA308" s="105"/>
      <c r="AB308" s="40" t="s">
        <v>1468</v>
      </c>
      <c r="AC308" s="40" t="s">
        <v>2696</v>
      </c>
      <c r="AD308" s="106">
        <v>46265</v>
      </c>
      <c r="AE308" s="102" t="s">
        <v>2467</v>
      </c>
      <c r="AF308" s="40" t="s">
        <v>2016</v>
      </c>
      <c r="AG308" s="40" t="s">
        <v>1426</v>
      </c>
      <c r="AH308" s="40" t="s">
        <v>977</v>
      </c>
      <c r="AI308" s="40"/>
      <c r="AJ308" s="87"/>
      <c r="AK308" s="40"/>
      <c r="AL308" s="40"/>
      <c r="AM308" s="40"/>
      <c r="AN308" s="87">
        <v>46114</v>
      </c>
      <c r="AO308" s="87">
        <v>46136</v>
      </c>
      <c r="AP308" s="87"/>
      <c r="AQ308" s="87"/>
      <c r="AR308" s="107"/>
      <c r="AS308" s="107"/>
      <c r="AT308" s="102"/>
      <c r="AU308" s="108" t="s">
        <v>1437</v>
      </c>
      <c r="AV308" s="106"/>
      <c r="AW308" s="105"/>
      <c r="AX308" s="109" t="str">
        <f>IFERROR(IF(PAC!$X308="F01 - CAPTAÇÃO DE RECURSO",1,""),"")</f>
        <v/>
      </c>
      <c r="AY308" s="109">
        <f>IFERROR(IF(PAC!$X308="F02 - LICITAÇÃO",1,""),"")</f>
        <v>1</v>
      </c>
      <c r="AZ308" s="110" t="str">
        <f>IFERROR(IF(PAC!$X$6:$X$581="F03 - EXECUÇÃO DO OBJETO",1,""),"")</f>
        <v/>
      </c>
      <c r="BA308" s="110" t="str">
        <f>IFERROR(IF(PAC!$X$6:$X$581="F04 - CONCLUÍDA",1,""),"")</f>
        <v/>
      </c>
      <c r="BB308" s="111">
        <f>IF(PAC!$R308&gt;0,0,PAC!$Q308)</f>
        <v>0</v>
      </c>
    </row>
    <row r="309" spans="1:70" s="1" customFormat="1" ht="105.75" hidden="1" thickBot="1">
      <c r="A309" s="112">
        <f t="shared" si="4"/>
        <v>304</v>
      </c>
      <c r="B309" s="112">
        <v>2024</v>
      </c>
      <c r="C309" s="112" t="s">
        <v>605</v>
      </c>
      <c r="D309" s="112" t="s">
        <v>1010</v>
      </c>
      <c r="E309" s="130" t="s">
        <v>1424</v>
      </c>
      <c r="F309" s="115" t="s">
        <v>577</v>
      </c>
      <c r="G309" s="115" t="s">
        <v>694</v>
      </c>
      <c r="H309" s="112" t="s">
        <v>1244</v>
      </c>
      <c r="I309" s="112" t="s">
        <v>603</v>
      </c>
      <c r="J309" s="112" t="s">
        <v>29</v>
      </c>
      <c r="K309" s="31"/>
      <c r="L309" s="31">
        <v>3250000</v>
      </c>
      <c r="M309" s="31">
        <v>3250000</v>
      </c>
      <c r="N309" s="31"/>
      <c r="O309" s="31">
        <v>120520.91999999993</v>
      </c>
      <c r="P309" s="31"/>
      <c r="Q309" s="33">
        <f>SUM(PAC!$M309:$P309)</f>
        <v>3370520.92</v>
      </c>
      <c r="R309" s="33">
        <v>2949205.66</v>
      </c>
      <c r="S309" s="33">
        <f>IF(PAC!$R309&gt;0,PAC!$R309,PAC!$Q309)</f>
        <v>2949205.66</v>
      </c>
      <c r="T309" s="33" t="s">
        <v>2603</v>
      </c>
      <c r="U309" s="116" t="s">
        <v>1570</v>
      </c>
      <c r="V309" s="116"/>
      <c r="W309" s="117">
        <v>8</v>
      </c>
      <c r="X309" s="117" t="s">
        <v>1418</v>
      </c>
      <c r="Y309" s="113" t="s">
        <v>2472</v>
      </c>
      <c r="Z309" s="118">
        <v>46265</v>
      </c>
      <c r="AA309" s="119"/>
      <c r="AB309" s="115" t="s">
        <v>1468</v>
      </c>
      <c r="AC309" s="115" t="s">
        <v>2699</v>
      </c>
      <c r="AD309" s="120">
        <v>46265</v>
      </c>
      <c r="AE309" s="114" t="s">
        <v>2467</v>
      </c>
      <c r="AF309" s="115" t="s">
        <v>2176</v>
      </c>
      <c r="AG309" s="115" t="s">
        <v>1427</v>
      </c>
      <c r="AH309" s="115" t="s">
        <v>977</v>
      </c>
      <c r="AI309" s="115"/>
      <c r="AJ309" s="118"/>
      <c r="AK309" s="115"/>
      <c r="AL309" s="115"/>
      <c r="AM309" s="115"/>
      <c r="AN309" s="118">
        <v>46149</v>
      </c>
      <c r="AO309" s="118">
        <v>46164</v>
      </c>
      <c r="AP309" s="118"/>
      <c r="AQ309" s="118"/>
      <c r="AR309" s="121"/>
      <c r="AS309" s="121"/>
      <c r="AT309" s="114" t="s">
        <v>2670</v>
      </c>
      <c r="AU309" s="122" t="s">
        <v>1438</v>
      </c>
      <c r="AV309" s="120"/>
      <c r="AW309" s="119"/>
      <c r="AX309" s="194" t="str">
        <f>IFERROR(IF(PAC!$X309="F01 - CAPTAÇÃO DE RECURSO",1,""),"")</f>
        <v/>
      </c>
      <c r="AY309" s="194">
        <f>IFERROR(IF(PAC!$X309="F02 - LICITAÇÃO",1,""),"")</f>
        <v>1</v>
      </c>
      <c r="AZ309" s="123" t="str">
        <f>IFERROR(IF(PAC!$X$6:$X$581="F03 - EXECUÇÃO DO OBJETO",1,""),"")</f>
        <v/>
      </c>
      <c r="BA309" s="123" t="str">
        <f>IFERROR(IF(PAC!$X$6:$X$581="F04 - CONCLUÍDA",1,""),"")</f>
        <v/>
      </c>
      <c r="BB309" s="191">
        <f>IF(PAC!$R309&gt;0,0,PAC!$Q309)</f>
        <v>0</v>
      </c>
    </row>
    <row r="310" spans="1:70" s="1" customFormat="1" ht="147" hidden="1" customHeight="1" thickBot="1">
      <c r="A310" s="88">
        <f t="shared" si="4"/>
        <v>305</v>
      </c>
      <c r="B310" s="88">
        <v>2024</v>
      </c>
      <c r="C310" s="88" t="s">
        <v>605</v>
      </c>
      <c r="D310" s="88" t="s">
        <v>1010</v>
      </c>
      <c r="E310" s="89" t="s">
        <v>1425</v>
      </c>
      <c r="F310" s="40" t="s">
        <v>577</v>
      </c>
      <c r="G310" s="40" t="s">
        <v>694</v>
      </c>
      <c r="H310" s="88" t="s">
        <v>1244</v>
      </c>
      <c r="I310" s="88" t="s">
        <v>603</v>
      </c>
      <c r="J310" s="88" t="s">
        <v>30</v>
      </c>
      <c r="K310" s="18"/>
      <c r="L310" s="18">
        <v>6500000</v>
      </c>
      <c r="M310" s="18">
        <v>6500000</v>
      </c>
      <c r="N310" s="18"/>
      <c r="O310" s="18">
        <v>30975.860000000335</v>
      </c>
      <c r="P310" s="18"/>
      <c r="Q310" s="20">
        <f>SUM(PAC!$M310:$P310)</f>
        <v>6530975.8600000003</v>
      </c>
      <c r="R310" s="20">
        <v>5681948.6900000004</v>
      </c>
      <c r="S310" s="20">
        <f>IF(PAC!$R310&gt;0,PAC!$R310,PAC!$Q310)</f>
        <v>5681948.6900000004</v>
      </c>
      <c r="T310" s="20" t="s">
        <v>2602</v>
      </c>
      <c r="U310" s="103" t="s">
        <v>1570</v>
      </c>
      <c r="V310" s="103"/>
      <c r="W310" s="104">
        <v>12</v>
      </c>
      <c r="X310" s="104" t="s">
        <v>1418</v>
      </c>
      <c r="Y310" s="101" t="s">
        <v>2472</v>
      </c>
      <c r="Z310" s="87">
        <v>46265</v>
      </c>
      <c r="AA310" s="105"/>
      <c r="AB310" s="40" t="s">
        <v>1468</v>
      </c>
      <c r="AC310" s="40" t="s">
        <v>2697</v>
      </c>
      <c r="AD310" s="106">
        <v>46265</v>
      </c>
      <c r="AE310" s="102" t="s">
        <v>2467</v>
      </c>
      <c r="AF310" s="40" t="s">
        <v>2017</v>
      </c>
      <c r="AG310" s="40" t="s">
        <v>1428</v>
      </c>
      <c r="AH310" s="40" t="s">
        <v>977</v>
      </c>
      <c r="AI310" s="40"/>
      <c r="AJ310" s="87"/>
      <c r="AK310" s="40"/>
      <c r="AL310" s="40"/>
      <c r="AM310" s="40"/>
      <c r="AN310" s="87">
        <v>46114</v>
      </c>
      <c r="AO310" s="87">
        <v>46139</v>
      </c>
      <c r="AP310" s="87"/>
      <c r="AQ310" s="87"/>
      <c r="AR310" s="107"/>
      <c r="AS310" s="107"/>
      <c r="AT310" s="102"/>
      <c r="AU310" s="108" t="s">
        <v>1439</v>
      </c>
      <c r="AV310" s="106"/>
      <c r="AW310" s="105"/>
      <c r="AX310" s="109" t="str">
        <f>IFERROR(IF(PAC!$X310="F01 - CAPTAÇÃO DE RECURSO",1,""),"")</f>
        <v/>
      </c>
      <c r="AY310" s="109">
        <f>IFERROR(IF(PAC!$X310="F02 - LICITAÇÃO",1,""),"")</f>
        <v>1</v>
      </c>
      <c r="AZ310" s="110" t="str">
        <f>IFERROR(IF(PAC!$X$6:$X$581="F03 - EXECUÇÃO DO OBJETO",1,""),"")</f>
        <v/>
      </c>
      <c r="BA310" s="110" t="str">
        <f>IFERROR(IF(PAC!$X$6:$X$581="F04 - CONCLUÍDA",1,""),"")</f>
        <v/>
      </c>
      <c r="BB310" s="111">
        <f>IF(PAC!$R310&gt;0,0,PAC!$Q310)</f>
        <v>0</v>
      </c>
    </row>
    <row r="311" spans="1:70" s="1" customFormat="1" ht="147" hidden="1" customHeight="1" thickBot="1">
      <c r="A311" s="112">
        <f t="shared" si="4"/>
        <v>306</v>
      </c>
      <c r="B311" s="112">
        <v>2024</v>
      </c>
      <c r="C311" s="112" t="s">
        <v>605</v>
      </c>
      <c r="D311" s="112" t="s">
        <v>1010</v>
      </c>
      <c r="E311" s="130" t="s">
        <v>1425</v>
      </c>
      <c r="F311" s="115" t="s">
        <v>577</v>
      </c>
      <c r="G311" s="115" t="s">
        <v>694</v>
      </c>
      <c r="H311" s="112" t="s">
        <v>1244</v>
      </c>
      <c r="I311" s="112" t="s">
        <v>603</v>
      </c>
      <c r="J311" s="112" t="s">
        <v>101</v>
      </c>
      <c r="K311" s="31"/>
      <c r="L311" s="31">
        <v>6500000</v>
      </c>
      <c r="M311" s="31">
        <v>6500000</v>
      </c>
      <c r="N311" s="31"/>
      <c r="O311" s="31">
        <v>307227.29000000004</v>
      </c>
      <c r="P311" s="31"/>
      <c r="Q311" s="33">
        <f>SUM(PAC!$M311:$P311)</f>
        <v>6807227.29</v>
      </c>
      <c r="R311" s="33">
        <v>5309637.0599999996</v>
      </c>
      <c r="S311" s="33">
        <f>IF(PAC!$R311&gt;0,PAC!$R311,PAC!$Q311)</f>
        <v>5309637.0599999996</v>
      </c>
      <c r="T311" s="33" t="s">
        <v>2602</v>
      </c>
      <c r="U311" s="116" t="s">
        <v>1570</v>
      </c>
      <c r="V311" s="116"/>
      <c r="W311" s="117">
        <v>12</v>
      </c>
      <c r="X311" s="117" t="s">
        <v>1418</v>
      </c>
      <c r="Y311" s="113" t="s">
        <v>2472</v>
      </c>
      <c r="Z311" s="118">
        <v>46265</v>
      </c>
      <c r="AA311" s="119"/>
      <c r="AB311" s="115" t="s">
        <v>1468</v>
      </c>
      <c r="AC311" s="115" t="s">
        <v>2698</v>
      </c>
      <c r="AD311" s="120">
        <v>46265</v>
      </c>
      <c r="AE311" s="114" t="s">
        <v>2467</v>
      </c>
      <c r="AF311" s="115" t="s">
        <v>2018</v>
      </c>
      <c r="AG311" s="115" t="s">
        <v>1429</v>
      </c>
      <c r="AH311" s="115" t="s">
        <v>977</v>
      </c>
      <c r="AI311" s="115"/>
      <c r="AJ311" s="118"/>
      <c r="AK311" s="115"/>
      <c r="AL311" s="115"/>
      <c r="AM311" s="115"/>
      <c r="AN311" s="118">
        <v>46114</v>
      </c>
      <c r="AO311" s="118">
        <v>46140</v>
      </c>
      <c r="AP311" s="118"/>
      <c r="AQ311" s="118"/>
      <c r="AR311" s="121"/>
      <c r="AS311" s="121"/>
      <c r="AT311" s="114"/>
      <c r="AU311" s="122" t="s">
        <v>1440</v>
      </c>
      <c r="AV311" s="120"/>
      <c r="AW311" s="119"/>
      <c r="AX311" s="194" t="str">
        <f>IFERROR(IF(PAC!$X311="F01 - CAPTAÇÃO DE RECURSO",1,""),"")</f>
        <v/>
      </c>
      <c r="AY311" s="194">
        <f>IFERROR(IF(PAC!$X311="F02 - LICITAÇÃO",1,""),"")</f>
        <v>1</v>
      </c>
      <c r="AZ311" s="123" t="str">
        <f>IFERROR(IF(PAC!$X$6:$X$581="F03 - EXECUÇÃO DO OBJETO",1,""),"")</f>
        <v/>
      </c>
      <c r="BA311" s="123" t="str">
        <f>IFERROR(IF(PAC!$X$6:$X$581="F04 - CONCLUÍDA",1,""),"")</f>
        <v/>
      </c>
      <c r="BB311" s="191">
        <f>IF(PAC!$R311&gt;0,0,PAC!$Q311)</f>
        <v>0</v>
      </c>
    </row>
    <row r="312" spans="1:70" s="1" customFormat="1" ht="168" hidden="1" customHeight="1" thickBot="1">
      <c r="A312" s="88">
        <f t="shared" si="4"/>
        <v>307</v>
      </c>
      <c r="B312" s="88">
        <v>2024</v>
      </c>
      <c r="C312" s="88" t="s">
        <v>605</v>
      </c>
      <c r="D312" s="88" t="s">
        <v>1010</v>
      </c>
      <c r="E312" s="89" t="s">
        <v>1425</v>
      </c>
      <c r="F312" s="40" t="s">
        <v>577</v>
      </c>
      <c r="G312" s="40" t="s">
        <v>694</v>
      </c>
      <c r="H312" s="88" t="s">
        <v>1244</v>
      </c>
      <c r="I312" s="88" t="s">
        <v>603</v>
      </c>
      <c r="J312" s="88" t="s">
        <v>109</v>
      </c>
      <c r="K312" s="18"/>
      <c r="L312" s="18">
        <v>6500000</v>
      </c>
      <c r="M312" s="18">
        <v>6500000</v>
      </c>
      <c r="N312" s="18"/>
      <c r="O312" s="18"/>
      <c r="P312" s="18"/>
      <c r="Q312" s="20">
        <f>SUM(PAC!$M312:$P312)</f>
        <v>6500000</v>
      </c>
      <c r="R312" s="20">
        <v>5526257.3600000003</v>
      </c>
      <c r="S312" s="20">
        <f>IF(PAC!$R312&gt;0,PAC!$R312,PAC!$Q312)</f>
        <v>5526257.3600000003</v>
      </c>
      <c r="T312" s="20" t="s">
        <v>2602</v>
      </c>
      <c r="U312" s="103" t="s">
        <v>1570</v>
      </c>
      <c r="V312" s="103"/>
      <c r="W312" s="104">
        <v>12</v>
      </c>
      <c r="X312" s="104" t="s">
        <v>1418</v>
      </c>
      <c r="Y312" s="101" t="s">
        <v>2472</v>
      </c>
      <c r="Z312" s="87">
        <v>46265</v>
      </c>
      <c r="AA312" s="105"/>
      <c r="AB312" s="40" t="s">
        <v>1468</v>
      </c>
      <c r="AC312" s="40" t="s">
        <v>2700</v>
      </c>
      <c r="AD312" s="106">
        <v>46265</v>
      </c>
      <c r="AE312" s="102" t="s">
        <v>2467</v>
      </c>
      <c r="AF312" s="40" t="s">
        <v>2022</v>
      </c>
      <c r="AG312" s="40" t="s">
        <v>1430</v>
      </c>
      <c r="AH312" s="40" t="s">
        <v>977</v>
      </c>
      <c r="AI312" s="40"/>
      <c r="AJ312" s="87"/>
      <c r="AK312" s="40"/>
      <c r="AL312" s="40"/>
      <c r="AM312" s="40"/>
      <c r="AN312" s="87">
        <v>46114</v>
      </c>
      <c r="AO312" s="87">
        <v>46149</v>
      </c>
      <c r="AP312" s="87"/>
      <c r="AQ312" s="87"/>
      <c r="AR312" s="107"/>
      <c r="AS312" s="107"/>
      <c r="AT312" s="102"/>
      <c r="AU312" s="108" t="s">
        <v>1441</v>
      </c>
      <c r="AV312" s="106"/>
      <c r="AW312" s="105"/>
      <c r="AX312" s="109" t="str">
        <f>IFERROR(IF(PAC!$X312="F01 - CAPTAÇÃO DE RECURSO",1,""),"")</f>
        <v/>
      </c>
      <c r="AY312" s="109">
        <f>IFERROR(IF(PAC!$X312="F02 - LICITAÇÃO",1,""),"")</f>
        <v>1</v>
      </c>
      <c r="AZ312" s="110" t="str">
        <f>IFERROR(IF(PAC!$X$6:$X$581="F03 - EXECUÇÃO DO OBJETO",1,""),"")</f>
        <v/>
      </c>
      <c r="BA312" s="110" t="str">
        <f>IFERROR(IF(PAC!$X$6:$X$581="F04 - CONCLUÍDA",1,""),"")</f>
        <v/>
      </c>
      <c r="BB312" s="111">
        <f>IF(PAC!$R312&gt;0,0,PAC!$Q312)</f>
        <v>0</v>
      </c>
    </row>
    <row r="313" spans="1:70" s="1" customFormat="1" ht="168" hidden="1" customHeight="1" thickBot="1">
      <c r="A313" s="112">
        <f t="shared" si="4"/>
        <v>308</v>
      </c>
      <c r="B313" s="112">
        <v>2024</v>
      </c>
      <c r="C313" s="112" t="s">
        <v>605</v>
      </c>
      <c r="D313" s="112" t="s">
        <v>1010</v>
      </c>
      <c r="E313" s="130" t="s">
        <v>1424</v>
      </c>
      <c r="F313" s="115" t="s">
        <v>577</v>
      </c>
      <c r="G313" s="115" t="s">
        <v>694</v>
      </c>
      <c r="H313" s="112" t="s">
        <v>1244</v>
      </c>
      <c r="I313" s="112" t="s">
        <v>603</v>
      </c>
      <c r="J313" s="112" t="s">
        <v>203</v>
      </c>
      <c r="K313" s="31"/>
      <c r="L313" s="31">
        <v>3250000</v>
      </c>
      <c r="M313" s="31">
        <v>3250000</v>
      </c>
      <c r="N313" s="31"/>
      <c r="O313" s="31">
        <v>181574.91999999993</v>
      </c>
      <c r="P313" s="31"/>
      <c r="Q313" s="33">
        <f>SUM(PAC!$M313:$P313)</f>
        <v>3431574.92</v>
      </c>
      <c r="R313" s="33">
        <v>2880784.34</v>
      </c>
      <c r="S313" s="33">
        <f>IF(PAC!$R313&gt;0,PAC!$R313,PAC!$Q313)</f>
        <v>2880784.34</v>
      </c>
      <c r="T313" s="33" t="s">
        <v>2602</v>
      </c>
      <c r="U313" s="116" t="s">
        <v>1570</v>
      </c>
      <c r="V313" s="116"/>
      <c r="W313" s="117">
        <v>8</v>
      </c>
      <c r="X313" s="117" t="s">
        <v>1418</v>
      </c>
      <c r="Y313" s="113" t="s">
        <v>2472</v>
      </c>
      <c r="Z313" s="118">
        <v>46265</v>
      </c>
      <c r="AA313" s="119"/>
      <c r="AB313" s="115" t="s">
        <v>1468</v>
      </c>
      <c r="AC313" s="115" t="s">
        <v>2701</v>
      </c>
      <c r="AD313" s="120">
        <v>46265</v>
      </c>
      <c r="AE313" s="114" t="s">
        <v>2467</v>
      </c>
      <c r="AF313" s="115" t="s">
        <v>2019</v>
      </c>
      <c r="AG313" s="115" t="s">
        <v>1431</v>
      </c>
      <c r="AH313" s="115" t="s">
        <v>977</v>
      </c>
      <c r="AI313" s="115"/>
      <c r="AJ313" s="118"/>
      <c r="AK313" s="115"/>
      <c r="AL313" s="115"/>
      <c r="AM313" s="115"/>
      <c r="AN313" s="118">
        <v>46114</v>
      </c>
      <c r="AO313" s="118">
        <v>46141</v>
      </c>
      <c r="AP313" s="118"/>
      <c r="AQ313" s="118"/>
      <c r="AR313" s="121"/>
      <c r="AS313" s="121"/>
      <c r="AT313" s="114"/>
      <c r="AU313" s="122" t="s">
        <v>1442</v>
      </c>
      <c r="AV313" s="120"/>
      <c r="AW313" s="119"/>
      <c r="AX313" s="194" t="str">
        <f>IFERROR(IF(PAC!$X313="F01 - CAPTAÇÃO DE RECURSO",1,""),"")</f>
        <v/>
      </c>
      <c r="AY313" s="194">
        <f>IFERROR(IF(PAC!$X313="F02 - LICITAÇÃO",1,""),"")</f>
        <v>1</v>
      </c>
      <c r="AZ313" s="123" t="str">
        <f>IFERROR(IF(PAC!$X$6:$X$581="F03 - EXECUÇÃO DO OBJETO",1,""),"")</f>
        <v/>
      </c>
      <c r="BA313" s="123" t="str">
        <f>IFERROR(IF(PAC!$X$6:$X$581="F04 - CONCLUÍDA",1,""),"")</f>
        <v/>
      </c>
      <c r="BB313" s="191">
        <f>IF(PAC!$R313&gt;0,0,PAC!$Q313)</f>
        <v>0</v>
      </c>
    </row>
    <row r="314" spans="1:70" ht="230.25" hidden="1" customHeight="1" thickBot="1">
      <c r="A314" s="88">
        <f t="shared" si="4"/>
        <v>309</v>
      </c>
      <c r="B314" s="88">
        <v>2024</v>
      </c>
      <c r="C314" s="88" t="s">
        <v>605</v>
      </c>
      <c r="D314" s="88" t="s">
        <v>1010</v>
      </c>
      <c r="E314" s="89" t="s">
        <v>1424</v>
      </c>
      <c r="F314" s="40" t="s">
        <v>577</v>
      </c>
      <c r="G314" s="40" t="s">
        <v>694</v>
      </c>
      <c r="H314" s="88" t="s">
        <v>1244</v>
      </c>
      <c r="I314" s="88" t="s">
        <v>603</v>
      </c>
      <c r="J314" s="88" t="s">
        <v>220</v>
      </c>
      <c r="K314" s="18"/>
      <c r="L314" s="18">
        <v>3250000</v>
      </c>
      <c r="M314" s="18">
        <v>3250000</v>
      </c>
      <c r="N314" s="18"/>
      <c r="O314" s="18">
        <v>141115.93000000017</v>
      </c>
      <c r="P314" s="18"/>
      <c r="Q314" s="20">
        <f>SUM(PAC!$M314:$P314)</f>
        <v>3391115.93</v>
      </c>
      <c r="R314" s="20">
        <v>3146955.42</v>
      </c>
      <c r="S314" s="20">
        <f>IF(PAC!$R314&gt;0,PAC!$R314,PAC!$Q314)</f>
        <v>3146955.42</v>
      </c>
      <c r="T314" s="20" t="s">
        <v>2602</v>
      </c>
      <c r="U314" s="103" t="s">
        <v>1570</v>
      </c>
      <c r="V314" s="103"/>
      <c r="W314" s="104">
        <v>8</v>
      </c>
      <c r="X314" s="104" t="s">
        <v>1418</v>
      </c>
      <c r="Y314" s="101" t="s">
        <v>2472</v>
      </c>
      <c r="Z314" s="87">
        <v>46265</v>
      </c>
      <c r="AA314" s="105"/>
      <c r="AB314" s="40" t="s">
        <v>1468</v>
      </c>
      <c r="AC314" s="40" t="s">
        <v>2702</v>
      </c>
      <c r="AD314" s="106">
        <v>46265</v>
      </c>
      <c r="AE314" s="102" t="s">
        <v>2467</v>
      </c>
      <c r="AF314" s="40" t="s">
        <v>2023</v>
      </c>
      <c r="AG314" s="40" t="s">
        <v>1432</v>
      </c>
      <c r="AH314" s="40" t="s">
        <v>977</v>
      </c>
      <c r="AI314" s="40"/>
      <c r="AJ314" s="87"/>
      <c r="AK314" s="40"/>
      <c r="AL314" s="40"/>
      <c r="AM314" s="40"/>
      <c r="AN314" s="87">
        <v>46114</v>
      </c>
      <c r="AO314" s="87">
        <v>46142</v>
      </c>
      <c r="AP314" s="87"/>
      <c r="AQ314" s="87"/>
      <c r="AR314" s="107"/>
      <c r="AS314" s="107"/>
      <c r="AT314" s="102"/>
      <c r="AU314" s="108" t="s">
        <v>1443</v>
      </c>
      <c r="AV314" s="106"/>
      <c r="AW314" s="105"/>
      <c r="AX314" s="109" t="str">
        <f>IFERROR(IF(PAC!$X314="F01 - CAPTAÇÃO DE RECURSO",1,""),"")</f>
        <v/>
      </c>
      <c r="AY314" s="109">
        <f>IFERROR(IF(PAC!$X314="F02 - LICITAÇÃO",1,""),"")</f>
        <v>1</v>
      </c>
      <c r="AZ314" s="110" t="str">
        <f>IFERROR(IF(PAC!$X$6:$X$581="F03 - EXECUÇÃO DO OBJETO",1,""),"")</f>
        <v/>
      </c>
      <c r="BA314" s="110" t="str">
        <f>IFERROR(IF(PAC!$X$6:$X$581="F04 - CONCLUÍDA",1,""),"")</f>
        <v/>
      </c>
      <c r="BB314" s="111">
        <f>IF(PAC!$R314&gt;0,0,PAC!$Q314)</f>
        <v>0</v>
      </c>
      <c r="BC314" s="61"/>
      <c r="BF314" s="61"/>
      <c r="BH314" s="61"/>
      <c r="BI314" s="61"/>
      <c r="BP314" s="61"/>
      <c r="BQ314" s="61"/>
      <c r="BR314" s="61"/>
    </row>
    <row r="315" spans="1:70" ht="192" hidden="1" customHeight="1" thickBot="1">
      <c r="A315" s="112">
        <f t="shared" si="4"/>
        <v>310</v>
      </c>
      <c r="B315" s="112">
        <v>2024</v>
      </c>
      <c r="C315" s="112" t="s">
        <v>605</v>
      </c>
      <c r="D315" s="112" t="s">
        <v>1010</v>
      </c>
      <c r="E315" s="130" t="s">
        <v>1425</v>
      </c>
      <c r="F315" s="115" t="s">
        <v>577</v>
      </c>
      <c r="G315" s="115" t="s">
        <v>694</v>
      </c>
      <c r="H315" s="112" t="s">
        <v>1244</v>
      </c>
      <c r="I315" s="112" t="s">
        <v>603</v>
      </c>
      <c r="J315" s="112" t="s">
        <v>324</v>
      </c>
      <c r="K315" s="31"/>
      <c r="L315" s="31">
        <v>6500000</v>
      </c>
      <c r="M315" s="31">
        <v>6500000</v>
      </c>
      <c r="N315" s="31"/>
      <c r="O315" s="31"/>
      <c r="P315" s="31"/>
      <c r="Q315" s="33">
        <f>SUM(PAC!$M315:$P315)</f>
        <v>6500000</v>
      </c>
      <c r="R315" s="33">
        <v>5106637.3600000003</v>
      </c>
      <c r="S315" s="33">
        <f>IF(PAC!$R315&gt;0,PAC!$R315,PAC!$Q315)</f>
        <v>5106637.3600000003</v>
      </c>
      <c r="T315" s="33" t="s">
        <v>2602</v>
      </c>
      <c r="U315" s="116" t="s">
        <v>1570</v>
      </c>
      <c r="V315" s="116"/>
      <c r="W315" s="117">
        <v>12</v>
      </c>
      <c r="X315" s="117" t="s">
        <v>1418</v>
      </c>
      <c r="Y315" s="113" t="s">
        <v>2472</v>
      </c>
      <c r="Z315" s="118">
        <v>46265</v>
      </c>
      <c r="AA315" s="119"/>
      <c r="AB315" s="115" t="s">
        <v>1468</v>
      </c>
      <c r="AC315" s="115" t="s">
        <v>2703</v>
      </c>
      <c r="AD315" s="120">
        <v>46265</v>
      </c>
      <c r="AE315" s="114" t="s">
        <v>2467</v>
      </c>
      <c r="AF315" s="115" t="s">
        <v>2020</v>
      </c>
      <c r="AG315" s="115" t="s">
        <v>1433</v>
      </c>
      <c r="AH315" s="115" t="s">
        <v>977</v>
      </c>
      <c r="AI315" s="115"/>
      <c r="AJ315" s="118"/>
      <c r="AK315" s="115"/>
      <c r="AL315" s="115"/>
      <c r="AM315" s="115"/>
      <c r="AN315" s="118">
        <v>46114</v>
      </c>
      <c r="AO315" s="118">
        <v>46148</v>
      </c>
      <c r="AP315" s="118"/>
      <c r="AQ315" s="118"/>
      <c r="AR315" s="121"/>
      <c r="AS315" s="121"/>
      <c r="AT315" s="114"/>
      <c r="AU315" s="122" t="s">
        <v>1444</v>
      </c>
      <c r="AV315" s="120"/>
      <c r="AW315" s="119"/>
      <c r="AX315" s="194" t="str">
        <f>IFERROR(IF(PAC!$X315="F01 - CAPTAÇÃO DE RECURSO",1,""),"")</f>
        <v/>
      </c>
      <c r="AY315" s="194">
        <f>IFERROR(IF(PAC!$X315="F02 - LICITAÇÃO",1,""),"")</f>
        <v>1</v>
      </c>
      <c r="AZ315" s="123" t="str">
        <f>IFERROR(IF(PAC!$X$6:$X$581="F03 - EXECUÇÃO DO OBJETO",1,""),"")</f>
        <v/>
      </c>
      <c r="BA315" s="123" t="str">
        <f>IFERROR(IF(PAC!$X$6:$X$581="F04 - CONCLUÍDA",1,""),"")</f>
        <v/>
      </c>
      <c r="BB315" s="191">
        <f>IF(PAC!$R315&gt;0,0,PAC!$Q315)</f>
        <v>0</v>
      </c>
      <c r="BC315" s="61"/>
      <c r="BF315" s="61"/>
      <c r="BH315" s="61"/>
      <c r="BI315" s="61"/>
      <c r="BP315" s="61"/>
      <c r="BQ315" s="61"/>
      <c r="BR315" s="61"/>
    </row>
    <row r="316" spans="1:70" ht="339" hidden="1" customHeight="1" thickBot="1">
      <c r="A316" s="88">
        <f t="shared" si="4"/>
        <v>311</v>
      </c>
      <c r="B316" s="88">
        <v>2024</v>
      </c>
      <c r="C316" s="88" t="s">
        <v>605</v>
      </c>
      <c r="D316" s="88" t="s">
        <v>1010</v>
      </c>
      <c r="E316" s="89" t="s">
        <v>1425</v>
      </c>
      <c r="F316" s="40" t="s">
        <v>577</v>
      </c>
      <c r="G316" s="40" t="s">
        <v>694</v>
      </c>
      <c r="H316" s="88" t="s">
        <v>1244</v>
      </c>
      <c r="I316" s="88" t="s">
        <v>603</v>
      </c>
      <c r="J316" s="88" t="s">
        <v>346</v>
      </c>
      <c r="K316" s="18"/>
      <c r="L316" s="18">
        <v>6500000</v>
      </c>
      <c r="M316" s="18">
        <v>6500000</v>
      </c>
      <c r="N316" s="18"/>
      <c r="O316" s="18"/>
      <c r="P316" s="18"/>
      <c r="Q316" s="20">
        <f>SUM(PAC!$M316:$P316)</f>
        <v>6500000</v>
      </c>
      <c r="R316" s="20">
        <v>5905368.4800000004</v>
      </c>
      <c r="S316" s="20">
        <f>IF(PAC!$R316&gt;0,PAC!$R316,PAC!$Q316)</f>
        <v>5905368.4800000004</v>
      </c>
      <c r="T316" s="20" t="s">
        <v>2603</v>
      </c>
      <c r="U316" s="103" t="s">
        <v>1570</v>
      </c>
      <c r="V316" s="103"/>
      <c r="W316" s="104">
        <v>12</v>
      </c>
      <c r="X316" s="104" t="s">
        <v>1418</v>
      </c>
      <c r="Y316" s="101" t="s">
        <v>2472</v>
      </c>
      <c r="Z316" s="87">
        <v>46265</v>
      </c>
      <c r="AA316" s="105"/>
      <c r="AB316" s="40" t="s">
        <v>1468</v>
      </c>
      <c r="AC316" s="40" t="s">
        <v>2704</v>
      </c>
      <c r="AD316" s="106">
        <v>46265</v>
      </c>
      <c r="AE316" s="102" t="s">
        <v>2467</v>
      </c>
      <c r="AF316" s="40" t="s">
        <v>2015</v>
      </c>
      <c r="AG316" s="40" t="s">
        <v>1434</v>
      </c>
      <c r="AH316" s="40" t="s">
        <v>977</v>
      </c>
      <c r="AI316" s="40"/>
      <c r="AJ316" s="87"/>
      <c r="AK316" s="40"/>
      <c r="AL316" s="40"/>
      <c r="AM316" s="40"/>
      <c r="AN316" s="87">
        <v>46114</v>
      </c>
      <c r="AO316" s="87">
        <v>46134</v>
      </c>
      <c r="AP316" s="87"/>
      <c r="AQ316" s="87"/>
      <c r="AR316" s="107"/>
      <c r="AS316" s="107"/>
      <c r="AT316" s="102" t="s">
        <v>2669</v>
      </c>
      <c r="AU316" s="108" t="s">
        <v>1445</v>
      </c>
      <c r="AV316" s="106"/>
      <c r="AW316" s="105"/>
      <c r="AX316" s="109" t="str">
        <f>IFERROR(IF(PAC!$X316="F01 - CAPTAÇÃO DE RECURSO",1,""),"")</f>
        <v/>
      </c>
      <c r="AY316" s="109">
        <f>IFERROR(IF(PAC!$X316="F02 - LICITAÇÃO",1,""),"")</f>
        <v>1</v>
      </c>
      <c r="AZ316" s="110" t="str">
        <f>IFERROR(IF(PAC!$X$6:$X$581="F03 - EXECUÇÃO DO OBJETO",1,""),"")</f>
        <v/>
      </c>
      <c r="BA316" s="110" t="str">
        <f>IFERROR(IF(PAC!$X$6:$X$581="F04 - CONCLUÍDA",1,""),"")</f>
        <v/>
      </c>
      <c r="BB316" s="111">
        <f>IF(PAC!$R316&gt;0,0,PAC!$Q316)</f>
        <v>0</v>
      </c>
      <c r="BC316" s="61"/>
      <c r="BF316" s="61"/>
      <c r="BH316" s="61"/>
      <c r="BI316" s="61"/>
      <c r="BP316" s="61"/>
      <c r="BQ316" s="61"/>
      <c r="BR316" s="61"/>
    </row>
    <row r="317" spans="1:70" ht="278.25" hidden="1" customHeight="1" thickBot="1">
      <c r="A317" s="112">
        <f t="shared" si="4"/>
        <v>312</v>
      </c>
      <c r="B317" s="112">
        <v>2024</v>
      </c>
      <c r="C317" s="112" t="s">
        <v>605</v>
      </c>
      <c r="D317" s="112" t="s">
        <v>1010</v>
      </c>
      <c r="E317" s="130" t="s">
        <v>1425</v>
      </c>
      <c r="F317" s="115" t="s">
        <v>577</v>
      </c>
      <c r="G317" s="115" t="s">
        <v>694</v>
      </c>
      <c r="H317" s="112" t="s">
        <v>1244</v>
      </c>
      <c r="I317" s="112" t="s">
        <v>603</v>
      </c>
      <c r="J317" s="112" t="s">
        <v>377</v>
      </c>
      <c r="K317" s="31"/>
      <c r="L317" s="31">
        <v>6500000</v>
      </c>
      <c r="M317" s="31">
        <v>6500000</v>
      </c>
      <c r="N317" s="31"/>
      <c r="O317" s="31">
        <v>121415.23000000045</v>
      </c>
      <c r="P317" s="31"/>
      <c r="Q317" s="33">
        <f>SUM(PAC!$M317:$P317)</f>
        <v>6621415.2300000004</v>
      </c>
      <c r="R317" s="33">
        <v>5581190.7000000002</v>
      </c>
      <c r="S317" s="33">
        <f>IF(PAC!$R317&gt;0,PAC!$R317,PAC!$Q317)</f>
        <v>5581190.7000000002</v>
      </c>
      <c r="T317" s="33" t="s">
        <v>2602</v>
      </c>
      <c r="U317" s="116" t="s">
        <v>1570</v>
      </c>
      <c r="V317" s="116"/>
      <c r="W317" s="117">
        <v>12</v>
      </c>
      <c r="X317" s="117" t="s">
        <v>1418</v>
      </c>
      <c r="Y317" s="113" t="s">
        <v>2472</v>
      </c>
      <c r="Z317" s="118">
        <v>46265</v>
      </c>
      <c r="AA317" s="119"/>
      <c r="AB317" s="115" t="s">
        <v>1468</v>
      </c>
      <c r="AC317" s="115" t="s">
        <v>2705</v>
      </c>
      <c r="AD317" s="120">
        <v>46265</v>
      </c>
      <c r="AE317" s="114" t="s">
        <v>2467</v>
      </c>
      <c r="AF317" s="115" t="s">
        <v>2021</v>
      </c>
      <c r="AG317" s="115" t="s">
        <v>1435</v>
      </c>
      <c r="AH317" s="115" t="s">
        <v>977</v>
      </c>
      <c r="AI317" s="115"/>
      <c r="AJ317" s="118"/>
      <c r="AK317" s="115"/>
      <c r="AL317" s="115"/>
      <c r="AM317" s="115"/>
      <c r="AN317" s="118">
        <v>46114</v>
      </c>
      <c r="AO317" s="118">
        <v>46163</v>
      </c>
      <c r="AP317" s="118"/>
      <c r="AQ317" s="118"/>
      <c r="AR317" s="121"/>
      <c r="AS317" s="121"/>
      <c r="AT317" s="114"/>
      <c r="AU317" s="122" t="s">
        <v>1443</v>
      </c>
      <c r="AV317" s="120"/>
      <c r="AW317" s="119"/>
      <c r="AX317" s="194" t="str">
        <f>IFERROR(IF(PAC!$X317="F01 - CAPTAÇÃO DE RECURSO",1,""),"")</f>
        <v/>
      </c>
      <c r="AY317" s="194">
        <f>IFERROR(IF(PAC!$X317="F02 - LICITAÇÃO",1,""),"")</f>
        <v>1</v>
      </c>
      <c r="AZ317" s="123" t="str">
        <f>IFERROR(IF(PAC!$X$6:$X$581="F03 - EXECUÇÃO DO OBJETO",1,""),"")</f>
        <v/>
      </c>
      <c r="BA317" s="123" t="str">
        <f>IFERROR(IF(PAC!$X$6:$X$581="F04 - CONCLUÍDA",1,""),"")</f>
        <v/>
      </c>
      <c r="BB317" s="191">
        <f>IF(PAC!$R317&gt;0,0,PAC!$Q317)</f>
        <v>0</v>
      </c>
      <c r="BC317" s="61"/>
      <c r="BF317" s="61"/>
      <c r="BH317" s="61"/>
      <c r="BI317" s="61"/>
      <c r="BP317" s="61"/>
      <c r="BQ317" s="61"/>
      <c r="BR317" s="61"/>
    </row>
    <row r="318" spans="1:70" ht="376.5" hidden="1" customHeight="1" thickBot="1">
      <c r="A318" s="88">
        <f t="shared" si="4"/>
        <v>313</v>
      </c>
      <c r="B318" s="88">
        <v>2024</v>
      </c>
      <c r="C318" s="88" t="s">
        <v>605</v>
      </c>
      <c r="D318" s="88" t="s">
        <v>1010</v>
      </c>
      <c r="E318" s="89" t="s">
        <v>1425</v>
      </c>
      <c r="F318" s="40" t="s">
        <v>577</v>
      </c>
      <c r="G318" s="40" t="s">
        <v>694</v>
      </c>
      <c r="H318" s="88" t="s">
        <v>1244</v>
      </c>
      <c r="I318" s="88" t="s">
        <v>603</v>
      </c>
      <c r="J318" s="88" t="s">
        <v>392</v>
      </c>
      <c r="K318" s="18"/>
      <c r="L318" s="18">
        <v>6500000</v>
      </c>
      <c r="M318" s="18">
        <v>6500000</v>
      </c>
      <c r="N318" s="18"/>
      <c r="O318" s="18">
        <v>204228.09999999963</v>
      </c>
      <c r="P318" s="18"/>
      <c r="Q318" s="20">
        <f>SUM(PAC!$M318:$P318)</f>
        <v>6704228.0999999996</v>
      </c>
      <c r="R318" s="20">
        <v>5396903.54</v>
      </c>
      <c r="S318" s="20">
        <f>IF(PAC!$R318&gt;0,PAC!$R318,PAC!$Q318)</f>
        <v>5396903.54</v>
      </c>
      <c r="T318" s="20" t="s">
        <v>2603</v>
      </c>
      <c r="U318" s="103" t="s">
        <v>1570</v>
      </c>
      <c r="V318" s="103"/>
      <c r="W318" s="104">
        <v>12</v>
      </c>
      <c r="X318" s="104" t="s">
        <v>1418</v>
      </c>
      <c r="Y318" s="101" t="s">
        <v>2472</v>
      </c>
      <c r="Z318" s="87">
        <v>46265</v>
      </c>
      <c r="AA318" s="105"/>
      <c r="AB318" s="40" t="s">
        <v>1468</v>
      </c>
      <c r="AC318" s="40" t="s">
        <v>2706</v>
      </c>
      <c r="AD318" s="106">
        <v>46265</v>
      </c>
      <c r="AE318" s="102" t="s">
        <v>2467</v>
      </c>
      <c r="AF318" s="40" t="s">
        <v>2303</v>
      </c>
      <c r="AG318" s="40" t="s">
        <v>1436</v>
      </c>
      <c r="AH318" s="40" t="s">
        <v>977</v>
      </c>
      <c r="AI318" s="40"/>
      <c r="AJ318" s="87"/>
      <c r="AK318" s="40"/>
      <c r="AL318" s="40"/>
      <c r="AM318" s="40"/>
      <c r="AN318" s="87">
        <v>46114</v>
      </c>
      <c r="AO318" s="87">
        <v>46147</v>
      </c>
      <c r="AP318" s="87"/>
      <c r="AQ318" s="87"/>
      <c r="AR318" s="107"/>
      <c r="AS318" s="107"/>
      <c r="AT318" s="102"/>
      <c r="AU318" s="108" t="s">
        <v>1446</v>
      </c>
      <c r="AV318" s="106"/>
      <c r="AW318" s="105"/>
      <c r="AX318" s="109" t="str">
        <f>IFERROR(IF(PAC!$X318="F01 - CAPTAÇÃO DE RECURSO",1,""),"")</f>
        <v/>
      </c>
      <c r="AY318" s="109">
        <f>IFERROR(IF(PAC!$X318="F02 - LICITAÇÃO",1,""),"")</f>
        <v>1</v>
      </c>
      <c r="AZ318" s="110" t="str">
        <f>IFERROR(IF(PAC!$X$6:$X$581="F03 - EXECUÇÃO DO OBJETO",1,""),"")</f>
        <v/>
      </c>
      <c r="BA318" s="110" t="str">
        <f>IFERROR(IF(PAC!$X$6:$X$581="F04 - CONCLUÍDA",1,""),"")</f>
        <v/>
      </c>
      <c r="BB318" s="111">
        <f>IF(PAC!$R318&gt;0,0,PAC!$Q318)</f>
        <v>0</v>
      </c>
      <c r="BC318" s="61"/>
      <c r="BF318" s="61"/>
      <c r="BH318" s="61"/>
      <c r="BI318" s="61"/>
      <c r="BP318" s="61"/>
      <c r="BQ318" s="61"/>
      <c r="BR318" s="61"/>
    </row>
    <row r="319" spans="1:70" ht="358.5" hidden="1" customHeight="1" thickBot="1">
      <c r="A319" s="112">
        <f t="shared" si="4"/>
        <v>314</v>
      </c>
      <c r="B319" s="112">
        <v>2025</v>
      </c>
      <c r="C319" s="112" t="s">
        <v>605</v>
      </c>
      <c r="D319" s="112" t="s">
        <v>1010</v>
      </c>
      <c r="E319" s="130" t="s">
        <v>1447</v>
      </c>
      <c r="F319" s="115" t="s">
        <v>577</v>
      </c>
      <c r="G319" s="115" t="s">
        <v>694</v>
      </c>
      <c r="H319" s="112" t="s">
        <v>1244</v>
      </c>
      <c r="I319" s="112" t="s">
        <v>603</v>
      </c>
      <c r="J319" s="112" t="s">
        <v>80</v>
      </c>
      <c r="K319" s="31"/>
      <c r="L319" s="31">
        <v>2800000</v>
      </c>
      <c r="M319" s="31">
        <v>2800000</v>
      </c>
      <c r="N319" s="31"/>
      <c r="O319" s="31"/>
      <c r="P319" s="31"/>
      <c r="Q319" s="33">
        <f>SUM(PAC!$M319:$P319)</f>
        <v>2800000</v>
      </c>
      <c r="R319" s="33"/>
      <c r="S319" s="33">
        <f>IF(PAC!$R319&gt;0,PAC!$R319,PAC!$Q319)</f>
        <v>2800000</v>
      </c>
      <c r="T319" s="33"/>
      <c r="U319" s="116" t="s">
        <v>1570</v>
      </c>
      <c r="V319" s="116"/>
      <c r="W319" s="117"/>
      <c r="X319" s="117" t="s">
        <v>1419</v>
      </c>
      <c r="Y319" s="113" t="s">
        <v>2474</v>
      </c>
      <c r="Z319" s="118"/>
      <c r="AA319" s="119"/>
      <c r="AB319" s="115" t="s">
        <v>1456</v>
      </c>
      <c r="AC319" s="115" t="s">
        <v>2567</v>
      </c>
      <c r="AD319" s="120"/>
      <c r="AE319" s="114" t="s">
        <v>1937</v>
      </c>
      <c r="AF319" s="115" t="s">
        <v>1502</v>
      </c>
      <c r="AG319" s="115"/>
      <c r="AH319" s="115"/>
      <c r="AI319" s="115"/>
      <c r="AJ319" s="118"/>
      <c r="AK319" s="115"/>
      <c r="AL319" s="115"/>
      <c r="AM319" s="115"/>
      <c r="AN319" s="118"/>
      <c r="AO319" s="118"/>
      <c r="AP319" s="118"/>
      <c r="AQ319" s="118"/>
      <c r="AR319" s="121"/>
      <c r="AS319" s="121"/>
      <c r="AT319" s="114"/>
      <c r="AU319" s="122"/>
      <c r="AV319" s="120"/>
      <c r="AW319" s="119"/>
      <c r="AX319" s="194">
        <f>IFERROR(IF(PAC!$X319="F01 - CAPTAÇÃO DE RECURSO",1,""),"")</f>
        <v>1</v>
      </c>
      <c r="AY319" s="194" t="str">
        <f>IFERROR(IF(PAC!$X319="F02 - LICITAÇÃO",1,""),"")</f>
        <v/>
      </c>
      <c r="AZ319" s="123" t="str">
        <f>IFERROR(IF(PAC!$X$6:$X$581="F03 - EXECUÇÃO DO OBJETO",1,""),"")</f>
        <v/>
      </c>
      <c r="BA319" s="123" t="str">
        <f>IFERROR(IF(PAC!$X$6:$X$581="F04 - CONCLUÍDA",1,""),"")</f>
        <v/>
      </c>
      <c r="BB319" s="191">
        <f>IF(PAC!$R319&gt;0,0,PAC!$Q319)</f>
        <v>2800000</v>
      </c>
      <c r="BC319" s="61"/>
      <c r="BF319" s="61"/>
      <c r="BH319" s="61"/>
      <c r="BI319" s="61"/>
      <c r="BP319" s="61"/>
      <c r="BQ319" s="61"/>
      <c r="BR319" s="61"/>
    </row>
    <row r="320" spans="1:70" s="1" customFormat="1" ht="341.25" hidden="1" customHeight="1" thickBot="1">
      <c r="A320" s="88">
        <f t="shared" si="4"/>
        <v>315</v>
      </c>
      <c r="B320" s="88">
        <v>2025</v>
      </c>
      <c r="C320" s="88" t="s">
        <v>605</v>
      </c>
      <c r="D320" s="88" t="s">
        <v>1010</v>
      </c>
      <c r="E320" s="89" t="s">
        <v>1447</v>
      </c>
      <c r="F320" s="40" t="s">
        <v>577</v>
      </c>
      <c r="G320" s="40" t="s">
        <v>694</v>
      </c>
      <c r="H320" s="88" t="s">
        <v>1244</v>
      </c>
      <c r="I320" s="88" t="s">
        <v>603</v>
      </c>
      <c r="J320" s="88" t="s">
        <v>267</v>
      </c>
      <c r="K320" s="18"/>
      <c r="L320" s="18">
        <v>2800000</v>
      </c>
      <c r="M320" s="18">
        <v>2800000</v>
      </c>
      <c r="N320" s="18"/>
      <c r="O320" s="18"/>
      <c r="P320" s="18"/>
      <c r="Q320" s="20">
        <f>SUM(PAC!$M320:$P320)</f>
        <v>2800000</v>
      </c>
      <c r="R320" s="20"/>
      <c r="S320" s="20">
        <f>IF(PAC!$R320&gt;0,PAC!$R320,PAC!$Q320)</f>
        <v>2800000</v>
      </c>
      <c r="T320" s="20"/>
      <c r="U320" s="103" t="s">
        <v>1570</v>
      </c>
      <c r="V320" s="103"/>
      <c r="W320" s="104"/>
      <c r="X320" s="104" t="s">
        <v>1419</v>
      </c>
      <c r="Y320" s="101" t="s">
        <v>2474</v>
      </c>
      <c r="Z320" s="87"/>
      <c r="AA320" s="105"/>
      <c r="AB320" s="40" t="s">
        <v>1456</v>
      </c>
      <c r="AC320" s="40" t="s">
        <v>2568</v>
      </c>
      <c r="AD320" s="106"/>
      <c r="AE320" s="102" t="s">
        <v>1937</v>
      </c>
      <c r="AF320" s="40" t="s">
        <v>1503</v>
      </c>
      <c r="AG320" s="40"/>
      <c r="AH320" s="40"/>
      <c r="AI320" s="40"/>
      <c r="AJ320" s="87"/>
      <c r="AK320" s="40"/>
      <c r="AL320" s="40"/>
      <c r="AM320" s="40"/>
      <c r="AN320" s="87"/>
      <c r="AO320" s="87"/>
      <c r="AP320" s="87"/>
      <c r="AQ320" s="87"/>
      <c r="AR320" s="107"/>
      <c r="AS320" s="107"/>
      <c r="AT320" s="102"/>
      <c r="AU320" s="108"/>
      <c r="AV320" s="106"/>
      <c r="AW320" s="105"/>
      <c r="AX320" s="109">
        <f>IFERROR(IF(PAC!$X320="F01 - CAPTAÇÃO DE RECURSO",1,""),"")</f>
        <v>1</v>
      </c>
      <c r="AY320" s="109" t="str">
        <f>IFERROR(IF(PAC!$X320="F02 - LICITAÇÃO",1,""),"")</f>
        <v/>
      </c>
      <c r="AZ320" s="110" t="str">
        <f>IFERROR(IF(PAC!$X$6:$X$581="F03 - EXECUÇÃO DO OBJETO",1,""),"")</f>
        <v/>
      </c>
      <c r="BA320" s="110" t="str">
        <f>IFERROR(IF(PAC!$X$6:$X$581="F04 - CONCLUÍDA",1,""),"")</f>
        <v/>
      </c>
      <c r="BB320" s="111">
        <f>IF(PAC!$R320&gt;0,0,PAC!$Q320)</f>
        <v>2800000</v>
      </c>
    </row>
    <row r="321" spans="1:54" s="1" customFormat="1" ht="219" hidden="1" customHeight="1" thickBot="1">
      <c r="A321" s="112">
        <f t="shared" si="4"/>
        <v>316</v>
      </c>
      <c r="B321" s="112">
        <v>2025</v>
      </c>
      <c r="C321" s="112" t="s">
        <v>605</v>
      </c>
      <c r="D321" s="112" t="s">
        <v>1010</v>
      </c>
      <c r="E321" s="130" t="s">
        <v>1447</v>
      </c>
      <c r="F321" s="115" t="s">
        <v>577</v>
      </c>
      <c r="G321" s="115" t="s">
        <v>694</v>
      </c>
      <c r="H321" s="112" t="s">
        <v>1244</v>
      </c>
      <c r="I321" s="112" t="s">
        <v>603</v>
      </c>
      <c r="J321" s="112" t="s">
        <v>269</v>
      </c>
      <c r="K321" s="31"/>
      <c r="L321" s="31">
        <v>2800000</v>
      </c>
      <c r="M321" s="31">
        <v>2800000</v>
      </c>
      <c r="N321" s="31"/>
      <c r="O321" s="31"/>
      <c r="P321" s="31"/>
      <c r="Q321" s="33">
        <f>SUM(PAC!$M321:$P321)</f>
        <v>2800000</v>
      </c>
      <c r="R321" s="33"/>
      <c r="S321" s="33">
        <f>IF(PAC!$R321&gt;0,PAC!$R321,PAC!$Q321)</f>
        <v>2800000</v>
      </c>
      <c r="T321" s="33"/>
      <c r="U321" s="116" t="s">
        <v>1570</v>
      </c>
      <c r="V321" s="116"/>
      <c r="W321" s="117"/>
      <c r="X321" s="117" t="s">
        <v>1419</v>
      </c>
      <c r="Y321" s="113" t="s">
        <v>2474</v>
      </c>
      <c r="Z321" s="118"/>
      <c r="AA321" s="119"/>
      <c r="AB321" s="115" t="s">
        <v>1457</v>
      </c>
      <c r="AC321" s="115" t="s">
        <v>2311</v>
      </c>
      <c r="AD321" s="120"/>
      <c r="AE321" s="114" t="s">
        <v>1937</v>
      </c>
      <c r="AF321" s="115" t="s">
        <v>1504</v>
      </c>
      <c r="AG321" s="115"/>
      <c r="AH321" s="115"/>
      <c r="AI321" s="115"/>
      <c r="AJ321" s="118"/>
      <c r="AK321" s="115"/>
      <c r="AL321" s="115"/>
      <c r="AM321" s="115"/>
      <c r="AN321" s="118"/>
      <c r="AO321" s="118"/>
      <c r="AP321" s="118"/>
      <c r="AQ321" s="118"/>
      <c r="AR321" s="121"/>
      <c r="AS321" s="121"/>
      <c r="AT321" s="114"/>
      <c r="AU321" s="122"/>
      <c r="AV321" s="120"/>
      <c r="AW321" s="119"/>
      <c r="AX321" s="194">
        <f>IFERROR(IF(PAC!$X321="F01 - CAPTAÇÃO DE RECURSO",1,""),"")</f>
        <v>1</v>
      </c>
      <c r="AY321" s="194" t="str">
        <f>IFERROR(IF(PAC!$X321="F02 - LICITAÇÃO",1,""),"")</f>
        <v/>
      </c>
      <c r="AZ321" s="123" t="str">
        <f>IFERROR(IF(PAC!$X$6:$X$581="F03 - EXECUÇÃO DO OBJETO",1,""),"")</f>
        <v/>
      </c>
      <c r="BA321" s="123" t="str">
        <f>IFERROR(IF(PAC!$X$6:$X$581="F04 - CONCLUÍDA",1,""),"")</f>
        <v/>
      </c>
      <c r="BB321" s="191">
        <f>IF(PAC!$R321&gt;0,0,PAC!$Q321)</f>
        <v>2800000</v>
      </c>
    </row>
    <row r="322" spans="1:54" s="1" customFormat="1" ht="336.75" hidden="1" customHeight="1" thickBot="1">
      <c r="A322" s="88">
        <f t="shared" si="4"/>
        <v>317</v>
      </c>
      <c r="B322" s="88">
        <v>2025</v>
      </c>
      <c r="C322" s="88" t="s">
        <v>605</v>
      </c>
      <c r="D322" s="88" t="s">
        <v>1010</v>
      </c>
      <c r="E322" s="89" t="s">
        <v>1447</v>
      </c>
      <c r="F322" s="40" t="s">
        <v>577</v>
      </c>
      <c r="G322" s="40" t="s">
        <v>694</v>
      </c>
      <c r="H322" s="88" t="s">
        <v>1244</v>
      </c>
      <c r="I322" s="88" t="s">
        <v>603</v>
      </c>
      <c r="J322" s="88" t="s">
        <v>286</v>
      </c>
      <c r="K322" s="18"/>
      <c r="L322" s="18">
        <v>2800000</v>
      </c>
      <c r="M322" s="18">
        <v>2800000</v>
      </c>
      <c r="N322" s="18"/>
      <c r="O322" s="18"/>
      <c r="P322" s="18"/>
      <c r="Q322" s="20">
        <f>SUM(PAC!$M322:$P322)</f>
        <v>2800000</v>
      </c>
      <c r="R322" s="20"/>
      <c r="S322" s="20">
        <f>IF(PAC!$R322&gt;0,PAC!$R322,PAC!$Q322)</f>
        <v>2800000</v>
      </c>
      <c r="T322" s="20"/>
      <c r="U322" s="103" t="s">
        <v>1570</v>
      </c>
      <c r="V322" s="103"/>
      <c r="W322" s="104"/>
      <c r="X322" s="104" t="s">
        <v>1419</v>
      </c>
      <c r="Y322" s="101" t="s">
        <v>2474</v>
      </c>
      <c r="Z322" s="87"/>
      <c r="AA322" s="105"/>
      <c r="AB322" s="40" t="s">
        <v>1456</v>
      </c>
      <c r="AC322" s="40" t="s">
        <v>2569</v>
      </c>
      <c r="AD322" s="106"/>
      <c r="AE322" s="102" t="s">
        <v>1937</v>
      </c>
      <c r="AF322" s="40" t="s">
        <v>1505</v>
      </c>
      <c r="AG322" s="40"/>
      <c r="AH322" s="40"/>
      <c r="AI322" s="40"/>
      <c r="AJ322" s="87"/>
      <c r="AK322" s="40"/>
      <c r="AL322" s="40"/>
      <c r="AM322" s="40"/>
      <c r="AN322" s="87"/>
      <c r="AO322" s="87"/>
      <c r="AP322" s="87"/>
      <c r="AQ322" s="87"/>
      <c r="AR322" s="107"/>
      <c r="AS322" s="107"/>
      <c r="AT322" s="102"/>
      <c r="AU322" s="108"/>
      <c r="AV322" s="106"/>
      <c r="AW322" s="105"/>
      <c r="AX322" s="109">
        <f>IFERROR(IF(PAC!$X322="F01 - CAPTAÇÃO DE RECURSO",1,""),"")</f>
        <v>1</v>
      </c>
      <c r="AY322" s="109" t="str">
        <f>IFERROR(IF(PAC!$X322="F02 - LICITAÇÃO",1,""),"")</f>
        <v/>
      </c>
      <c r="AZ322" s="110" t="str">
        <f>IFERROR(IF(PAC!$X$6:$X$581="F03 - EXECUÇÃO DO OBJETO",1,""),"")</f>
        <v/>
      </c>
      <c r="BA322" s="110" t="str">
        <f>IFERROR(IF(PAC!$X$6:$X$581="F04 - CONCLUÍDA",1,""),"")</f>
        <v/>
      </c>
      <c r="BB322" s="111">
        <f>IF(PAC!$R322&gt;0,0,PAC!$Q322)</f>
        <v>2800000</v>
      </c>
    </row>
    <row r="323" spans="1:54" s="1" customFormat="1" ht="409.5" hidden="1" customHeight="1" thickBot="1">
      <c r="A323" s="112">
        <f t="shared" si="4"/>
        <v>318</v>
      </c>
      <c r="B323" s="113">
        <v>2023</v>
      </c>
      <c r="C323" s="112" t="s">
        <v>605</v>
      </c>
      <c r="D323" s="112" t="s">
        <v>1010</v>
      </c>
      <c r="E323" s="114" t="s">
        <v>514</v>
      </c>
      <c r="F323" s="112" t="s">
        <v>51</v>
      </c>
      <c r="G323" s="112" t="s">
        <v>1537</v>
      </c>
      <c r="H323" s="115" t="s">
        <v>1244</v>
      </c>
      <c r="I323" s="112" t="s">
        <v>1240</v>
      </c>
      <c r="J323" s="112" t="s">
        <v>361</v>
      </c>
      <c r="K323" s="31"/>
      <c r="L323" s="31">
        <v>1518586194.6800001</v>
      </c>
      <c r="M323" s="31">
        <v>1518586194.6800001</v>
      </c>
      <c r="N323" s="31"/>
      <c r="O323" s="31"/>
      <c r="P323" s="31"/>
      <c r="Q323" s="33">
        <f>SUM(PAC!$M323:$P323)</f>
        <v>1518586194.6800001</v>
      </c>
      <c r="R323" s="33">
        <v>1107231801.21</v>
      </c>
      <c r="S323" s="33">
        <f>IF(PAC!$R323&gt;0,PAC!$R323,PAC!$Q323)</f>
        <v>1107231801.21</v>
      </c>
      <c r="T323" s="33" t="s">
        <v>1593</v>
      </c>
      <c r="U323" s="116" t="s">
        <v>1570</v>
      </c>
      <c r="V323" s="116"/>
      <c r="W323" s="117">
        <v>37</v>
      </c>
      <c r="X323" s="117" t="s">
        <v>1694</v>
      </c>
      <c r="Y323" s="113" t="s">
        <v>2470</v>
      </c>
      <c r="Z323" s="118">
        <v>47209</v>
      </c>
      <c r="AA323" s="119">
        <v>2</v>
      </c>
      <c r="AB323" s="115"/>
      <c r="AC323" s="115"/>
      <c r="AD323" s="120"/>
      <c r="AE323" s="114" t="s">
        <v>2385</v>
      </c>
      <c r="AF323" s="115" t="s">
        <v>982</v>
      </c>
      <c r="AG323" s="115" t="s">
        <v>673</v>
      </c>
      <c r="AH323" s="115" t="s">
        <v>977</v>
      </c>
      <c r="AI323" s="115"/>
      <c r="AJ323" s="118"/>
      <c r="AK323" s="115" t="s">
        <v>1538</v>
      </c>
      <c r="AL323" s="115"/>
      <c r="AM323" s="115"/>
      <c r="AN323" s="118">
        <v>45818</v>
      </c>
      <c r="AO323" s="118">
        <v>45888</v>
      </c>
      <c r="AP323" s="118">
        <v>45970</v>
      </c>
      <c r="AQ323" s="118">
        <v>46114</v>
      </c>
      <c r="AR323" s="121">
        <v>47209</v>
      </c>
      <c r="AS323" s="121">
        <v>47209</v>
      </c>
      <c r="AT323" s="114" t="s">
        <v>2685</v>
      </c>
      <c r="AU323" s="122" t="s">
        <v>2386</v>
      </c>
      <c r="AV323" s="120"/>
      <c r="AW323" s="119"/>
      <c r="AX323" s="194" t="str">
        <f>IFERROR(IF(PAC!$X323="F01 - CAPTAÇÃO DE RECURSO",1,""),"")</f>
        <v/>
      </c>
      <c r="AY323" s="194" t="str">
        <f>IFERROR(IF(PAC!$X323="F02 - LICITAÇÃO",1,""),"")</f>
        <v/>
      </c>
      <c r="AZ323" s="123">
        <f>IFERROR(IF(PAC!$X$6:$X$581="F03 - EXECUÇÃO DO OBJETO",1,""),"")</f>
        <v>1</v>
      </c>
      <c r="BA323" s="123" t="str">
        <f>IFERROR(IF(PAC!$X$6:$X$581="F04 - CONCLUÍDA",1,""),"")</f>
        <v/>
      </c>
      <c r="BB323" s="191">
        <f>IF(PAC!$R323&gt;0,0,PAC!$Q323)</f>
        <v>0</v>
      </c>
    </row>
    <row r="324" spans="1:54" s="1" customFormat="1" ht="409.5" hidden="1" customHeight="1" thickBot="1">
      <c r="A324" s="88">
        <f t="shared" si="4"/>
        <v>319</v>
      </c>
      <c r="B324" s="101">
        <v>2023</v>
      </c>
      <c r="C324" s="88" t="s">
        <v>1495</v>
      </c>
      <c r="D324" s="88" t="s">
        <v>1010</v>
      </c>
      <c r="E324" s="102" t="s">
        <v>1024</v>
      </c>
      <c r="F324" s="88" t="s">
        <v>611</v>
      </c>
      <c r="G324" s="88" t="s">
        <v>1537</v>
      </c>
      <c r="H324" s="40" t="s">
        <v>1244</v>
      </c>
      <c r="I324" s="88" t="s">
        <v>1240</v>
      </c>
      <c r="J324" s="88" t="s">
        <v>361</v>
      </c>
      <c r="K324" s="18">
        <v>636906320.38</v>
      </c>
      <c r="L324" s="18"/>
      <c r="M324" s="18"/>
      <c r="N324" s="18">
        <v>30800000</v>
      </c>
      <c r="O324" s="18"/>
      <c r="P324" s="18">
        <v>616000000</v>
      </c>
      <c r="Q324" s="20">
        <f>SUM(PAC!$M324:$P324)</f>
        <v>646800000</v>
      </c>
      <c r="R324" s="20">
        <v>490376287.47000003</v>
      </c>
      <c r="S324" s="20">
        <f>IF(PAC!$R324&gt;0,PAC!$R324,PAC!$Q324)</f>
        <v>490376287.47000003</v>
      </c>
      <c r="T324" s="20" t="s">
        <v>1804</v>
      </c>
      <c r="U324" s="103" t="s">
        <v>1573</v>
      </c>
      <c r="V324" s="103" t="s">
        <v>1764</v>
      </c>
      <c r="W324" s="104">
        <v>12</v>
      </c>
      <c r="X324" s="104" t="s">
        <v>1418</v>
      </c>
      <c r="Y324" s="101" t="s">
        <v>2472</v>
      </c>
      <c r="Z324" s="87"/>
      <c r="AA324" s="105"/>
      <c r="AB324" s="40"/>
      <c r="AC324" s="40" t="s">
        <v>2636</v>
      </c>
      <c r="AD324" s="106"/>
      <c r="AE324" s="102" t="s">
        <v>2233</v>
      </c>
      <c r="AF324" s="40" t="s">
        <v>554</v>
      </c>
      <c r="AG324" s="40" t="s">
        <v>2247</v>
      </c>
      <c r="AH324" s="40" t="s">
        <v>977</v>
      </c>
      <c r="AI324" s="40"/>
      <c r="AJ324" s="87"/>
      <c r="AK324" s="40" t="s">
        <v>1387</v>
      </c>
      <c r="AL324" s="40"/>
      <c r="AM324" s="40"/>
      <c r="AN324" s="87">
        <v>45818</v>
      </c>
      <c r="AO324" s="87">
        <v>46052</v>
      </c>
      <c r="AP324" s="87">
        <v>46081</v>
      </c>
      <c r="AQ324" s="87">
        <v>46082</v>
      </c>
      <c r="AR324" s="107"/>
      <c r="AS324" s="107"/>
      <c r="AT324" s="102" t="s">
        <v>2634</v>
      </c>
      <c r="AU324" s="108" t="s">
        <v>2635</v>
      </c>
      <c r="AV324" s="106"/>
      <c r="AW324" s="105"/>
      <c r="AX324" s="109" t="str">
        <f>IFERROR(IF(PAC!$X324="F01 - CAPTAÇÃO DE RECURSO",1,""),"")</f>
        <v/>
      </c>
      <c r="AY324" s="109">
        <f>IFERROR(IF(PAC!$X324="F02 - LICITAÇÃO",1,""),"")</f>
        <v>1</v>
      </c>
      <c r="AZ324" s="110" t="str">
        <f>IFERROR(IF(PAC!$X$6:$X$581="F03 - EXECUÇÃO DO OBJETO",1,""),"")</f>
        <v/>
      </c>
      <c r="BA324" s="110" t="str">
        <f>IFERROR(IF(PAC!$X$6:$X$581="F04 - CONCLUÍDA",1,""),"")</f>
        <v/>
      </c>
      <c r="BB324" s="111">
        <f>IF(PAC!$R324&gt;0,0,PAC!$Q324)</f>
        <v>0</v>
      </c>
    </row>
    <row r="325" spans="1:54" s="1" customFormat="1" ht="357" hidden="1" customHeight="1" thickBot="1">
      <c r="A325" s="112">
        <f t="shared" ref="A325:A388" si="5">ROW()-5</f>
        <v>320</v>
      </c>
      <c r="B325" s="113">
        <v>2023</v>
      </c>
      <c r="C325" s="112" t="s">
        <v>1495</v>
      </c>
      <c r="D325" s="112" t="s">
        <v>1010</v>
      </c>
      <c r="E325" s="114" t="s">
        <v>2259</v>
      </c>
      <c r="F325" s="112" t="s">
        <v>611</v>
      </c>
      <c r="G325" s="112" t="s">
        <v>1808</v>
      </c>
      <c r="H325" s="115" t="s">
        <v>1244</v>
      </c>
      <c r="I325" s="112" t="s">
        <v>603</v>
      </c>
      <c r="J325" s="112" t="s">
        <v>2258</v>
      </c>
      <c r="K325" s="31">
        <v>330000000</v>
      </c>
      <c r="L325" s="31"/>
      <c r="M325" s="31"/>
      <c r="N325" s="31">
        <v>16500000</v>
      </c>
      <c r="O325" s="31"/>
      <c r="P325" s="31">
        <v>330000000</v>
      </c>
      <c r="Q325" s="33">
        <f>SUM(PAC!$M325:$P325)</f>
        <v>346500000</v>
      </c>
      <c r="R325" s="33"/>
      <c r="S325" s="33">
        <f>IF(PAC!$R325&gt;0,PAC!$R325,PAC!$Q325)</f>
        <v>346500000</v>
      </c>
      <c r="T325" s="33"/>
      <c r="U325" s="116" t="s">
        <v>594</v>
      </c>
      <c r="V325" s="116" t="s">
        <v>1764</v>
      </c>
      <c r="W325" s="117">
        <v>12</v>
      </c>
      <c r="X325" s="117" t="s">
        <v>1419</v>
      </c>
      <c r="Y325" s="113" t="s">
        <v>2476</v>
      </c>
      <c r="Z325" s="118"/>
      <c r="AA325" s="119"/>
      <c r="AB325" s="115" t="s">
        <v>1508</v>
      </c>
      <c r="AC325" s="115" t="s">
        <v>2287</v>
      </c>
      <c r="AD325" s="120"/>
      <c r="AE325" s="114" t="s">
        <v>1756</v>
      </c>
      <c r="AF325" s="115" t="s">
        <v>986</v>
      </c>
      <c r="AG325" s="115"/>
      <c r="AH325" s="115"/>
      <c r="AI325" s="115"/>
      <c r="AJ325" s="118"/>
      <c r="AK325" s="115"/>
      <c r="AL325" s="115"/>
      <c r="AM325" s="115" t="s">
        <v>716</v>
      </c>
      <c r="AN325" s="118"/>
      <c r="AO325" s="118"/>
      <c r="AP325" s="118"/>
      <c r="AQ325" s="118"/>
      <c r="AR325" s="121"/>
      <c r="AS325" s="121"/>
      <c r="AT325" s="114" t="s">
        <v>2177</v>
      </c>
      <c r="AU325" s="122" t="s">
        <v>2178</v>
      </c>
      <c r="AV325" s="120"/>
      <c r="AW325" s="119"/>
      <c r="AX325" s="194">
        <f>IFERROR(IF(PAC!$X325="F01 - CAPTAÇÃO DE RECURSO",1,""),"")</f>
        <v>1</v>
      </c>
      <c r="AY325" s="194" t="str">
        <f>IFERROR(IF(PAC!$X325="F02 - LICITAÇÃO",1,""),"")</f>
        <v/>
      </c>
      <c r="AZ325" s="123" t="str">
        <f>IFERROR(IF(PAC!$X$6:$X$581="F03 - EXECUÇÃO DO OBJETO",1,""),"")</f>
        <v/>
      </c>
      <c r="BA325" s="123" t="str">
        <f>IFERROR(IF(PAC!$X$6:$X$581="F04 - CONCLUÍDA",1,""),"")</f>
        <v/>
      </c>
      <c r="BB325" s="191">
        <f>IF(PAC!$R325&gt;0,0,PAC!$Q325)</f>
        <v>346500000</v>
      </c>
    </row>
    <row r="326" spans="1:54" s="1" customFormat="1" ht="336" hidden="1" customHeight="1" thickBot="1">
      <c r="A326" s="88">
        <f t="shared" si="5"/>
        <v>321</v>
      </c>
      <c r="B326" s="88">
        <v>2025</v>
      </c>
      <c r="C326" s="88" t="s">
        <v>1495</v>
      </c>
      <c r="D326" s="88" t="s">
        <v>1010</v>
      </c>
      <c r="E326" s="89" t="s">
        <v>2260</v>
      </c>
      <c r="F326" s="40" t="s">
        <v>611</v>
      </c>
      <c r="G326" s="40" t="s">
        <v>1410</v>
      </c>
      <c r="H326" s="88" t="s">
        <v>1244</v>
      </c>
      <c r="I326" s="88" t="s">
        <v>603</v>
      </c>
      <c r="J326" s="88" t="s">
        <v>2258</v>
      </c>
      <c r="K326" s="18">
        <v>384000000</v>
      </c>
      <c r="L326" s="18"/>
      <c r="M326" s="18"/>
      <c r="N326" s="18"/>
      <c r="O326" s="18"/>
      <c r="P326" s="18">
        <v>384000000</v>
      </c>
      <c r="Q326" s="20">
        <f>SUM(PAC!$M326:$P326)</f>
        <v>384000000</v>
      </c>
      <c r="R326" s="20"/>
      <c r="S326" s="20">
        <f>IF(PAC!$R326&gt;0,PAC!$R326,PAC!$Q326)</f>
        <v>384000000</v>
      </c>
      <c r="T326" s="20"/>
      <c r="U326" s="103" t="s">
        <v>594</v>
      </c>
      <c r="V326" s="103" t="s">
        <v>1764</v>
      </c>
      <c r="W326" s="104">
        <v>12</v>
      </c>
      <c r="X326" s="104" t="s">
        <v>1419</v>
      </c>
      <c r="Y326" s="101" t="s">
        <v>2476</v>
      </c>
      <c r="Z326" s="87"/>
      <c r="AA326" s="105"/>
      <c r="AB326" s="40" t="s">
        <v>1508</v>
      </c>
      <c r="AC326" s="40" t="s">
        <v>2287</v>
      </c>
      <c r="AD326" s="106"/>
      <c r="AE326" s="102" t="s">
        <v>1755</v>
      </c>
      <c r="AF326" s="40" t="s">
        <v>1392</v>
      </c>
      <c r="AG326" s="40"/>
      <c r="AH326" s="40"/>
      <c r="AI326" s="40"/>
      <c r="AJ326" s="87"/>
      <c r="AK326" s="40"/>
      <c r="AL326" s="40"/>
      <c r="AM326" s="40"/>
      <c r="AN326" s="87"/>
      <c r="AO326" s="87"/>
      <c r="AP326" s="87"/>
      <c r="AQ326" s="87"/>
      <c r="AR326" s="107"/>
      <c r="AS326" s="107"/>
      <c r="AT326" s="102" t="s">
        <v>1927</v>
      </c>
      <c r="AU326" s="108" t="s">
        <v>1928</v>
      </c>
      <c r="AV326" s="106"/>
      <c r="AW326" s="105"/>
      <c r="AX326" s="109">
        <f>IFERROR(IF(PAC!$X326="F01 - CAPTAÇÃO DE RECURSO",1,""),"")</f>
        <v>1</v>
      </c>
      <c r="AY326" s="109" t="str">
        <f>IFERROR(IF(PAC!$X326="F02 - LICITAÇÃO",1,""),"")</f>
        <v/>
      </c>
      <c r="AZ326" s="110" t="str">
        <f>IFERROR(IF(PAC!$X$6:$X$581="F03 - EXECUÇÃO DO OBJETO",1,""),"")</f>
        <v/>
      </c>
      <c r="BA326" s="110" t="str">
        <f>IFERROR(IF(PAC!$X$6:$X$581="F04 - CONCLUÍDA",1,""),"")</f>
        <v/>
      </c>
      <c r="BB326" s="111">
        <f>IF(PAC!$R326&gt;0,0,PAC!$Q326)</f>
        <v>384000000</v>
      </c>
    </row>
    <row r="327" spans="1:54" s="1" customFormat="1" ht="409.5" hidden="1" customHeight="1" thickBot="1">
      <c r="A327" s="112">
        <f t="shared" si="5"/>
        <v>322</v>
      </c>
      <c r="B327" s="135">
        <v>2023</v>
      </c>
      <c r="C327" s="134" t="s">
        <v>610</v>
      </c>
      <c r="D327" s="134" t="s">
        <v>1010</v>
      </c>
      <c r="E327" s="136" t="s">
        <v>1691</v>
      </c>
      <c r="F327" s="134" t="s">
        <v>450</v>
      </c>
      <c r="G327" s="134" t="s">
        <v>513</v>
      </c>
      <c r="H327" s="137" t="s">
        <v>1247</v>
      </c>
      <c r="I327" s="134" t="s">
        <v>1239</v>
      </c>
      <c r="J327" s="134" t="s">
        <v>361</v>
      </c>
      <c r="K327" s="138"/>
      <c r="L327" s="138">
        <v>2000000</v>
      </c>
      <c r="M327" s="138">
        <v>800000</v>
      </c>
      <c r="N327" s="138"/>
      <c r="O327" s="138"/>
      <c r="P327" s="138"/>
      <c r="Q327" s="33">
        <f>SUM(PAC!$M327:$P327)</f>
        <v>800000</v>
      </c>
      <c r="R327" s="139"/>
      <c r="S327" s="33">
        <f>IF(PAC!$R327&gt;0,PAC!$R327,PAC!$Q327)</f>
        <v>800000</v>
      </c>
      <c r="T327" s="139"/>
      <c r="U327" s="140" t="s">
        <v>1570</v>
      </c>
      <c r="V327" s="140"/>
      <c r="W327" s="141">
        <v>8</v>
      </c>
      <c r="X327" s="141" t="s">
        <v>1419</v>
      </c>
      <c r="Y327" s="113" t="s">
        <v>2473</v>
      </c>
      <c r="Z327" s="142"/>
      <c r="AA327" s="143"/>
      <c r="AB327" s="137" t="s">
        <v>1463</v>
      </c>
      <c r="AC327" s="137" t="s">
        <v>2461</v>
      </c>
      <c r="AD327" s="144"/>
      <c r="AE327" s="145" t="s">
        <v>2422</v>
      </c>
      <c r="AF327" s="137" t="s">
        <v>498</v>
      </c>
      <c r="AG327" s="137"/>
      <c r="AH327" s="137" t="s">
        <v>977</v>
      </c>
      <c r="AI327" s="137"/>
      <c r="AJ327" s="142"/>
      <c r="AK327" s="137" t="s">
        <v>1030</v>
      </c>
      <c r="AL327" s="137" t="s">
        <v>1319</v>
      </c>
      <c r="AM327" s="137"/>
      <c r="AN327" s="142"/>
      <c r="AO327" s="142"/>
      <c r="AP327" s="142"/>
      <c r="AQ327" s="142"/>
      <c r="AR327" s="146"/>
      <c r="AS327" s="146"/>
      <c r="AT327" s="136" t="s">
        <v>638</v>
      </c>
      <c r="AU327" s="147"/>
      <c r="AV327" s="144"/>
      <c r="AW327" s="143"/>
      <c r="AX327" s="194">
        <f>IFERROR(IF(PAC!$X327="F01 - CAPTAÇÃO DE RECURSO",1,""),"")</f>
        <v>1</v>
      </c>
      <c r="AY327" s="194" t="str">
        <f>IFERROR(IF(PAC!$X327="F02 - LICITAÇÃO",1,""),"")</f>
        <v/>
      </c>
      <c r="AZ327" s="123" t="str">
        <f>IFERROR(IF(PAC!$X$6:$X$581="F03 - EXECUÇÃO DO OBJETO",1,""),"")</f>
        <v/>
      </c>
      <c r="BA327" s="123" t="str">
        <f>IFERROR(IF(PAC!$X$6:$X$581="F04 - CONCLUÍDA",1,""),"")</f>
        <v/>
      </c>
      <c r="BB327" s="191">
        <f>IF(PAC!$R327&gt;0,0,PAC!$Q327)</f>
        <v>800000</v>
      </c>
    </row>
    <row r="328" spans="1:54" s="1" customFormat="1" ht="336" hidden="1" customHeight="1" thickBot="1">
      <c r="A328" s="88">
        <f t="shared" si="5"/>
        <v>323</v>
      </c>
      <c r="B328" s="148">
        <v>2023</v>
      </c>
      <c r="C328" s="71" t="s">
        <v>610</v>
      </c>
      <c r="D328" s="71" t="s">
        <v>1010</v>
      </c>
      <c r="E328" s="149" t="s">
        <v>1690</v>
      </c>
      <c r="F328" s="71" t="s">
        <v>450</v>
      </c>
      <c r="G328" s="71" t="s">
        <v>513</v>
      </c>
      <c r="H328" s="150" t="s">
        <v>1242</v>
      </c>
      <c r="I328" s="71" t="s">
        <v>1238</v>
      </c>
      <c r="J328" s="71" t="s">
        <v>361</v>
      </c>
      <c r="K328" s="151"/>
      <c r="L328" s="151">
        <v>2953821.87</v>
      </c>
      <c r="M328" s="151">
        <v>1000000</v>
      </c>
      <c r="N328" s="151"/>
      <c r="O328" s="151"/>
      <c r="P328" s="151"/>
      <c r="Q328" s="20">
        <f>SUM(PAC!$M328:$P328)</f>
        <v>1000000</v>
      </c>
      <c r="R328" s="152"/>
      <c r="S328" s="20">
        <f>IF(PAC!$R328&gt;0,PAC!$R328,PAC!$Q328)</f>
        <v>1000000</v>
      </c>
      <c r="T328" s="152"/>
      <c r="U328" s="153" t="s">
        <v>1570</v>
      </c>
      <c r="V328" s="153"/>
      <c r="W328" s="154">
        <v>9</v>
      </c>
      <c r="X328" s="154" t="s">
        <v>1418</v>
      </c>
      <c r="Y328" s="101" t="s">
        <v>2472</v>
      </c>
      <c r="Z328" s="155"/>
      <c r="AA328" s="156"/>
      <c r="AB328" s="150" t="s">
        <v>1464</v>
      </c>
      <c r="AC328" s="150" t="s">
        <v>2387</v>
      </c>
      <c r="AD328" s="106"/>
      <c r="AE328" s="149" t="s">
        <v>1526</v>
      </c>
      <c r="AF328" s="150" t="s">
        <v>497</v>
      </c>
      <c r="AG328" s="150" t="s">
        <v>669</v>
      </c>
      <c r="AH328" s="150" t="s">
        <v>977</v>
      </c>
      <c r="AI328" s="150"/>
      <c r="AJ328" s="155"/>
      <c r="AK328" s="150" t="s">
        <v>1032</v>
      </c>
      <c r="AL328" s="150" t="s">
        <v>1070</v>
      </c>
      <c r="AM328" s="150"/>
      <c r="AN328" s="155">
        <v>46102</v>
      </c>
      <c r="AO328" s="155">
        <v>46176</v>
      </c>
      <c r="AP328" s="155"/>
      <c r="AQ328" s="155"/>
      <c r="AR328" s="157"/>
      <c r="AS328" s="157"/>
      <c r="AT328" s="149" t="s">
        <v>1746</v>
      </c>
      <c r="AU328" s="150" t="s">
        <v>2366</v>
      </c>
      <c r="AV328" s="158"/>
      <c r="AW328" s="156"/>
      <c r="AX328" s="109" t="str">
        <f>IFERROR(IF(PAC!$X328="F01 - CAPTAÇÃO DE RECURSO",1,""),"")</f>
        <v/>
      </c>
      <c r="AY328" s="109">
        <f>IFERROR(IF(PAC!$X328="F02 - LICITAÇÃO",1,""),"")</f>
        <v>1</v>
      </c>
      <c r="AZ328" s="110" t="str">
        <f>IFERROR(IF(PAC!$X$6:$X$581="F03 - EXECUÇÃO DO OBJETO",1,""),"")</f>
        <v/>
      </c>
      <c r="BA328" s="110" t="str">
        <f>IFERROR(IF(PAC!$X$6:$X$581="F04 - CONCLUÍDA",1,""),"")</f>
        <v/>
      </c>
      <c r="BB328" s="111">
        <f>IF(PAC!$R328&gt;0,0,PAC!$Q328)</f>
        <v>1000000</v>
      </c>
    </row>
    <row r="329" spans="1:54" s="1" customFormat="1" ht="243" hidden="1" customHeight="1" thickBot="1">
      <c r="A329" s="112">
        <f t="shared" si="5"/>
        <v>324</v>
      </c>
      <c r="B329" s="135">
        <v>2023</v>
      </c>
      <c r="C329" s="134" t="s">
        <v>610</v>
      </c>
      <c r="D329" s="134" t="s">
        <v>1010</v>
      </c>
      <c r="E329" s="136" t="s">
        <v>495</v>
      </c>
      <c r="F329" s="134" t="s">
        <v>450</v>
      </c>
      <c r="G329" s="134" t="s">
        <v>513</v>
      </c>
      <c r="H329" s="137" t="s">
        <v>1242</v>
      </c>
      <c r="I329" s="134" t="s">
        <v>593</v>
      </c>
      <c r="J329" s="134" t="s">
        <v>361</v>
      </c>
      <c r="K329" s="138"/>
      <c r="L329" s="138">
        <v>1774450.37</v>
      </c>
      <c r="M329" s="138">
        <v>1000000</v>
      </c>
      <c r="N329" s="138"/>
      <c r="O329" s="138"/>
      <c r="P329" s="138"/>
      <c r="Q329" s="33">
        <f>SUM(PAC!$M329:$P329)</f>
        <v>1000000</v>
      </c>
      <c r="R329" s="139">
        <v>1000000</v>
      </c>
      <c r="S329" s="33">
        <f>IF(PAC!$R329&gt;0,PAC!$R329,PAC!$Q329)</f>
        <v>1000000</v>
      </c>
      <c r="T329" s="139" t="s">
        <v>2424</v>
      </c>
      <c r="U329" s="140" t="s">
        <v>1570</v>
      </c>
      <c r="V329" s="140"/>
      <c r="W329" s="141">
        <v>9</v>
      </c>
      <c r="X329" s="141" t="s">
        <v>1418</v>
      </c>
      <c r="Y329" s="113" t="s">
        <v>2470</v>
      </c>
      <c r="Z329" s="142"/>
      <c r="AA329" s="143"/>
      <c r="AB329" s="137" t="s">
        <v>1472</v>
      </c>
      <c r="AC329" s="137" t="s">
        <v>2558</v>
      </c>
      <c r="AD329" s="144"/>
      <c r="AE329" s="136" t="s">
        <v>2423</v>
      </c>
      <c r="AF329" s="137" t="s">
        <v>496</v>
      </c>
      <c r="AG329" s="137" t="s">
        <v>674</v>
      </c>
      <c r="AH329" s="137" t="s">
        <v>977</v>
      </c>
      <c r="AI329" s="137"/>
      <c r="AJ329" s="142"/>
      <c r="AK329" s="137" t="s">
        <v>1033</v>
      </c>
      <c r="AL329" s="137" t="s">
        <v>1318</v>
      </c>
      <c r="AM329" s="137"/>
      <c r="AN329" s="142">
        <v>46087</v>
      </c>
      <c r="AO329" s="142">
        <v>46127</v>
      </c>
      <c r="AP329" s="142">
        <v>46170</v>
      </c>
      <c r="AQ329" s="142">
        <v>46237</v>
      </c>
      <c r="AR329" s="146"/>
      <c r="AS329" s="146"/>
      <c r="AT329" s="136" t="s">
        <v>1742</v>
      </c>
      <c r="AU329" s="147" t="s">
        <v>2012</v>
      </c>
      <c r="AV329" s="144"/>
      <c r="AW329" s="143"/>
      <c r="AX329" s="194" t="str">
        <f>IFERROR(IF(PAC!$X329="F01 - CAPTAÇÃO DE RECURSO",1,""),"")</f>
        <v/>
      </c>
      <c r="AY329" s="194">
        <f>IFERROR(IF(PAC!$X329="F02 - LICITAÇÃO",1,""),"")</f>
        <v>1</v>
      </c>
      <c r="AZ329" s="123" t="str">
        <f>IFERROR(IF(PAC!$X$6:$X$581="F03 - EXECUÇÃO DO OBJETO",1,""),"")</f>
        <v/>
      </c>
      <c r="BA329" s="123" t="str">
        <f>IFERROR(IF(PAC!$X$6:$X$581="F04 - CONCLUÍDA",1,""),"")</f>
        <v/>
      </c>
      <c r="BB329" s="191">
        <f>IF(PAC!$R329&gt;0,0,PAC!$Q329)</f>
        <v>0</v>
      </c>
    </row>
    <row r="330" spans="1:54" s="1" customFormat="1" ht="219" hidden="1" customHeight="1" thickBot="1">
      <c r="A330" s="88">
        <f t="shared" si="5"/>
        <v>325</v>
      </c>
      <c r="B330" s="148">
        <v>2023</v>
      </c>
      <c r="C330" s="71" t="s">
        <v>610</v>
      </c>
      <c r="D330" s="71" t="s">
        <v>1010</v>
      </c>
      <c r="E330" s="149" t="s">
        <v>508</v>
      </c>
      <c r="F330" s="71" t="s">
        <v>450</v>
      </c>
      <c r="G330" s="71" t="s">
        <v>513</v>
      </c>
      <c r="H330" s="150" t="s">
        <v>1242</v>
      </c>
      <c r="I330" s="71" t="s">
        <v>593</v>
      </c>
      <c r="J330" s="71" t="s">
        <v>361</v>
      </c>
      <c r="K330" s="151"/>
      <c r="L330" s="151">
        <v>2000000</v>
      </c>
      <c r="M330" s="151">
        <v>150000</v>
      </c>
      <c r="N330" s="151"/>
      <c r="O330" s="151"/>
      <c r="P330" s="151"/>
      <c r="Q330" s="20">
        <f>SUM(PAC!$M330:$P330)</f>
        <v>150000</v>
      </c>
      <c r="R330" s="152">
        <v>187500</v>
      </c>
      <c r="S330" s="20">
        <f>IF(PAC!$R330&gt;0,PAC!$R330,PAC!$Q330)</f>
        <v>187500</v>
      </c>
      <c r="T330" s="152" t="s">
        <v>2424</v>
      </c>
      <c r="U330" s="153" t="s">
        <v>1570</v>
      </c>
      <c r="V330" s="153"/>
      <c r="W330" s="154">
        <v>9</v>
      </c>
      <c r="X330" s="154" t="s">
        <v>1418</v>
      </c>
      <c r="Y330" s="101" t="s">
        <v>2470</v>
      </c>
      <c r="Z330" s="155"/>
      <c r="AA330" s="156"/>
      <c r="AB330" s="150" t="s">
        <v>1472</v>
      </c>
      <c r="AC330" s="150" t="s">
        <v>2558</v>
      </c>
      <c r="AD330" s="158"/>
      <c r="AE330" s="149" t="s">
        <v>1984</v>
      </c>
      <c r="AF330" s="150" t="s">
        <v>499</v>
      </c>
      <c r="AG330" s="150" t="s">
        <v>675</v>
      </c>
      <c r="AH330" s="150" t="s">
        <v>977</v>
      </c>
      <c r="AI330" s="150"/>
      <c r="AJ330" s="155"/>
      <c r="AK330" s="150" t="s">
        <v>1034</v>
      </c>
      <c r="AL330" s="150" t="s">
        <v>1320</v>
      </c>
      <c r="AM330" s="150"/>
      <c r="AN330" s="155">
        <v>46087</v>
      </c>
      <c r="AO330" s="155">
        <v>46132</v>
      </c>
      <c r="AP330" s="155">
        <v>46175</v>
      </c>
      <c r="AQ330" s="155">
        <v>46254</v>
      </c>
      <c r="AR330" s="157"/>
      <c r="AS330" s="157"/>
      <c r="AT330" s="149" t="s">
        <v>1743</v>
      </c>
      <c r="AU330" s="159" t="s">
        <v>2013</v>
      </c>
      <c r="AV330" s="158"/>
      <c r="AW330" s="156"/>
      <c r="AX330" s="109" t="str">
        <f>IFERROR(IF(PAC!$X330="F01 - CAPTAÇÃO DE RECURSO",1,""),"")</f>
        <v/>
      </c>
      <c r="AY330" s="109">
        <f>IFERROR(IF(PAC!$X330="F02 - LICITAÇÃO",1,""),"")</f>
        <v>1</v>
      </c>
      <c r="AZ330" s="110" t="str">
        <f>IFERROR(IF(PAC!$X$6:$X$581="F03 - EXECUÇÃO DO OBJETO",1,""),"")</f>
        <v/>
      </c>
      <c r="BA330" s="110" t="str">
        <f>IFERROR(IF(PAC!$X$6:$X$581="F04 - CONCLUÍDA",1,""),"")</f>
        <v/>
      </c>
      <c r="BB330" s="111">
        <f>IF(PAC!$R330&gt;0,0,PAC!$Q330)</f>
        <v>0</v>
      </c>
    </row>
    <row r="331" spans="1:54" s="1" customFormat="1" ht="186" hidden="1" customHeight="1" thickBot="1">
      <c r="A331" s="112">
        <f t="shared" si="5"/>
        <v>326</v>
      </c>
      <c r="B331" s="135">
        <v>2023</v>
      </c>
      <c r="C331" s="134" t="s">
        <v>610</v>
      </c>
      <c r="D331" s="134" t="s">
        <v>1010</v>
      </c>
      <c r="E331" s="136" t="s">
        <v>1689</v>
      </c>
      <c r="F331" s="134" t="s">
        <v>450</v>
      </c>
      <c r="G331" s="134" t="s">
        <v>513</v>
      </c>
      <c r="H331" s="137" t="s">
        <v>1242</v>
      </c>
      <c r="I331" s="134" t="s">
        <v>593</v>
      </c>
      <c r="J331" s="134" t="s">
        <v>361</v>
      </c>
      <c r="K331" s="138"/>
      <c r="L331" s="138">
        <v>3500000</v>
      </c>
      <c r="M331" s="138">
        <v>187500</v>
      </c>
      <c r="N331" s="138"/>
      <c r="O331" s="138"/>
      <c r="P331" s="138"/>
      <c r="Q331" s="33">
        <f>SUM(PAC!$M331:$P331)</f>
        <v>187500</v>
      </c>
      <c r="R331" s="139">
        <v>187500</v>
      </c>
      <c r="S331" s="33">
        <f>IF(PAC!$R331&gt;0,PAC!$R331,PAC!$Q331)</f>
        <v>187500</v>
      </c>
      <c r="T331" s="139" t="s">
        <v>2425</v>
      </c>
      <c r="U331" s="140" t="s">
        <v>1570</v>
      </c>
      <c r="V331" s="140"/>
      <c r="W331" s="141">
        <v>9</v>
      </c>
      <c r="X331" s="141" t="s">
        <v>1418</v>
      </c>
      <c r="Y331" s="113" t="s">
        <v>2470</v>
      </c>
      <c r="Z331" s="142"/>
      <c r="AA331" s="143"/>
      <c r="AB331" s="137" t="s">
        <v>1472</v>
      </c>
      <c r="AC331" s="137" t="s">
        <v>2558</v>
      </c>
      <c r="AD331" s="144"/>
      <c r="AE331" s="136" t="s">
        <v>2559</v>
      </c>
      <c r="AF331" s="137" t="s">
        <v>500</v>
      </c>
      <c r="AG331" s="137" t="s">
        <v>676</v>
      </c>
      <c r="AH331" s="137" t="s">
        <v>977</v>
      </c>
      <c r="AI331" s="137"/>
      <c r="AJ331" s="142"/>
      <c r="AK331" s="137" t="s">
        <v>1035</v>
      </c>
      <c r="AL331" s="137" t="s">
        <v>1321</v>
      </c>
      <c r="AM331" s="137"/>
      <c r="AN331" s="142">
        <v>46087</v>
      </c>
      <c r="AO331" s="142">
        <v>46129</v>
      </c>
      <c r="AP331" s="142">
        <v>46182</v>
      </c>
      <c r="AQ331" s="142">
        <v>46238</v>
      </c>
      <c r="AR331" s="146"/>
      <c r="AS331" s="146"/>
      <c r="AT331" s="136" t="s">
        <v>1744</v>
      </c>
      <c r="AU331" s="147" t="s">
        <v>2014</v>
      </c>
      <c r="AV331" s="144"/>
      <c r="AW331" s="143"/>
      <c r="AX331" s="194" t="str">
        <f>IFERROR(IF(PAC!$X331="F01 - CAPTAÇÃO DE RECURSO",1,""),"")</f>
        <v/>
      </c>
      <c r="AY331" s="194">
        <f>IFERROR(IF(PAC!$X331="F02 - LICITAÇÃO",1,""),"")</f>
        <v>1</v>
      </c>
      <c r="AZ331" s="123" t="str">
        <f>IFERROR(IF(PAC!$X$6:$X$581="F03 - EXECUÇÃO DO OBJETO",1,""),"")</f>
        <v/>
      </c>
      <c r="BA331" s="123" t="str">
        <f>IFERROR(IF(PAC!$X$6:$X$581="F04 - CONCLUÍDA",1,""),"")</f>
        <v/>
      </c>
      <c r="BB331" s="191">
        <f>IF(PAC!$R331&gt;0,0,PAC!$Q331)</f>
        <v>0</v>
      </c>
    </row>
    <row r="332" spans="1:54" s="1" customFormat="1" ht="409.6" hidden="1" thickBot="1">
      <c r="A332" s="88">
        <f t="shared" si="5"/>
        <v>327</v>
      </c>
      <c r="B332" s="148">
        <v>2023</v>
      </c>
      <c r="C332" s="71" t="s">
        <v>610</v>
      </c>
      <c r="D332" s="71" t="s">
        <v>1010</v>
      </c>
      <c r="E332" s="149" t="s">
        <v>1688</v>
      </c>
      <c r="F332" s="71" t="s">
        <v>450</v>
      </c>
      <c r="G332" s="71" t="s">
        <v>513</v>
      </c>
      <c r="H332" s="150" t="s">
        <v>1242</v>
      </c>
      <c r="I332" s="71" t="s">
        <v>593</v>
      </c>
      <c r="J332" s="71" t="s">
        <v>374</v>
      </c>
      <c r="K332" s="151"/>
      <c r="L332" s="151">
        <v>2500000</v>
      </c>
      <c r="M332" s="151">
        <v>312500</v>
      </c>
      <c r="N332" s="151"/>
      <c r="O332" s="151"/>
      <c r="P332" s="151"/>
      <c r="Q332" s="20">
        <f>SUM(PAC!$M332:$P332)</f>
        <v>312500</v>
      </c>
      <c r="R332" s="152">
        <v>251000</v>
      </c>
      <c r="S332" s="20">
        <f>IF(PAC!$R332&gt;0,PAC!$R332,PAC!$Q332)</f>
        <v>251000</v>
      </c>
      <c r="T332" s="152" t="s">
        <v>2357</v>
      </c>
      <c r="U332" s="153" t="s">
        <v>1570</v>
      </c>
      <c r="V332" s="153"/>
      <c r="W332" s="154">
        <v>9</v>
      </c>
      <c r="X332" s="154" t="s">
        <v>1418</v>
      </c>
      <c r="Y332" s="101" t="s">
        <v>2470</v>
      </c>
      <c r="Z332" s="155"/>
      <c r="AA332" s="156"/>
      <c r="AB332" s="150" t="s">
        <v>1464</v>
      </c>
      <c r="AC332" s="150" t="s">
        <v>2558</v>
      </c>
      <c r="AD332" s="158"/>
      <c r="AE332" s="149"/>
      <c r="AF332" s="150" t="s">
        <v>501</v>
      </c>
      <c r="AG332" s="150" t="s">
        <v>1323</v>
      </c>
      <c r="AH332" s="150" t="s">
        <v>977</v>
      </c>
      <c r="AI332" s="150"/>
      <c r="AJ332" s="155"/>
      <c r="AK332" s="150" t="s">
        <v>1031</v>
      </c>
      <c r="AL332" s="150" t="s">
        <v>1322</v>
      </c>
      <c r="AM332" s="150"/>
      <c r="AN332" s="155">
        <v>46087</v>
      </c>
      <c r="AO332" s="155">
        <v>46128</v>
      </c>
      <c r="AP332" s="155">
        <v>46211</v>
      </c>
      <c r="AQ332" s="155">
        <v>46254</v>
      </c>
      <c r="AR332" s="157"/>
      <c r="AS332" s="157"/>
      <c r="AT332" s="149" t="s">
        <v>1745</v>
      </c>
      <c r="AU332" s="159" t="s">
        <v>2345</v>
      </c>
      <c r="AV332" s="158"/>
      <c r="AW332" s="156"/>
      <c r="AX332" s="109" t="str">
        <f>IFERROR(IF(PAC!$X332="F01 - CAPTAÇÃO DE RECURSO",1,""),"")</f>
        <v/>
      </c>
      <c r="AY332" s="109">
        <f>IFERROR(IF(PAC!$X332="F02 - LICITAÇÃO",1,""),"")</f>
        <v>1</v>
      </c>
      <c r="AZ332" s="110" t="str">
        <f>IFERROR(IF(PAC!$X$6:$X$581="F03 - EXECUÇÃO DO OBJETO",1,""),"")</f>
        <v/>
      </c>
      <c r="BA332" s="110" t="str">
        <f>IFERROR(IF(PAC!$X$6:$X$581="F04 - CONCLUÍDA",1,""),"")</f>
        <v/>
      </c>
      <c r="BB332" s="111">
        <f>IF(PAC!$R332&gt;0,0,PAC!$Q332)</f>
        <v>0</v>
      </c>
    </row>
    <row r="333" spans="1:54" s="1" customFormat="1" ht="189.75" hidden="1" thickBot="1">
      <c r="A333" s="112">
        <f t="shared" si="5"/>
        <v>328</v>
      </c>
      <c r="B333" s="113">
        <v>2023</v>
      </c>
      <c r="C333" s="112" t="s">
        <v>605</v>
      </c>
      <c r="D333" s="112" t="s">
        <v>1010</v>
      </c>
      <c r="E333" s="114" t="s">
        <v>2439</v>
      </c>
      <c r="F333" s="112" t="s">
        <v>577</v>
      </c>
      <c r="G333" s="112" t="s">
        <v>546</v>
      </c>
      <c r="H333" s="115" t="s">
        <v>1244</v>
      </c>
      <c r="I333" s="112" t="s">
        <v>1238</v>
      </c>
      <c r="J333" s="112" t="s">
        <v>361</v>
      </c>
      <c r="K333" s="31"/>
      <c r="L333" s="31">
        <v>313065385.93000001</v>
      </c>
      <c r="M333" s="31">
        <v>38896848.350000001</v>
      </c>
      <c r="N333" s="31"/>
      <c r="O333" s="31"/>
      <c r="P333" s="31"/>
      <c r="Q333" s="33">
        <f>SUM(PAC!$M333:$P333)</f>
        <v>38896848.350000001</v>
      </c>
      <c r="R333" s="33">
        <v>33062321.129999999</v>
      </c>
      <c r="S333" s="33">
        <f>IF(PAC!$R333&gt;0,PAC!$R333,PAC!$Q333)</f>
        <v>33062321.129999999</v>
      </c>
      <c r="T333" s="33" t="s">
        <v>2328</v>
      </c>
      <c r="U333" s="116" t="s">
        <v>1570</v>
      </c>
      <c r="V333" s="116"/>
      <c r="W333" s="117">
        <v>28</v>
      </c>
      <c r="X333" s="117" t="s">
        <v>1694</v>
      </c>
      <c r="Y333" s="113" t="s">
        <v>2470</v>
      </c>
      <c r="Z333" s="118">
        <v>46902</v>
      </c>
      <c r="AA333" s="119"/>
      <c r="AB333" s="115" t="s">
        <v>1472</v>
      </c>
      <c r="AC333" s="160" t="s">
        <v>2637</v>
      </c>
      <c r="AD333" s="120"/>
      <c r="AE333" s="114" t="s">
        <v>2363</v>
      </c>
      <c r="AF333" s="115" t="s">
        <v>552</v>
      </c>
      <c r="AG333" s="115" t="s">
        <v>2430</v>
      </c>
      <c r="AH333" s="115" t="s">
        <v>977</v>
      </c>
      <c r="AI333" s="114"/>
      <c r="AJ333" s="118"/>
      <c r="AK333" s="115" t="s">
        <v>2359</v>
      </c>
      <c r="AL333" s="115"/>
      <c r="AM333" s="115"/>
      <c r="AN333" s="118">
        <v>45866</v>
      </c>
      <c r="AO333" s="118">
        <v>45930</v>
      </c>
      <c r="AP333" s="118">
        <v>45979</v>
      </c>
      <c r="AQ333" s="118">
        <v>46051</v>
      </c>
      <c r="AR333" s="121">
        <v>46902</v>
      </c>
      <c r="AS333" s="121">
        <v>46902</v>
      </c>
      <c r="AT333" s="114" t="s">
        <v>1421</v>
      </c>
      <c r="AU333" s="161" t="s">
        <v>1578</v>
      </c>
      <c r="AV333" s="120"/>
      <c r="AW333" s="119"/>
      <c r="AX333" s="194" t="str">
        <f>IFERROR(IF(PAC!$X333="F01 - CAPTAÇÃO DE RECURSO",1,""),"")</f>
        <v/>
      </c>
      <c r="AY333" s="194" t="str">
        <f>IFERROR(IF(PAC!$X333="F02 - LICITAÇÃO",1,""),"")</f>
        <v/>
      </c>
      <c r="AZ333" s="123">
        <f>IFERROR(IF(PAC!$X$6:$X$581="F03 - EXECUÇÃO DO OBJETO",1,""),"")</f>
        <v>1</v>
      </c>
      <c r="BA333" s="123" t="str">
        <f>IFERROR(IF(PAC!$X$6:$X$581="F04 - CONCLUÍDA",1,""),"")</f>
        <v/>
      </c>
      <c r="BB333" s="191">
        <f>IF(PAC!$R333&gt;0,0,PAC!$Q333)</f>
        <v>0</v>
      </c>
    </row>
    <row r="334" spans="1:54" s="1" customFormat="1" ht="192.75" hidden="1" customHeight="1" thickBot="1">
      <c r="A334" s="88">
        <f t="shared" si="5"/>
        <v>329</v>
      </c>
      <c r="B334" s="101">
        <v>2023</v>
      </c>
      <c r="C334" s="88" t="s">
        <v>605</v>
      </c>
      <c r="D334" s="88" t="s">
        <v>1010</v>
      </c>
      <c r="E334" s="102" t="s">
        <v>2440</v>
      </c>
      <c r="F334" s="88" t="s">
        <v>577</v>
      </c>
      <c r="G334" s="88" t="s">
        <v>546</v>
      </c>
      <c r="H334" s="40" t="s">
        <v>1244</v>
      </c>
      <c r="I334" s="88" t="s">
        <v>1238</v>
      </c>
      <c r="J334" s="88" t="s">
        <v>361</v>
      </c>
      <c r="K334" s="18"/>
      <c r="L334" s="18"/>
      <c r="M334" s="18">
        <v>14634916.33</v>
      </c>
      <c r="N334" s="18"/>
      <c r="O334" s="18"/>
      <c r="P334" s="18"/>
      <c r="Q334" s="20">
        <f>SUM(PAC!$M334:$P334)</f>
        <v>14634916.33</v>
      </c>
      <c r="R334" s="20">
        <v>14634916.33</v>
      </c>
      <c r="S334" s="20">
        <f>IF(PAC!$R334&gt;0,PAC!$R334,PAC!$Q334)</f>
        <v>14634916.33</v>
      </c>
      <c r="T334" s="20" t="s">
        <v>2321</v>
      </c>
      <c r="U334" s="103" t="s">
        <v>1570</v>
      </c>
      <c r="V334" s="103"/>
      <c r="W334" s="104">
        <v>20</v>
      </c>
      <c r="X334" s="104" t="s">
        <v>1694</v>
      </c>
      <c r="Y334" s="101" t="s">
        <v>2470</v>
      </c>
      <c r="Z334" s="87">
        <v>46822</v>
      </c>
      <c r="AA334" s="105"/>
      <c r="AB334" s="40" t="s">
        <v>1472</v>
      </c>
      <c r="AC334" s="162" t="s">
        <v>2416</v>
      </c>
      <c r="AD334" s="106"/>
      <c r="AE334" s="102" t="s">
        <v>2363</v>
      </c>
      <c r="AF334" s="40" t="s">
        <v>552</v>
      </c>
      <c r="AG334" s="40" t="s">
        <v>2362</v>
      </c>
      <c r="AH334" s="40" t="s">
        <v>977</v>
      </c>
      <c r="AI334" s="102"/>
      <c r="AJ334" s="87"/>
      <c r="AK334" s="40" t="s">
        <v>2360</v>
      </c>
      <c r="AL334" s="40"/>
      <c r="AM334" s="40"/>
      <c r="AN334" s="87">
        <v>46076</v>
      </c>
      <c r="AO334" s="87">
        <v>46142</v>
      </c>
      <c r="AP334" s="87">
        <v>46190</v>
      </c>
      <c r="AQ334" s="87">
        <v>46213</v>
      </c>
      <c r="AR334" s="107">
        <v>46822</v>
      </c>
      <c r="AS334" s="107">
        <v>46822</v>
      </c>
      <c r="AT334" s="102" t="s">
        <v>1422</v>
      </c>
      <c r="AU334" s="163" t="s">
        <v>1403</v>
      </c>
      <c r="AV334" s="106"/>
      <c r="AW334" s="105"/>
      <c r="AX334" s="109" t="str">
        <f>IFERROR(IF(PAC!$X334="F01 - CAPTAÇÃO DE RECURSO",1,""),"")</f>
        <v/>
      </c>
      <c r="AY334" s="109" t="str">
        <f>IFERROR(IF(PAC!$X334="F02 - LICITAÇÃO",1,""),"")</f>
        <v/>
      </c>
      <c r="AZ334" s="110">
        <f>IFERROR(IF(PAC!$X$6:$X$581="F03 - EXECUÇÃO DO OBJETO",1,""),"")</f>
        <v>1</v>
      </c>
      <c r="BA334" s="110" t="str">
        <f>IFERROR(IF(PAC!$X$6:$X$581="F04 - CONCLUÍDA",1,""),"")</f>
        <v/>
      </c>
      <c r="BB334" s="111">
        <f>IF(PAC!$R334&gt;0,0,PAC!$Q334)</f>
        <v>0</v>
      </c>
    </row>
    <row r="335" spans="1:54" s="1" customFormat="1" ht="234" hidden="1" customHeight="1" thickBot="1">
      <c r="A335" s="112">
        <f t="shared" si="5"/>
        <v>330</v>
      </c>
      <c r="B335" s="113">
        <v>2023</v>
      </c>
      <c r="C335" s="112" t="s">
        <v>605</v>
      </c>
      <c r="D335" s="112" t="s">
        <v>1010</v>
      </c>
      <c r="E335" s="114" t="s">
        <v>2441</v>
      </c>
      <c r="F335" s="112" t="s">
        <v>577</v>
      </c>
      <c r="G335" s="112" t="s">
        <v>546</v>
      </c>
      <c r="H335" s="115" t="s">
        <v>1244</v>
      </c>
      <c r="I335" s="112" t="s">
        <v>1238</v>
      </c>
      <c r="J335" s="112" t="s">
        <v>361</v>
      </c>
      <c r="K335" s="31"/>
      <c r="L335" s="31"/>
      <c r="M335" s="31">
        <v>27815905.899999999</v>
      </c>
      <c r="N335" s="31"/>
      <c r="O335" s="31"/>
      <c r="P335" s="31"/>
      <c r="Q335" s="33">
        <f>SUM(PAC!$M335:$P335)</f>
        <v>27815905.899999999</v>
      </c>
      <c r="R335" s="33">
        <v>27815905.899999999</v>
      </c>
      <c r="S335" s="33">
        <f>IF(PAC!$R335&gt;0,PAC!$R335,PAC!$Q335)</f>
        <v>27815905.899999999</v>
      </c>
      <c r="T335" s="33" t="s">
        <v>2358</v>
      </c>
      <c r="U335" s="116" t="s">
        <v>1570</v>
      </c>
      <c r="V335" s="116"/>
      <c r="W335" s="117">
        <v>24</v>
      </c>
      <c r="X335" s="117" t="s">
        <v>1694</v>
      </c>
      <c r="Y335" s="113" t="s">
        <v>2470</v>
      </c>
      <c r="Z335" s="118">
        <v>46944</v>
      </c>
      <c r="AA335" s="119"/>
      <c r="AB335" s="115" t="s">
        <v>1472</v>
      </c>
      <c r="AC335" s="160" t="s">
        <v>2417</v>
      </c>
      <c r="AD335" s="120"/>
      <c r="AE335" s="114" t="s">
        <v>2363</v>
      </c>
      <c r="AF335" s="115" t="s">
        <v>552</v>
      </c>
      <c r="AG335" s="115" t="s">
        <v>2364</v>
      </c>
      <c r="AH335" s="115" t="s">
        <v>977</v>
      </c>
      <c r="AI335" s="114"/>
      <c r="AJ335" s="118"/>
      <c r="AK335" s="115" t="s">
        <v>1062</v>
      </c>
      <c r="AL335" s="115"/>
      <c r="AM335" s="115"/>
      <c r="AN335" s="118">
        <v>46015</v>
      </c>
      <c r="AO335" s="118">
        <v>46094</v>
      </c>
      <c r="AP335" s="118">
        <v>46121</v>
      </c>
      <c r="AQ335" s="118">
        <v>46213</v>
      </c>
      <c r="AR335" s="121">
        <v>46944</v>
      </c>
      <c r="AS335" s="121">
        <v>46944</v>
      </c>
      <c r="AT335" s="114"/>
      <c r="AU335" s="161" t="s">
        <v>1417</v>
      </c>
      <c r="AV335" s="120"/>
      <c r="AW335" s="119"/>
      <c r="AX335" s="194" t="str">
        <f>IFERROR(IF(PAC!$X335="F01 - CAPTAÇÃO DE RECURSO",1,""),"")</f>
        <v/>
      </c>
      <c r="AY335" s="194" t="str">
        <f>IFERROR(IF(PAC!$X335="F02 - LICITAÇÃO",1,""),"")</f>
        <v/>
      </c>
      <c r="AZ335" s="123">
        <f>IFERROR(IF(PAC!$X$6:$X$581="F03 - EXECUÇÃO DO OBJETO",1,""),"")</f>
        <v>1</v>
      </c>
      <c r="BA335" s="123" t="str">
        <f>IFERROR(IF(PAC!$X$6:$X$581="F04 - CONCLUÍDA",1,""),"")</f>
        <v/>
      </c>
      <c r="BB335" s="191">
        <f>IF(PAC!$R335&gt;0,0,PAC!$Q335)</f>
        <v>0</v>
      </c>
    </row>
    <row r="336" spans="1:54" s="1" customFormat="1" ht="105" hidden="1" customHeight="1" thickBot="1">
      <c r="A336" s="88">
        <f t="shared" si="5"/>
        <v>331</v>
      </c>
      <c r="B336" s="101">
        <v>2023</v>
      </c>
      <c r="C336" s="88" t="s">
        <v>605</v>
      </c>
      <c r="D336" s="88" t="s">
        <v>1010</v>
      </c>
      <c r="E336" s="102" t="s">
        <v>2442</v>
      </c>
      <c r="F336" s="88" t="s">
        <v>577</v>
      </c>
      <c r="G336" s="88" t="s">
        <v>546</v>
      </c>
      <c r="H336" s="40" t="s">
        <v>1244</v>
      </c>
      <c r="I336" s="88" t="s">
        <v>1238</v>
      </c>
      <c r="J336" s="88" t="s">
        <v>361</v>
      </c>
      <c r="K336" s="18"/>
      <c r="L336" s="18"/>
      <c r="M336" s="18">
        <v>48996640.969999999</v>
      </c>
      <c r="N336" s="18"/>
      <c r="O336" s="18"/>
      <c r="P336" s="18"/>
      <c r="Q336" s="20">
        <f>SUM(PAC!$M336:$P336)</f>
        <v>48996640.969999999</v>
      </c>
      <c r="R336" s="20">
        <v>47155201.420000002</v>
      </c>
      <c r="S336" s="20">
        <f>IF(PAC!$R336&gt;0,PAC!$R336,PAC!$Q336)</f>
        <v>47155201.420000002</v>
      </c>
      <c r="T336" s="20" t="s">
        <v>2328</v>
      </c>
      <c r="U336" s="103" t="s">
        <v>1570</v>
      </c>
      <c r="V336" s="103"/>
      <c r="W336" s="104">
        <v>28</v>
      </c>
      <c r="X336" s="104" t="s">
        <v>1694</v>
      </c>
      <c r="Y336" s="101" t="s">
        <v>2470</v>
      </c>
      <c r="Z336" s="87">
        <v>47067</v>
      </c>
      <c r="AA336" s="105"/>
      <c r="AB336" s="40" t="s">
        <v>1472</v>
      </c>
      <c r="AC336" s="162" t="s">
        <v>2426</v>
      </c>
      <c r="AD336" s="106"/>
      <c r="AE336" s="102" t="s">
        <v>2363</v>
      </c>
      <c r="AF336" s="40" t="s">
        <v>552</v>
      </c>
      <c r="AG336" s="40" t="s">
        <v>2365</v>
      </c>
      <c r="AH336" s="40" t="s">
        <v>977</v>
      </c>
      <c r="AI336" s="102"/>
      <c r="AJ336" s="87"/>
      <c r="AK336" s="40" t="s">
        <v>2361</v>
      </c>
      <c r="AL336" s="40"/>
      <c r="AM336" s="40"/>
      <c r="AN336" s="87">
        <v>46063</v>
      </c>
      <c r="AO336" s="87">
        <v>46136</v>
      </c>
      <c r="AP336" s="87">
        <v>46190</v>
      </c>
      <c r="AQ336" s="87">
        <v>46213</v>
      </c>
      <c r="AR336" s="107">
        <v>47067</v>
      </c>
      <c r="AS336" s="107">
        <v>47067</v>
      </c>
      <c r="AT336" s="102"/>
      <c r="AU336" s="163" t="s">
        <v>1404</v>
      </c>
      <c r="AV336" s="106"/>
      <c r="AW336" s="105"/>
      <c r="AX336" s="109" t="str">
        <f>IFERROR(IF(PAC!$X336="F01 - CAPTAÇÃO DE RECURSO",1,""),"")</f>
        <v/>
      </c>
      <c r="AY336" s="109" t="str">
        <f>IFERROR(IF(PAC!$X336="F02 - LICITAÇÃO",1,""),"")</f>
        <v/>
      </c>
      <c r="AZ336" s="110">
        <f>IFERROR(IF(PAC!$X$6:$X$581="F03 - EXECUÇÃO DO OBJETO",1,""),"")</f>
        <v>1</v>
      </c>
      <c r="BA336" s="110" t="str">
        <f>IFERROR(IF(PAC!$X$6:$X$581="F04 - CONCLUÍDA",1,""),"")</f>
        <v/>
      </c>
      <c r="BB336" s="111">
        <f>IF(PAC!$R336&gt;0,0,PAC!$Q336)</f>
        <v>0</v>
      </c>
    </row>
    <row r="337" spans="1:54" s="1" customFormat="1" ht="409.5" hidden="1" customHeight="1" thickBot="1">
      <c r="A337" s="112">
        <f t="shared" si="5"/>
        <v>332</v>
      </c>
      <c r="B337" s="113">
        <v>2023</v>
      </c>
      <c r="C337" s="112" t="s">
        <v>605</v>
      </c>
      <c r="D337" s="112" t="s">
        <v>1010</v>
      </c>
      <c r="E337" s="114" t="s">
        <v>2179</v>
      </c>
      <c r="F337" s="112" t="s">
        <v>577</v>
      </c>
      <c r="G337" s="112" t="s">
        <v>546</v>
      </c>
      <c r="H337" s="115" t="s">
        <v>1244</v>
      </c>
      <c r="I337" s="112" t="s">
        <v>1238</v>
      </c>
      <c r="J337" s="112" t="s">
        <v>361</v>
      </c>
      <c r="K337" s="31">
        <v>495391614.52999997</v>
      </c>
      <c r="L337" s="31"/>
      <c r="M337" s="31"/>
      <c r="N337" s="31">
        <v>4119458.53</v>
      </c>
      <c r="O337" s="31"/>
      <c r="P337" s="31">
        <v>78269712</v>
      </c>
      <c r="Q337" s="33">
        <f>SUM(PAC!$M337:$P337)</f>
        <v>82389170.530000001</v>
      </c>
      <c r="R337" s="33"/>
      <c r="S337" s="33">
        <f>IF(PAC!$R337&gt;0,PAC!$R337,PAC!$Q337)</f>
        <v>82389170.530000001</v>
      </c>
      <c r="T337" s="33"/>
      <c r="U337" s="116" t="s">
        <v>1573</v>
      </c>
      <c r="V337" s="116" t="s">
        <v>1764</v>
      </c>
      <c r="W337" s="117"/>
      <c r="X337" s="117" t="s">
        <v>1419</v>
      </c>
      <c r="Y337" s="113" t="s">
        <v>2473</v>
      </c>
      <c r="Z337" s="118"/>
      <c r="AA337" s="119"/>
      <c r="AB337" s="115" t="s">
        <v>1485</v>
      </c>
      <c r="AC337" s="160" t="s">
        <v>2566</v>
      </c>
      <c r="AD337" s="120">
        <v>46295</v>
      </c>
      <c r="AE337" s="114" t="s">
        <v>1525</v>
      </c>
      <c r="AF337" s="115" t="s">
        <v>592</v>
      </c>
      <c r="AG337" s="115" t="s">
        <v>2147</v>
      </c>
      <c r="AH337" s="115"/>
      <c r="AI337" s="115"/>
      <c r="AJ337" s="118"/>
      <c r="AK337" s="115" t="s">
        <v>1065</v>
      </c>
      <c r="AL337" s="115"/>
      <c r="AM337" s="115"/>
      <c r="AN337" s="118"/>
      <c r="AO337" s="118"/>
      <c r="AP337" s="118"/>
      <c r="AQ337" s="118"/>
      <c r="AR337" s="121"/>
      <c r="AS337" s="121"/>
      <c r="AT337" s="114" t="s">
        <v>2565</v>
      </c>
      <c r="AU337" s="161" t="s">
        <v>1477</v>
      </c>
      <c r="AV337" s="120"/>
      <c r="AW337" s="119"/>
      <c r="AX337" s="194">
        <f>IFERROR(IF(PAC!$X337="F01 - CAPTAÇÃO DE RECURSO",1,""),"")</f>
        <v>1</v>
      </c>
      <c r="AY337" s="194" t="str">
        <f>IFERROR(IF(PAC!$X337="F02 - LICITAÇÃO",1,""),"")</f>
        <v/>
      </c>
      <c r="AZ337" s="123" t="str">
        <f>IFERROR(IF(PAC!$X$6:$X$581="F03 - EXECUÇÃO DO OBJETO",1,""),"")</f>
        <v/>
      </c>
      <c r="BA337" s="123" t="str">
        <f>IFERROR(IF(PAC!$X$6:$X$581="F04 - CONCLUÍDA",1,""),"")</f>
        <v/>
      </c>
      <c r="BB337" s="191">
        <f>IF(PAC!$R337&gt;0,0,PAC!$Q337)</f>
        <v>82389170.530000001</v>
      </c>
    </row>
    <row r="338" spans="1:54" s="1" customFormat="1" ht="409.5" hidden="1" customHeight="1" thickBot="1">
      <c r="A338" s="88">
        <f t="shared" si="5"/>
        <v>333</v>
      </c>
      <c r="B338" s="88">
        <v>2025</v>
      </c>
      <c r="C338" s="88" t="s">
        <v>605</v>
      </c>
      <c r="D338" s="88" t="s">
        <v>1010</v>
      </c>
      <c r="E338" s="102" t="s">
        <v>2180</v>
      </c>
      <c r="F338" s="88" t="s">
        <v>577</v>
      </c>
      <c r="G338" s="88" t="s">
        <v>546</v>
      </c>
      <c r="H338" s="40" t="s">
        <v>1244</v>
      </c>
      <c r="I338" s="88" t="s">
        <v>603</v>
      </c>
      <c r="J338" s="88" t="s">
        <v>361</v>
      </c>
      <c r="K338" s="18">
        <v>58866783.710000001</v>
      </c>
      <c r="L338" s="18"/>
      <c r="M338" s="18"/>
      <c r="N338" s="18">
        <v>9084934.3499999996</v>
      </c>
      <c r="O338" s="18"/>
      <c r="P338" s="18">
        <v>49781849.359999999</v>
      </c>
      <c r="Q338" s="20">
        <f>SUM(PAC!$M338:$P338)</f>
        <v>58866783.710000001</v>
      </c>
      <c r="R338" s="20"/>
      <c r="S338" s="20">
        <f>IF(PAC!$R338&gt;0,PAC!$R338,PAC!$Q338)</f>
        <v>58866783.710000001</v>
      </c>
      <c r="T338" s="20"/>
      <c r="U338" s="103" t="s">
        <v>1573</v>
      </c>
      <c r="V338" s="103" t="s">
        <v>1764</v>
      </c>
      <c r="W338" s="104"/>
      <c r="X338" s="104" t="s">
        <v>1419</v>
      </c>
      <c r="Y338" s="101" t="s">
        <v>2476</v>
      </c>
      <c r="Z338" s="87"/>
      <c r="AA338" s="105"/>
      <c r="AB338" s="40" t="s">
        <v>1509</v>
      </c>
      <c r="AC338" s="40" t="s">
        <v>1941</v>
      </c>
      <c r="AD338" s="106">
        <v>46325</v>
      </c>
      <c r="AE338" s="102" t="s">
        <v>1316</v>
      </c>
      <c r="AF338" s="40" t="s">
        <v>839</v>
      </c>
      <c r="AG338" s="40"/>
      <c r="AH338" s="40"/>
      <c r="AI338" s="40"/>
      <c r="AJ338" s="87"/>
      <c r="AK338" s="40"/>
      <c r="AL338" s="40"/>
      <c r="AM338" s="40" t="s">
        <v>716</v>
      </c>
      <c r="AN338" s="87"/>
      <c r="AO338" s="87"/>
      <c r="AP338" s="87"/>
      <c r="AQ338" s="87"/>
      <c r="AR338" s="107"/>
      <c r="AS338" s="107"/>
      <c r="AT338" s="102" t="s">
        <v>2181</v>
      </c>
      <c r="AU338" s="108" t="s">
        <v>1394</v>
      </c>
      <c r="AV338" s="106"/>
      <c r="AW338" s="105" t="s">
        <v>1016</v>
      </c>
      <c r="AX338" s="109">
        <f>IFERROR(IF(PAC!$X338="F01 - CAPTAÇÃO DE RECURSO",1,""),"")</f>
        <v>1</v>
      </c>
      <c r="AY338" s="109" t="str">
        <f>IFERROR(IF(PAC!$X338="F02 - LICITAÇÃO",1,""),"")</f>
        <v/>
      </c>
      <c r="AZ338" s="110" t="str">
        <f>IFERROR(IF(PAC!$X$6:$X$581="F03 - EXECUÇÃO DO OBJETO",1,""),"")</f>
        <v/>
      </c>
      <c r="BA338" s="110" t="str">
        <f>IFERROR(IF(PAC!$X$6:$X$581="F04 - CONCLUÍDA",1,""),"")</f>
        <v/>
      </c>
      <c r="BB338" s="111">
        <f>IF(PAC!$R338&gt;0,0,PAC!$Q338)</f>
        <v>58866783.710000001</v>
      </c>
    </row>
    <row r="339" spans="1:54" s="1" customFormat="1" ht="252" hidden="1" customHeight="1" thickBot="1">
      <c r="A339" s="112">
        <f t="shared" si="5"/>
        <v>334</v>
      </c>
      <c r="B339" s="112">
        <v>2025</v>
      </c>
      <c r="C339" s="112" t="s">
        <v>605</v>
      </c>
      <c r="D339" s="112" t="s">
        <v>1010</v>
      </c>
      <c r="E339" s="114" t="s">
        <v>2182</v>
      </c>
      <c r="F339" s="112" t="s">
        <v>577</v>
      </c>
      <c r="G339" s="112" t="s">
        <v>546</v>
      </c>
      <c r="H339" s="115" t="s">
        <v>1244</v>
      </c>
      <c r="I339" s="112" t="s">
        <v>1238</v>
      </c>
      <c r="J339" s="112" t="s">
        <v>361</v>
      </c>
      <c r="K339" s="31">
        <v>30687770.789999999</v>
      </c>
      <c r="L339" s="31"/>
      <c r="M339" s="31"/>
      <c r="N339" s="31">
        <v>1534388.54</v>
      </c>
      <c r="O339" s="31"/>
      <c r="P339" s="31">
        <v>29153382.25</v>
      </c>
      <c r="Q339" s="33">
        <f>SUM(PAC!$M339:$P339)</f>
        <v>30687770.789999999</v>
      </c>
      <c r="R339" s="33"/>
      <c r="S339" s="33">
        <f>IF(PAC!$R339&gt;0,PAC!$R339,PAC!$Q339)</f>
        <v>30687770.789999999</v>
      </c>
      <c r="T339" s="33"/>
      <c r="U339" s="116" t="s">
        <v>1573</v>
      </c>
      <c r="V339" s="116" t="s">
        <v>1764</v>
      </c>
      <c r="W339" s="117"/>
      <c r="X339" s="117" t="s">
        <v>1419</v>
      </c>
      <c r="Y339" s="113" t="s">
        <v>2476</v>
      </c>
      <c r="Z339" s="118"/>
      <c r="AA339" s="119"/>
      <c r="AB339" s="115" t="s">
        <v>1509</v>
      </c>
      <c r="AC339" s="115" t="s">
        <v>1941</v>
      </c>
      <c r="AD339" s="120">
        <v>46325</v>
      </c>
      <c r="AE339" s="114" t="s">
        <v>1316</v>
      </c>
      <c r="AF339" s="115" t="s">
        <v>840</v>
      </c>
      <c r="AG339" s="115"/>
      <c r="AH339" s="115"/>
      <c r="AI339" s="115"/>
      <c r="AJ339" s="118"/>
      <c r="AK339" s="115"/>
      <c r="AL339" s="115"/>
      <c r="AM339" s="115"/>
      <c r="AN339" s="118"/>
      <c r="AO339" s="118"/>
      <c r="AP339" s="118"/>
      <c r="AQ339" s="118"/>
      <c r="AR339" s="121"/>
      <c r="AS339" s="121"/>
      <c r="AT339" s="114" t="s">
        <v>2183</v>
      </c>
      <c r="AU339" s="122" t="s">
        <v>1394</v>
      </c>
      <c r="AV339" s="120"/>
      <c r="AW339" s="119" t="s">
        <v>1016</v>
      </c>
      <c r="AX339" s="194">
        <f>IFERROR(IF(PAC!$X339="F01 - CAPTAÇÃO DE RECURSO",1,""),"")</f>
        <v>1</v>
      </c>
      <c r="AY339" s="194" t="str">
        <f>IFERROR(IF(PAC!$X339="F02 - LICITAÇÃO",1,""),"")</f>
        <v/>
      </c>
      <c r="AZ339" s="123" t="str">
        <f>IFERROR(IF(PAC!$X$6:$X$581="F03 - EXECUÇÃO DO OBJETO",1,""),"")</f>
        <v/>
      </c>
      <c r="BA339" s="123" t="str">
        <f>IFERROR(IF(PAC!$X$6:$X$581="F04 - CONCLUÍDA",1,""),"")</f>
        <v/>
      </c>
      <c r="BB339" s="191">
        <f>IF(PAC!$R339&gt;0,0,PAC!$Q339)</f>
        <v>30687770.789999999</v>
      </c>
    </row>
    <row r="340" spans="1:54" s="1" customFormat="1" ht="273" hidden="1" customHeight="1" thickBot="1">
      <c r="A340" s="88">
        <f t="shared" si="5"/>
        <v>335</v>
      </c>
      <c r="B340" s="88">
        <v>2025</v>
      </c>
      <c r="C340" s="88" t="s">
        <v>605</v>
      </c>
      <c r="D340" s="88" t="s">
        <v>1010</v>
      </c>
      <c r="E340" s="102" t="s">
        <v>2184</v>
      </c>
      <c r="F340" s="88" t="s">
        <v>577</v>
      </c>
      <c r="G340" s="88" t="s">
        <v>546</v>
      </c>
      <c r="H340" s="40" t="s">
        <v>1244</v>
      </c>
      <c r="I340" s="88" t="s">
        <v>1238</v>
      </c>
      <c r="J340" s="88" t="s">
        <v>361</v>
      </c>
      <c r="K340" s="18">
        <v>85028849.920000002</v>
      </c>
      <c r="L340" s="18"/>
      <c r="M340" s="18"/>
      <c r="N340" s="18">
        <f>4260000*0+3816636.98</f>
        <v>3816636.98</v>
      </c>
      <c r="O340" s="18"/>
      <c r="P340" s="18">
        <f>81212212.94</f>
        <v>81212212.939999998</v>
      </c>
      <c r="Q340" s="20">
        <f>SUM(PAC!$M340:$P340)</f>
        <v>85028849.920000002</v>
      </c>
      <c r="R340" s="20"/>
      <c r="S340" s="20">
        <f>IF(PAC!$R340&gt;0,PAC!$R340,PAC!$Q340)</f>
        <v>85028849.920000002</v>
      </c>
      <c r="T340" s="20"/>
      <c r="U340" s="103" t="s">
        <v>1573</v>
      </c>
      <c r="V340" s="103" t="s">
        <v>1764</v>
      </c>
      <c r="W340" s="104"/>
      <c r="X340" s="104" t="s">
        <v>1419</v>
      </c>
      <c r="Y340" s="101" t="s">
        <v>2476</v>
      </c>
      <c r="Z340" s="87"/>
      <c r="AA340" s="105"/>
      <c r="AB340" s="40" t="s">
        <v>1509</v>
      </c>
      <c r="AC340" s="40" t="s">
        <v>1941</v>
      </c>
      <c r="AD340" s="106">
        <v>46325</v>
      </c>
      <c r="AE340" s="102" t="s">
        <v>1316</v>
      </c>
      <c r="AF340" s="40" t="s">
        <v>841</v>
      </c>
      <c r="AG340" s="40"/>
      <c r="AH340" s="40"/>
      <c r="AI340" s="40"/>
      <c r="AJ340" s="87"/>
      <c r="AK340" s="40"/>
      <c r="AL340" s="40"/>
      <c r="AM340" s="40"/>
      <c r="AN340" s="87"/>
      <c r="AO340" s="87"/>
      <c r="AP340" s="87"/>
      <c r="AQ340" s="87"/>
      <c r="AR340" s="107"/>
      <c r="AS340" s="107"/>
      <c r="AT340" s="102" t="s">
        <v>2185</v>
      </c>
      <c r="AU340" s="108" t="s">
        <v>1394</v>
      </c>
      <c r="AV340" s="106"/>
      <c r="AW340" s="105"/>
      <c r="AX340" s="109">
        <f>IFERROR(IF(PAC!$X340="F01 - CAPTAÇÃO DE RECURSO",1,""),"")</f>
        <v>1</v>
      </c>
      <c r="AY340" s="109" t="str">
        <f>IFERROR(IF(PAC!$X340="F02 - LICITAÇÃO",1,""),"")</f>
        <v/>
      </c>
      <c r="AZ340" s="110" t="str">
        <f>IFERROR(IF(PAC!$X$6:$X$581="F03 - EXECUÇÃO DO OBJETO",1,""),"")</f>
        <v/>
      </c>
      <c r="BA340" s="110" t="str">
        <f>IFERROR(IF(PAC!$X$6:$X$581="F04 - CONCLUÍDA",1,""),"")</f>
        <v/>
      </c>
      <c r="BB340" s="111">
        <f>IF(PAC!$R340&gt;0,0,PAC!$Q340)</f>
        <v>85028849.920000002</v>
      </c>
    </row>
    <row r="341" spans="1:54" s="1" customFormat="1" ht="153.75" hidden="1" customHeight="1" thickBot="1">
      <c r="A341" s="112">
        <f t="shared" si="5"/>
        <v>336</v>
      </c>
      <c r="B341" s="112">
        <v>2025</v>
      </c>
      <c r="C341" s="112" t="s">
        <v>605</v>
      </c>
      <c r="D341" s="112" t="s">
        <v>1010</v>
      </c>
      <c r="E341" s="114" t="s">
        <v>2186</v>
      </c>
      <c r="F341" s="112" t="s">
        <v>577</v>
      </c>
      <c r="G341" s="112" t="s">
        <v>546</v>
      </c>
      <c r="H341" s="115" t="s">
        <v>1244</v>
      </c>
      <c r="I341" s="112" t="s">
        <v>1238</v>
      </c>
      <c r="J341" s="112" t="s">
        <v>361</v>
      </c>
      <c r="K341" s="31">
        <v>303900904.00999999</v>
      </c>
      <c r="L341" s="31"/>
      <c r="M341" s="31"/>
      <c r="N341" s="31">
        <v>15195045.199999999</v>
      </c>
      <c r="O341" s="31"/>
      <c r="P341" s="31">
        <v>288705858.81</v>
      </c>
      <c r="Q341" s="33">
        <f>SUM(PAC!$M341:$P341)</f>
        <v>303900904.00999999</v>
      </c>
      <c r="R341" s="33"/>
      <c r="S341" s="33">
        <f>IF(PAC!$R341&gt;0,PAC!$R341,PAC!$Q341)</f>
        <v>303900904.00999999</v>
      </c>
      <c r="T341" s="33"/>
      <c r="U341" s="116" t="s">
        <v>1573</v>
      </c>
      <c r="V341" s="116" t="s">
        <v>1764</v>
      </c>
      <c r="W341" s="117"/>
      <c r="X341" s="117" t="s">
        <v>1419</v>
      </c>
      <c r="Y341" s="113" t="s">
        <v>2476</v>
      </c>
      <c r="Z341" s="118"/>
      <c r="AA341" s="119"/>
      <c r="AB341" s="115" t="s">
        <v>1509</v>
      </c>
      <c r="AC341" s="115" t="s">
        <v>1941</v>
      </c>
      <c r="AD341" s="120">
        <v>46325</v>
      </c>
      <c r="AE341" s="114" t="s">
        <v>1316</v>
      </c>
      <c r="AF341" s="115" t="s">
        <v>842</v>
      </c>
      <c r="AG341" s="115"/>
      <c r="AH341" s="115"/>
      <c r="AI341" s="115"/>
      <c r="AJ341" s="118"/>
      <c r="AK341" s="115"/>
      <c r="AL341" s="115"/>
      <c r="AM341" s="115"/>
      <c r="AN341" s="118"/>
      <c r="AO341" s="118"/>
      <c r="AP341" s="118"/>
      <c r="AQ341" s="118"/>
      <c r="AR341" s="121"/>
      <c r="AS341" s="121"/>
      <c r="AT341" s="114" t="s">
        <v>1415</v>
      </c>
      <c r="AU341" s="122" t="s">
        <v>1413</v>
      </c>
      <c r="AV341" s="120"/>
      <c r="AW341" s="119" t="s">
        <v>1016</v>
      </c>
      <c r="AX341" s="194">
        <f>IFERROR(IF(PAC!$X341="F01 - CAPTAÇÃO DE RECURSO",1,""),"")</f>
        <v>1</v>
      </c>
      <c r="AY341" s="194" t="str">
        <f>IFERROR(IF(PAC!$X341="F02 - LICITAÇÃO",1,""),"")</f>
        <v/>
      </c>
      <c r="AZ341" s="123" t="str">
        <f>IFERROR(IF(PAC!$X$6:$X$581="F03 - EXECUÇÃO DO OBJETO",1,""),"")</f>
        <v/>
      </c>
      <c r="BA341" s="123" t="str">
        <f>IFERROR(IF(PAC!$X$6:$X$581="F04 - CONCLUÍDA",1,""),"")</f>
        <v/>
      </c>
      <c r="BB341" s="191">
        <f>IF(PAC!$R341&gt;0,0,PAC!$Q341)</f>
        <v>303900904.00999999</v>
      </c>
    </row>
    <row r="342" spans="1:54" s="1" customFormat="1" ht="211.5" hidden="1" customHeight="1" thickBot="1">
      <c r="A342" s="88">
        <f t="shared" si="5"/>
        <v>337</v>
      </c>
      <c r="B342" s="88">
        <v>2025</v>
      </c>
      <c r="C342" s="88" t="s">
        <v>605</v>
      </c>
      <c r="D342" s="88" t="s">
        <v>1010</v>
      </c>
      <c r="E342" s="102" t="s">
        <v>2187</v>
      </c>
      <c r="F342" s="88" t="s">
        <v>577</v>
      </c>
      <c r="G342" s="88" t="s">
        <v>546</v>
      </c>
      <c r="H342" s="40" t="s">
        <v>1244</v>
      </c>
      <c r="I342" s="88" t="s">
        <v>603</v>
      </c>
      <c r="J342" s="88" t="s">
        <v>361</v>
      </c>
      <c r="K342" s="18">
        <v>89399709</v>
      </c>
      <c r="L342" s="18"/>
      <c r="M342" s="18"/>
      <c r="N342" s="18">
        <v>7814249.4000000004</v>
      </c>
      <c r="O342" s="18"/>
      <c r="P342" s="18">
        <v>81585459.599999994</v>
      </c>
      <c r="Q342" s="20">
        <f>SUM(PAC!$M342:$P342)</f>
        <v>89399709</v>
      </c>
      <c r="R342" s="20"/>
      <c r="S342" s="20">
        <f>IF(PAC!$R342&gt;0,PAC!$R342,PAC!$Q342)</f>
        <v>89399709</v>
      </c>
      <c r="T342" s="20"/>
      <c r="U342" s="103" t="s">
        <v>1573</v>
      </c>
      <c r="V342" s="103" t="s">
        <v>1764</v>
      </c>
      <c r="W342" s="104"/>
      <c r="X342" s="104" t="s">
        <v>1419</v>
      </c>
      <c r="Y342" s="101" t="s">
        <v>2476</v>
      </c>
      <c r="Z342" s="87"/>
      <c r="AA342" s="105"/>
      <c r="AB342" s="40" t="s">
        <v>1509</v>
      </c>
      <c r="AC342" s="40" t="s">
        <v>1941</v>
      </c>
      <c r="AD342" s="106">
        <v>46325</v>
      </c>
      <c r="AE342" s="102" t="s">
        <v>1316</v>
      </c>
      <c r="AF342" s="40" t="s">
        <v>843</v>
      </c>
      <c r="AG342" s="40"/>
      <c r="AH342" s="40"/>
      <c r="AI342" s="40"/>
      <c r="AJ342" s="87"/>
      <c r="AK342" s="40"/>
      <c r="AL342" s="40"/>
      <c r="AM342" s="40"/>
      <c r="AN342" s="87"/>
      <c r="AO342" s="87"/>
      <c r="AP342" s="87"/>
      <c r="AQ342" s="87"/>
      <c r="AR342" s="107"/>
      <c r="AS342" s="107"/>
      <c r="AT342" s="128" t="s">
        <v>1416</v>
      </c>
      <c r="AU342" s="108" t="s">
        <v>1414</v>
      </c>
      <c r="AV342" s="106"/>
      <c r="AW342" s="105" t="s">
        <v>1016</v>
      </c>
      <c r="AX342" s="109">
        <f>IFERROR(IF(PAC!$X342="F01 - CAPTAÇÃO DE RECURSO",1,""),"")</f>
        <v>1</v>
      </c>
      <c r="AY342" s="109" t="str">
        <f>IFERROR(IF(PAC!$X342="F02 - LICITAÇÃO",1,""),"")</f>
        <v/>
      </c>
      <c r="AZ342" s="110" t="str">
        <f>IFERROR(IF(PAC!$X$6:$X$581="F03 - EXECUÇÃO DO OBJETO",1,""),"")</f>
        <v/>
      </c>
      <c r="BA342" s="110" t="str">
        <f>IFERROR(IF(PAC!$X$6:$X$581="F04 - CONCLUÍDA",1,""),"")</f>
        <v/>
      </c>
      <c r="BB342" s="111">
        <f>IF(PAC!$R342&gt;0,0,PAC!$Q342)</f>
        <v>89399709</v>
      </c>
    </row>
    <row r="343" spans="1:54" s="1" customFormat="1" ht="126" hidden="1" customHeight="1" thickBot="1">
      <c r="A343" s="112">
        <f t="shared" si="5"/>
        <v>338</v>
      </c>
      <c r="B343" s="112">
        <v>2025</v>
      </c>
      <c r="C343" s="112" t="s">
        <v>605</v>
      </c>
      <c r="D343" s="112" t="s">
        <v>1010</v>
      </c>
      <c r="E343" s="114" t="s">
        <v>848</v>
      </c>
      <c r="F343" s="112" t="s">
        <v>577</v>
      </c>
      <c r="G343" s="112" t="s">
        <v>546</v>
      </c>
      <c r="H343" s="115" t="s">
        <v>1244</v>
      </c>
      <c r="I343" s="112" t="s">
        <v>603</v>
      </c>
      <c r="J343" s="112" t="s">
        <v>361</v>
      </c>
      <c r="K343" s="31">
        <v>88740357.530000001</v>
      </c>
      <c r="L343" s="31"/>
      <c r="M343" s="31"/>
      <c r="N343" s="31"/>
      <c r="O343" s="31"/>
      <c r="P343" s="31"/>
      <c r="Q343" s="33">
        <f>SUM(PAC!$M343:$P343)</f>
        <v>0</v>
      </c>
      <c r="R343" s="33"/>
      <c r="S343" s="33">
        <f>IF(PAC!$R343&gt;0,PAC!$R343,PAC!$Q343)</f>
        <v>0</v>
      </c>
      <c r="T343" s="33"/>
      <c r="U343" s="116" t="s">
        <v>594</v>
      </c>
      <c r="V343" s="116"/>
      <c r="W343" s="117"/>
      <c r="X343" s="117" t="s">
        <v>1419</v>
      </c>
      <c r="Y343" s="113" t="s">
        <v>2486</v>
      </c>
      <c r="Z343" s="118"/>
      <c r="AA343" s="119"/>
      <c r="AB343" s="115"/>
      <c r="AC343" s="115"/>
      <c r="AD343" s="120"/>
      <c r="AE343" s="114"/>
      <c r="AF343" s="115" t="s">
        <v>844</v>
      </c>
      <c r="AG343" s="115"/>
      <c r="AH343" s="115"/>
      <c r="AI343" s="115"/>
      <c r="AJ343" s="118"/>
      <c r="AK343" s="115"/>
      <c r="AL343" s="115"/>
      <c r="AM343" s="115"/>
      <c r="AN343" s="118"/>
      <c r="AO343" s="118"/>
      <c r="AP343" s="118"/>
      <c r="AQ343" s="118"/>
      <c r="AR343" s="121"/>
      <c r="AS343" s="121"/>
      <c r="AT343" s="114" t="s">
        <v>1257</v>
      </c>
      <c r="AU343" s="122"/>
      <c r="AV343" s="120"/>
      <c r="AW343" s="119"/>
      <c r="AX343" s="194">
        <f>IFERROR(IF(PAC!$X343="F01 - CAPTAÇÃO DE RECURSO",1,""),"")</f>
        <v>1</v>
      </c>
      <c r="AY343" s="194" t="str">
        <f>IFERROR(IF(PAC!$X343="F02 - LICITAÇÃO",1,""),"")</f>
        <v/>
      </c>
      <c r="AZ343" s="123" t="str">
        <f>IFERROR(IF(PAC!$X$6:$X$581="F03 - EXECUÇÃO DO OBJETO",1,""),"")</f>
        <v/>
      </c>
      <c r="BA343" s="123" t="str">
        <f>IFERROR(IF(PAC!$X$6:$X$581="F04 - CONCLUÍDA",1,""),"")</f>
        <v/>
      </c>
      <c r="BB343" s="191">
        <f>IF(PAC!$R343&gt;0,0,PAC!$Q343)</f>
        <v>0</v>
      </c>
    </row>
    <row r="344" spans="1:54" s="1" customFormat="1" ht="147" hidden="1" customHeight="1" thickBot="1">
      <c r="A344" s="88">
        <f t="shared" si="5"/>
        <v>339</v>
      </c>
      <c r="B344" s="88">
        <v>2025</v>
      </c>
      <c r="C344" s="88" t="s">
        <v>605</v>
      </c>
      <c r="D344" s="88" t="s">
        <v>1010</v>
      </c>
      <c r="E344" s="102" t="s">
        <v>2188</v>
      </c>
      <c r="F344" s="88" t="s">
        <v>577</v>
      </c>
      <c r="G344" s="88" t="s">
        <v>546</v>
      </c>
      <c r="H344" s="40" t="s">
        <v>1244</v>
      </c>
      <c r="I344" s="88" t="s">
        <v>603</v>
      </c>
      <c r="J344" s="88" t="s">
        <v>256</v>
      </c>
      <c r="K344" s="18">
        <v>99078254</v>
      </c>
      <c r="L344" s="18"/>
      <c r="M344" s="18"/>
      <c r="N344" s="18">
        <v>17870141.199999999</v>
      </c>
      <c r="O344" s="18"/>
      <c r="P344" s="18">
        <v>81208112.799999997</v>
      </c>
      <c r="Q344" s="20">
        <f>SUM(PAC!$M344:$P344)</f>
        <v>99078254</v>
      </c>
      <c r="R344" s="20"/>
      <c r="S344" s="20">
        <f>IF(PAC!$R344&gt;0,PAC!$R344,PAC!$Q344)</f>
        <v>99078254</v>
      </c>
      <c r="T344" s="20"/>
      <c r="U344" s="103" t="s">
        <v>1573</v>
      </c>
      <c r="V344" s="103" t="s">
        <v>1764</v>
      </c>
      <c r="W344" s="104"/>
      <c r="X344" s="104" t="s">
        <v>1419</v>
      </c>
      <c r="Y344" s="101" t="s">
        <v>2476</v>
      </c>
      <c r="Z344" s="87"/>
      <c r="AA344" s="105"/>
      <c r="AB344" s="40" t="s">
        <v>1509</v>
      </c>
      <c r="AC344" s="40" t="s">
        <v>1941</v>
      </c>
      <c r="AD344" s="106">
        <v>46325</v>
      </c>
      <c r="AE344" s="102" t="s">
        <v>1316</v>
      </c>
      <c r="AF344" s="40" t="s">
        <v>845</v>
      </c>
      <c r="AG344" s="40"/>
      <c r="AH344" s="40"/>
      <c r="AI344" s="40"/>
      <c r="AJ344" s="87"/>
      <c r="AK344" s="40"/>
      <c r="AL344" s="40"/>
      <c r="AM344" s="40" t="s">
        <v>716</v>
      </c>
      <c r="AN344" s="87"/>
      <c r="AO344" s="87"/>
      <c r="AP344" s="87"/>
      <c r="AQ344" s="87"/>
      <c r="AR344" s="107"/>
      <c r="AS344" s="107"/>
      <c r="AT344" s="128" t="s">
        <v>2189</v>
      </c>
      <c r="AU344" s="108" t="s">
        <v>1394</v>
      </c>
      <c r="AV344" s="106"/>
      <c r="AW344" s="105"/>
      <c r="AX344" s="109">
        <f>IFERROR(IF(PAC!$X344="F01 - CAPTAÇÃO DE RECURSO",1,""),"")</f>
        <v>1</v>
      </c>
      <c r="AY344" s="109" t="str">
        <f>IFERROR(IF(PAC!$X344="F02 - LICITAÇÃO",1,""),"")</f>
        <v/>
      </c>
      <c r="AZ344" s="110" t="str">
        <f>IFERROR(IF(PAC!$X$6:$X$581="F03 - EXECUÇÃO DO OBJETO",1,""),"")</f>
        <v/>
      </c>
      <c r="BA344" s="110" t="str">
        <f>IFERROR(IF(PAC!$X$6:$X$581="F04 - CONCLUÍDA",1,""),"")</f>
        <v/>
      </c>
      <c r="BB344" s="111">
        <f>IF(PAC!$R344&gt;0,0,PAC!$Q344)</f>
        <v>99078254</v>
      </c>
    </row>
    <row r="345" spans="1:54" s="1" customFormat="1" ht="357" hidden="1" customHeight="1" thickBot="1">
      <c r="A345" s="112">
        <f t="shared" si="5"/>
        <v>340</v>
      </c>
      <c r="B345" s="112">
        <v>2025</v>
      </c>
      <c r="C345" s="112" t="s">
        <v>605</v>
      </c>
      <c r="D345" s="112" t="s">
        <v>1010</v>
      </c>
      <c r="E345" s="114" t="s">
        <v>849</v>
      </c>
      <c r="F345" s="112" t="s">
        <v>577</v>
      </c>
      <c r="G345" s="112" t="s">
        <v>546</v>
      </c>
      <c r="H345" s="115" t="s">
        <v>1244</v>
      </c>
      <c r="I345" s="112" t="s">
        <v>603</v>
      </c>
      <c r="J345" s="112" t="s">
        <v>256</v>
      </c>
      <c r="K345" s="31">
        <v>9748461.4000000004</v>
      </c>
      <c r="L345" s="31"/>
      <c r="M345" s="31"/>
      <c r="N345" s="31"/>
      <c r="O345" s="31"/>
      <c r="P345" s="31"/>
      <c r="Q345" s="33">
        <f>SUM(PAC!$M345:$P345)</f>
        <v>0</v>
      </c>
      <c r="R345" s="33"/>
      <c r="S345" s="33">
        <f>IF(PAC!$R345&gt;0,PAC!$R345,PAC!$Q345)</f>
        <v>0</v>
      </c>
      <c r="T345" s="33"/>
      <c r="U345" s="116" t="s">
        <v>594</v>
      </c>
      <c r="V345" s="116"/>
      <c r="W345" s="117"/>
      <c r="X345" s="117" t="s">
        <v>1419</v>
      </c>
      <c r="Y345" s="113" t="s">
        <v>2486</v>
      </c>
      <c r="Z345" s="118"/>
      <c r="AA345" s="119"/>
      <c r="AB345" s="115"/>
      <c r="AC345" s="115"/>
      <c r="AD345" s="120"/>
      <c r="AE345" s="114"/>
      <c r="AF345" s="115" t="s">
        <v>846</v>
      </c>
      <c r="AG345" s="115"/>
      <c r="AH345" s="115"/>
      <c r="AI345" s="115"/>
      <c r="AJ345" s="118"/>
      <c r="AK345" s="115"/>
      <c r="AL345" s="115"/>
      <c r="AM345" s="115"/>
      <c r="AN345" s="118"/>
      <c r="AO345" s="118"/>
      <c r="AP345" s="118"/>
      <c r="AQ345" s="118"/>
      <c r="AR345" s="121"/>
      <c r="AS345" s="121"/>
      <c r="AT345" s="114" t="s">
        <v>1256</v>
      </c>
      <c r="AU345" s="122"/>
      <c r="AV345" s="120"/>
      <c r="AW345" s="119"/>
      <c r="AX345" s="194">
        <f>IFERROR(IF(PAC!$X345="F01 - CAPTAÇÃO DE RECURSO",1,""),"")</f>
        <v>1</v>
      </c>
      <c r="AY345" s="194" t="str">
        <f>IFERROR(IF(PAC!$X345="F02 - LICITAÇÃO",1,""),"")</f>
        <v/>
      </c>
      <c r="AZ345" s="123" t="str">
        <f>IFERROR(IF(PAC!$X$6:$X$581="F03 - EXECUÇÃO DO OBJETO",1,""),"")</f>
        <v/>
      </c>
      <c r="BA345" s="123" t="str">
        <f>IFERROR(IF(PAC!$X$6:$X$581="F04 - CONCLUÍDA",1,""),"")</f>
        <v/>
      </c>
      <c r="BB345" s="191">
        <f>IF(PAC!$R345&gt;0,0,PAC!$Q345)</f>
        <v>0</v>
      </c>
    </row>
    <row r="346" spans="1:54" s="1" customFormat="1" ht="170.45" hidden="1" customHeight="1" thickBot="1">
      <c r="A346" s="88">
        <f t="shared" si="5"/>
        <v>341</v>
      </c>
      <c r="B346" s="88">
        <v>2025</v>
      </c>
      <c r="C346" s="88" t="s">
        <v>605</v>
      </c>
      <c r="D346" s="88" t="s">
        <v>1010</v>
      </c>
      <c r="E346" s="102" t="s">
        <v>2190</v>
      </c>
      <c r="F346" s="88" t="s">
        <v>577</v>
      </c>
      <c r="G346" s="88" t="s">
        <v>546</v>
      </c>
      <c r="H346" s="40" t="s">
        <v>1244</v>
      </c>
      <c r="I346" s="88" t="s">
        <v>603</v>
      </c>
      <c r="J346" s="88" t="s">
        <v>256</v>
      </c>
      <c r="K346" s="18">
        <v>15250815.93</v>
      </c>
      <c r="L346" s="18"/>
      <c r="M346" s="18"/>
      <c r="N346" s="18">
        <v>762540.8</v>
      </c>
      <c r="O346" s="18"/>
      <c r="P346" s="18">
        <v>14488275.130000001</v>
      </c>
      <c r="Q346" s="20">
        <f>SUM(PAC!$M346:$P346)</f>
        <v>15250815.930000002</v>
      </c>
      <c r="R346" s="20"/>
      <c r="S346" s="20">
        <f>IF(PAC!$R346&gt;0,PAC!$R346,PAC!$Q346)</f>
        <v>15250815.930000002</v>
      </c>
      <c r="T346" s="20"/>
      <c r="U346" s="103" t="s">
        <v>1573</v>
      </c>
      <c r="V346" s="103" t="s">
        <v>1764</v>
      </c>
      <c r="W346" s="104"/>
      <c r="X346" s="104" t="s">
        <v>1419</v>
      </c>
      <c r="Y346" s="101" t="s">
        <v>2476</v>
      </c>
      <c r="Z346" s="87"/>
      <c r="AA346" s="105"/>
      <c r="AB346" s="40" t="s">
        <v>1509</v>
      </c>
      <c r="AC346" s="40" t="s">
        <v>1941</v>
      </c>
      <c r="AD346" s="106">
        <v>46325</v>
      </c>
      <c r="AE346" s="102" t="s">
        <v>1316</v>
      </c>
      <c r="AF346" s="40" t="s">
        <v>847</v>
      </c>
      <c r="AG346" s="40"/>
      <c r="AH346" s="40"/>
      <c r="AI346" s="40"/>
      <c r="AJ346" s="87"/>
      <c r="AK346" s="40"/>
      <c r="AL346" s="40"/>
      <c r="AM346" s="40"/>
      <c r="AN346" s="87"/>
      <c r="AO346" s="87"/>
      <c r="AP346" s="87"/>
      <c r="AQ346" s="87"/>
      <c r="AR346" s="107"/>
      <c r="AS346" s="107"/>
      <c r="AT346" s="128"/>
      <c r="AU346" s="108" t="s">
        <v>1394</v>
      </c>
      <c r="AV346" s="106"/>
      <c r="AW346" s="105"/>
      <c r="AX346" s="109">
        <f>IFERROR(IF(PAC!$X346="F01 - CAPTAÇÃO DE RECURSO",1,""),"")</f>
        <v>1</v>
      </c>
      <c r="AY346" s="109" t="str">
        <f>IFERROR(IF(PAC!$X346="F02 - LICITAÇÃO",1,""),"")</f>
        <v/>
      </c>
      <c r="AZ346" s="110" t="str">
        <f>IFERROR(IF(PAC!$X$6:$X$581="F03 - EXECUÇÃO DO OBJETO",1,""),"")</f>
        <v/>
      </c>
      <c r="BA346" s="110" t="str">
        <f>IFERROR(IF(PAC!$X$6:$X$581="F04 - CONCLUÍDA",1,""),"")</f>
        <v/>
      </c>
      <c r="BB346" s="111">
        <f>IF(PAC!$R346&gt;0,0,PAC!$Q346)</f>
        <v>15250815.930000002</v>
      </c>
    </row>
    <row r="347" spans="1:54" s="1" customFormat="1" ht="151.15" hidden="1" customHeight="1" thickBot="1">
      <c r="A347" s="112">
        <f t="shared" si="5"/>
        <v>342</v>
      </c>
      <c r="B347" s="112">
        <v>2025</v>
      </c>
      <c r="C347" s="112" t="s">
        <v>605</v>
      </c>
      <c r="D347" s="112" t="s">
        <v>1010</v>
      </c>
      <c r="E347" s="114" t="s">
        <v>887</v>
      </c>
      <c r="F347" s="112" t="s">
        <v>577</v>
      </c>
      <c r="G347" s="112" t="s">
        <v>546</v>
      </c>
      <c r="H347" s="115" t="s">
        <v>1244</v>
      </c>
      <c r="I347" s="112" t="s">
        <v>1238</v>
      </c>
      <c r="J347" s="112" t="s">
        <v>401</v>
      </c>
      <c r="K347" s="31">
        <v>12493098.390000001</v>
      </c>
      <c r="L347" s="31"/>
      <c r="M347" s="31"/>
      <c r="N347" s="31"/>
      <c r="O347" s="31"/>
      <c r="P347" s="31"/>
      <c r="Q347" s="33">
        <f>SUM(PAC!$M347:$P347)</f>
        <v>0</v>
      </c>
      <c r="R347" s="33"/>
      <c r="S347" s="33">
        <f>IF(PAC!$R347&gt;0,PAC!$R347,PAC!$Q347)</f>
        <v>0</v>
      </c>
      <c r="T347" s="33"/>
      <c r="U347" s="116" t="s">
        <v>594</v>
      </c>
      <c r="V347" s="116"/>
      <c r="W347" s="117"/>
      <c r="X347" s="117" t="s">
        <v>1419</v>
      </c>
      <c r="Y347" s="113" t="s">
        <v>2486</v>
      </c>
      <c r="Z347" s="118"/>
      <c r="AA347" s="119"/>
      <c r="AB347" s="115"/>
      <c r="AC347" s="115"/>
      <c r="AD347" s="120"/>
      <c r="AE347" s="114"/>
      <c r="AF347" s="115" t="s">
        <v>888</v>
      </c>
      <c r="AG347" s="115"/>
      <c r="AH347" s="115"/>
      <c r="AI347" s="115"/>
      <c r="AJ347" s="118"/>
      <c r="AK347" s="115"/>
      <c r="AL347" s="115"/>
      <c r="AM347" s="115"/>
      <c r="AN347" s="118"/>
      <c r="AO347" s="118"/>
      <c r="AP347" s="118"/>
      <c r="AQ347" s="118"/>
      <c r="AR347" s="121"/>
      <c r="AS347" s="121"/>
      <c r="AT347" s="114" t="s">
        <v>890</v>
      </c>
      <c r="AU347" s="115" t="s">
        <v>1004</v>
      </c>
      <c r="AV347" s="120"/>
      <c r="AW347" s="119"/>
      <c r="AX347" s="194">
        <f>IFERROR(IF(PAC!$X347="F01 - CAPTAÇÃO DE RECURSO",1,""),"")</f>
        <v>1</v>
      </c>
      <c r="AY347" s="194" t="str">
        <f>IFERROR(IF(PAC!$X347="F02 - LICITAÇÃO",1,""),"")</f>
        <v/>
      </c>
      <c r="AZ347" s="123" t="str">
        <f>IFERROR(IF(PAC!$X$6:$X$581="F03 - EXECUÇÃO DO OBJETO",1,""),"")</f>
        <v/>
      </c>
      <c r="BA347" s="123" t="str">
        <f>IFERROR(IF(PAC!$X$6:$X$581="F04 - CONCLUÍDA",1,""),"")</f>
        <v/>
      </c>
      <c r="BB347" s="191">
        <f>IF(PAC!$R347&gt;0,0,PAC!$Q347)</f>
        <v>0</v>
      </c>
    </row>
    <row r="348" spans="1:54" s="1" customFormat="1" ht="84" hidden="1" customHeight="1" thickBot="1">
      <c r="A348" s="88">
        <f t="shared" si="5"/>
        <v>343</v>
      </c>
      <c r="B348" s="88">
        <v>2025</v>
      </c>
      <c r="C348" s="88" t="s">
        <v>605</v>
      </c>
      <c r="D348" s="88" t="s">
        <v>1010</v>
      </c>
      <c r="E348" s="102" t="s">
        <v>2191</v>
      </c>
      <c r="F348" s="88" t="s">
        <v>577</v>
      </c>
      <c r="G348" s="88" t="s">
        <v>546</v>
      </c>
      <c r="H348" s="40" t="s">
        <v>1244</v>
      </c>
      <c r="I348" s="88" t="s">
        <v>1238</v>
      </c>
      <c r="J348" s="88" t="s">
        <v>361</v>
      </c>
      <c r="K348" s="18">
        <v>20116226.050000001</v>
      </c>
      <c r="L348" s="18"/>
      <c r="M348" s="18"/>
      <c r="N348" s="18">
        <v>1268284.22</v>
      </c>
      <c r="O348" s="18"/>
      <c r="P348" s="18">
        <v>18847941.829999998</v>
      </c>
      <c r="Q348" s="20">
        <f>SUM(PAC!$M348:$P348)</f>
        <v>20116226.049999997</v>
      </c>
      <c r="R348" s="20"/>
      <c r="S348" s="20">
        <f>IF(PAC!$R348&gt;0,PAC!$R348,PAC!$Q348)</f>
        <v>20116226.049999997</v>
      </c>
      <c r="T348" s="20"/>
      <c r="U348" s="103" t="s">
        <v>1573</v>
      </c>
      <c r="V348" s="103" t="s">
        <v>1764</v>
      </c>
      <c r="W348" s="104"/>
      <c r="X348" s="104" t="s">
        <v>1419</v>
      </c>
      <c r="Y348" s="101" t="s">
        <v>2476</v>
      </c>
      <c r="Z348" s="87"/>
      <c r="AA348" s="105"/>
      <c r="AB348" s="40" t="s">
        <v>1509</v>
      </c>
      <c r="AC348" s="40" t="s">
        <v>1941</v>
      </c>
      <c r="AD348" s="106">
        <v>46325</v>
      </c>
      <c r="AE348" s="102" t="s">
        <v>1316</v>
      </c>
      <c r="AF348" s="40" t="s">
        <v>889</v>
      </c>
      <c r="AG348" s="40"/>
      <c r="AH348" s="40"/>
      <c r="AI348" s="40"/>
      <c r="AJ348" s="87"/>
      <c r="AK348" s="40"/>
      <c r="AL348" s="40"/>
      <c r="AM348" s="40"/>
      <c r="AN348" s="87"/>
      <c r="AO348" s="87"/>
      <c r="AP348" s="87"/>
      <c r="AQ348" s="87"/>
      <c r="AR348" s="107"/>
      <c r="AS348" s="107"/>
      <c r="AT348" s="102" t="s">
        <v>2192</v>
      </c>
      <c r="AU348" s="108" t="s">
        <v>1394</v>
      </c>
      <c r="AV348" s="106"/>
      <c r="AW348" s="105" t="s">
        <v>707</v>
      </c>
      <c r="AX348" s="109">
        <f>IFERROR(IF(PAC!$X348="F01 - CAPTAÇÃO DE RECURSO",1,""),"")</f>
        <v>1</v>
      </c>
      <c r="AY348" s="109" t="str">
        <f>IFERROR(IF(PAC!$X348="F02 - LICITAÇÃO",1,""),"")</f>
        <v/>
      </c>
      <c r="AZ348" s="110" t="str">
        <f>IFERROR(IF(PAC!$X$6:$X$581="F03 - EXECUÇÃO DO OBJETO",1,""),"")</f>
        <v/>
      </c>
      <c r="BA348" s="110" t="str">
        <f>IFERROR(IF(PAC!$X$6:$X$581="F04 - CONCLUÍDA",1,""),"")</f>
        <v/>
      </c>
      <c r="BB348" s="111">
        <f>IF(PAC!$R348&gt;0,0,PAC!$Q348)</f>
        <v>20116226.049999997</v>
      </c>
    </row>
    <row r="349" spans="1:54" s="1" customFormat="1" ht="84" hidden="1" customHeight="1" thickBot="1">
      <c r="A349" s="112">
        <f t="shared" si="5"/>
        <v>344</v>
      </c>
      <c r="B349" s="112">
        <v>2025</v>
      </c>
      <c r="C349" s="112" t="s">
        <v>605</v>
      </c>
      <c r="D349" s="112" t="s">
        <v>1010</v>
      </c>
      <c r="E349" s="114" t="s">
        <v>2193</v>
      </c>
      <c r="F349" s="112" t="s">
        <v>577</v>
      </c>
      <c r="G349" s="112" t="s">
        <v>546</v>
      </c>
      <c r="H349" s="115" t="s">
        <v>1244</v>
      </c>
      <c r="I349" s="112" t="s">
        <v>603</v>
      </c>
      <c r="J349" s="112" t="s">
        <v>361</v>
      </c>
      <c r="K349" s="31">
        <v>17477437.449999999</v>
      </c>
      <c r="L349" s="31"/>
      <c r="M349" s="31"/>
      <c r="N349" s="31">
        <v>937500</v>
      </c>
      <c r="O349" s="31"/>
      <c r="P349" s="31">
        <v>16539937.449999999</v>
      </c>
      <c r="Q349" s="33">
        <f>SUM(PAC!$M349:$P349)</f>
        <v>17477437.449999999</v>
      </c>
      <c r="R349" s="33"/>
      <c r="S349" s="33">
        <f>IF(PAC!$R349&gt;0,PAC!$R349,PAC!$Q349)</f>
        <v>17477437.449999999</v>
      </c>
      <c r="T349" s="33"/>
      <c r="U349" s="116" t="s">
        <v>1573</v>
      </c>
      <c r="V349" s="116" t="s">
        <v>1764</v>
      </c>
      <c r="W349" s="117"/>
      <c r="X349" s="117" t="s">
        <v>1419</v>
      </c>
      <c r="Y349" s="113" t="s">
        <v>2476</v>
      </c>
      <c r="Z349" s="118"/>
      <c r="AA349" s="119"/>
      <c r="AB349" s="115" t="s">
        <v>1509</v>
      </c>
      <c r="AC349" s="115" t="s">
        <v>1941</v>
      </c>
      <c r="AD349" s="120">
        <v>46325</v>
      </c>
      <c r="AE349" s="114" t="s">
        <v>1316</v>
      </c>
      <c r="AF349" s="115" t="s">
        <v>910</v>
      </c>
      <c r="AG349" s="115"/>
      <c r="AH349" s="115"/>
      <c r="AI349" s="115"/>
      <c r="AJ349" s="118"/>
      <c r="AK349" s="115"/>
      <c r="AL349" s="115"/>
      <c r="AM349" s="115"/>
      <c r="AN349" s="118"/>
      <c r="AO349" s="118"/>
      <c r="AP349" s="118"/>
      <c r="AQ349" s="118"/>
      <c r="AR349" s="121"/>
      <c r="AS349" s="121"/>
      <c r="AT349" s="114" t="s">
        <v>1313</v>
      </c>
      <c r="AU349" s="122" t="s">
        <v>1394</v>
      </c>
      <c r="AV349" s="120"/>
      <c r="AW349" s="119"/>
      <c r="AX349" s="194">
        <f>IFERROR(IF(PAC!$X349="F01 - CAPTAÇÃO DE RECURSO",1,""),"")</f>
        <v>1</v>
      </c>
      <c r="AY349" s="194" t="str">
        <f>IFERROR(IF(PAC!$X349="F02 - LICITAÇÃO",1,""),"")</f>
        <v/>
      </c>
      <c r="AZ349" s="123" t="str">
        <f>IFERROR(IF(PAC!$X$6:$X$581="F03 - EXECUÇÃO DO OBJETO",1,""),"")</f>
        <v/>
      </c>
      <c r="BA349" s="123" t="str">
        <f>IFERROR(IF(PAC!$X$6:$X$581="F04 - CONCLUÍDA",1,""),"")</f>
        <v/>
      </c>
      <c r="BB349" s="191">
        <f>IF(PAC!$R349&gt;0,0,PAC!$Q349)</f>
        <v>17477437.449999999</v>
      </c>
    </row>
    <row r="350" spans="1:54" s="1" customFormat="1" ht="409.5" hidden="1" customHeight="1" thickBot="1">
      <c r="A350" s="88">
        <f t="shared" si="5"/>
        <v>345</v>
      </c>
      <c r="B350" s="88">
        <v>2025</v>
      </c>
      <c r="C350" s="88" t="s">
        <v>605</v>
      </c>
      <c r="D350" s="88" t="s">
        <v>1010</v>
      </c>
      <c r="E350" s="102" t="s">
        <v>1561</v>
      </c>
      <c r="F350" s="88" t="s">
        <v>577</v>
      </c>
      <c r="G350" s="88" t="s">
        <v>546</v>
      </c>
      <c r="H350" s="40" t="s">
        <v>1244</v>
      </c>
      <c r="I350" s="88" t="s">
        <v>603</v>
      </c>
      <c r="J350" s="88" t="s">
        <v>243</v>
      </c>
      <c r="K350" s="18">
        <v>10878688.49</v>
      </c>
      <c r="L350" s="18"/>
      <c r="M350" s="18"/>
      <c r="N350" s="18"/>
      <c r="O350" s="18"/>
      <c r="P350" s="18"/>
      <c r="Q350" s="20">
        <f>SUM(PAC!$M350:$P350)</f>
        <v>0</v>
      </c>
      <c r="R350" s="20"/>
      <c r="S350" s="20">
        <f>IF(PAC!$R350&gt;0,PAC!$R350,PAC!$Q350)</f>
        <v>0</v>
      </c>
      <c r="T350" s="20"/>
      <c r="U350" s="103" t="s">
        <v>594</v>
      </c>
      <c r="V350" s="103"/>
      <c r="W350" s="104"/>
      <c r="X350" s="104" t="s">
        <v>1419</v>
      </c>
      <c r="Y350" s="101" t="s">
        <v>2486</v>
      </c>
      <c r="Z350" s="87"/>
      <c r="AA350" s="105"/>
      <c r="AB350" s="40"/>
      <c r="AC350" s="40"/>
      <c r="AD350" s="106"/>
      <c r="AE350" s="102"/>
      <c r="AF350" s="40" t="s">
        <v>940</v>
      </c>
      <c r="AG350" s="40"/>
      <c r="AH350" s="40"/>
      <c r="AI350" s="40"/>
      <c r="AJ350" s="87"/>
      <c r="AK350" s="40"/>
      <c r="AL350" s="40"/>
      <c r="AM350" s="40"/>
      <c r="AN350" s="87"/>
      <c r="AO350" s="87"/>
      <c r="AP350" s="87"/>
      <c r="AQ350" s="87"/>
      <c r="AR350" s="107"/>
      <c r="AS350" s="107"/>
      <c r="AT350" s="102"/>
      <c r="AU350" s="108"/>
      <c r="AV350" s="106"/>
      <c r="AW350" s="105"/>
      <c r="AX350" s="109">
        <f>IFERROR(IF(PAC!$X350="F01 - CAPTAÇÃO DE RECURSO",1,""),"")</f>
        <v>1</v>
      </c>
      <c r="AY350" s="109" t="str">
        <f>IFERROR(IF(PAC!$X350="F02 - LICITAÇÃO",1,""),"")</f>
        <v/>
      </c>
      <c r="AZ350" s="110" t="str">
        <f>IFERROR(IF(PAC!$X$6:$X$581="F03 - EXECUÇÃO DO OBJETO",1,""),"")</f>
        <v/>
      </c>
      <c r="BA350" s="110" t="str">
        <f>IFERROR(IF(PAC!$X$6:$X$581="F04 - CONCLUÍDA",1,""),"")</f>
        <v/>
      </c>
      <c r="BB350" s="111">
        <f>IF(PAC!$R350&gt;0,0,PAC!$Q350)</f>
        <v>0</v>
      </c>
    </row>
    <row r="351" spans="1:54" s="1" customFormat="1" ht="240.75" hidden="1" customHeight="1" thickBot="1">
      <c r="A351" s="112">
        <f t="shared" si="5"/>
        <v>346</v>
      </c>
      <c r="B351" s="112">
        <v>2025</v>
      </c>
      <c r="C351" s="112" t="s">
        <v>605</v>
      </c>
      <c r="D351" s="112" t="s">
        <v>1010</v>
      </c>
      <c r="E351" s="114" t="s">
        <v>2194</v>
      </c>
      <c r="F351" s="112" t="s">
        <v>577</v>
      </c>
      <c r="G351" s="112" t="s">
        <v>546</v>
      </c>
      <c r="H351" s="115" t="s">
        <v>1244</v>
      </c>
      <c r="I351" s="112" t="s">
        <v>1238</v>
      </c>
      <c r="J351" s="112" t="s">
        <v>156</v>
      </c>
      <c r="K351" s="31">
        <v>51659454.009999998</v>
      </c>
      <c r="L351" s="31"/>
      <c r="M351" s="31"/>
      <c r="N351" s="31">
        <v>2583972.7000000002</v>
      </c>
      <c r="O351" s="31"/>
      <c r="P351" s="31">
        <v>49076481.310000002</v>
      </c>
      <c r="Q351" s="33">
        <f>SUM(PAC!$M351:$P351)</f>
        <v>51660454.010000005</v>
      </c>
      <c r="R351" s="33"/>
      <c r="S351" s="33">
        <f>IF(PAC!$R351&gt;0,PAC!$R351,PAC!$Q351)</f>
        <v>51660454.010000005</v>
      </c>
      <c r="T351" s="33"/>
      <c r="U351" s="116" t="s">
        <v>1573</v>
      </c>
      <c r="V351" s="116" t="s">
        <v>1764</v>
      </c>
      <c r="W351" s="117"/>
      <c r="X351" s="117" t="s">
        <v>1419</v>
      </c>
      <c r="Y351" s="113" t="s">
        <v>2476</v>
      </c>
      <c r="Z351" s="118"/>
      <c r="AA351" s="119"/>
      <c r="AB351" s="115" t="s">
        <v>1509</v>
      </c>
      <c r="AC351" s="115" t="s">
        <v>1941</v>
      </c>
      <c r="AD351" s="120">
        <v>46325</v>
      </c>
      <c r="AE351" s="114" t="s">
        <v>1316</v>
      </c>
      <c r="AF351" s="115" t="s">
        <v>941</v>
      </c>
      <c r="AG351" s="115"/>
      <c r="AH351" s="115"/>
      <c r="AI351" s="115"/>
      <c r="AJ351" s="118"/>
      <c r="AK351" s="115"/>
      <c r="AL351" s="115"/>
      <c r="AM351" s="115"/>
      <c r="AN351" s="118"/>
      <c r="AO351" s="118"/>
      <c r="AP351" s="118"/>
      <c r="AQ351" s="118"/>
      <c r="AR351" s="121"/>
      <c r="AS351" s="121"/>
      <c r="AT351" s="127" t="s">
        <v>2195</v>
      </c>
      <c r="AU351" s="122" t="s">
        <v>1394</v>
      </c>
      <c r="AV351" s="120"/>
      <c r="AW351" s="119" t="s">
        <v>707</v>
      </c>
      <c r="AX351" s="194">
        <f>IFERROR(IF(PAC!$X351="F01 - CAPTAÇÃO DE RECURSO",1,""),"")</f>
        <v>1</v>
      </c>
      <c r="AY351" s="194" t="str">
        <f>IFERROR(IF(PAC!$X351="F02 - LICITAÇÃO",1,""),"")</f>
        <v/>
      </c>
      <c r="AZ351" s="123" t="str">
        <f>IFERROR(IF(PAC!$X$6:$X$581="F03 - EXECUÇÃO DO OBJETO",1,""),"")</f>
        <v/>
      </c>
      <c r="BA351" s="123" t="str">
        <f>IFERROR(IF(PAC!$X$6:$X$581="F04 - CONCLUÍDA",1,""),"")</f>
        <v/>
      </c>
      <c r="BB351" s="191">
        <f>IF(PAC!$R351&gt;0,0,PAC!$Q351)</f>
        <v>51660454.010000005</v>
      </c>
    </row>
    <row r="352" spans="1:54" s="1" customFormat="1" ht="336" hidden="1" customHeight="1" thickBot="1">
      <c r="A352" s="88">
        <f t="shared" si="5"/>
        <v>347</v>
      </c>
      <c r="B352" s="88">
        <v>2025</v>
      </c>
      <c r="C352" s="88" t="s">
        <v>605</v>
      </c>
      <c r="D352" s="88" t="s">
        <v>1010</v>
      </c>
      <c r="E352" s="102" t="s">
        <v>2196</v>
      </c>
      <c r="F352" s="88" t="s">
        <v>577</v>
      </c>
      <c r="G352" s="88" t="s">
        <v>546</v>
      </c>
      <c r="H352" s="40" t="s">
        <v>1244</v>
      </c>
      <c r="I352" s="88" t="s">
        <v>603</v>
      </c>
      <c r="J352" s="88" t="s">
        <v>401</v>
      </c>
      <c r="K352" s="18">
        <v>85522010.590000004</v>
      </c>
      <c r="L352" s="18"/>
      <c r="M352" s="18"/>
      <c r="N352" s="18">
        <v>4233489.25</v>
      </c>
      <c r="O352" s="18"/>
      <c r="P352" s="18">
        <v>81288521.340000004</v>
      </c>
      <c r="Q352" s="20">
        <f>SUM(PAC!$M352:$P352)</f>
        <v>85522010.590000004</v>
      </c>
      <c r="R352" s="20"/>
      <c r="S352" s="20">
        <f>IF(PAC!$R352&gt;0,PAC!$R352,PAC!$Q352)</f>
        <v>85522010.590000004</v>
      </c>
      <c r="T352" s="20"/>
      <c r="U352" s="103" t="s">
        <v>1573</v>
      </c>
      <c r="V352" s="103" t="s">
        <v>1764</v>
      </c>
      <c r="W352" s="104"/>
      <c r="X352" s="104" t="s">
        <v>1419</v>
      </c>
      <c r="Y352" s="101" t="s">
        <v>2476</v>
      </c>
      <c r="Z352" s="87"/>
      <c r="AA352" s="105"/>
      <c r="AB352" s="40" t="s">
        <v>1509</v>
      </c>
      <c r="AC352" s="40" t="s">
        <v>1941</v>
      </c>
      <c r="AD352" s="106">
        <v>46325</v>
      </c>
      <c r="AE352" s="102" t="s">
        <v>1316</v>
      </c>
      <c r="AF352" s="40" t="s">
        <v>1000</v>
      </c>
      <c r="AG352" s="40"/>
      <c r="AH352" s="40"/>
      <c r="AI352" s="40"/>
      <c r="AJ352" s="87"/>
      <c r="AK352" s="40"/>
      <c r="AL352" s="40"/>
      <c r="AM352" s="40"/>
      <c r="AN352" s="87"/>
      <c r="AO352" s="87"/>
      <c r="AP352" s="87"/>
      <c r="AQ352" s="87"/>
      <c r="AR352" s="107"/>
      <c r="AS352" s="107"/>
      <c r="AT352" s="128" t="s">
        <v>2197</v>
      </c>
      <c r="AU352" s="108" t="s">
        <v>1394</v>
      </c>
      <c r="AV352" s="106"/>
      <c r="AW352" s="105" t="s">
        <v>1016</v>
      </c>
      <c r="AX352" s="109">
        <f>IFERROR(IF(PAC!$X352="F01 - CAPTAÇÃO DE RECURSO",1,""),"")</f>
        <v>1</v>
      </c>
      <c r="AY352" s="109" t="str">
        <f>IFERROR(IF(PAC!$X352="F02 - LICITAÇÃO",1,""),"")</f>
        <v/>
      </c>
      <c r="AZ352" s="110" t="str">
        <f>IFERROR(IF(PAC!$X$6:$X$581="F03 - EXECUÇÃO DO OBJETO",1,""),"")</f>
        <v/>
      </c>
      <c r="BA352" s="110" t="str">
        <f>IFERROR(IF(PAC!$X$6:$X$581="F04 - CONCLUÍDA",1,""),"")</f>
        <v/>
      </c>
      <c r="BB352" s="111">
        <f>IF(PAC!$R352&gt;0,0,PAC!$Q352)</f>
        <v>85522010.590000004</v>
      </c>
    </row>
    <row r="353" spans="1:54" s="1" customFormat="1" ht="294" hidden="1" customHeight="1" thickBot="1">
      <c r="A353" s="112">
        <f t="shared" si="5"/>
        <v>348</v>
      </c>
      <c r="B353" s="112">
        <v>2023</v>
      </c>
      <c r="C353" s="112" t="s">
        <v>605</v>
      </c>
      <c r="D353" s="112" t="s">
        <v>1010</v>
      </c>
      <c r="E353" s="130" t="s">
        <v>2662</v>
      </c>
      <c r="F353" s="115" t="s">
        <v>577</v>
      </c>
      <c r="G353" s="115" t="s">
        <v>546</v>
      </c>
      <c r="H353" s="112" t="s">
        <v>1244</v>
      </c>
      <c r="I353" s="112" t="s">
        <v>1238</v>
      </c>
      <c r="J353" s="112" t="s">
        <v>361</v>
      </c>
      <c r="K353" s="31"/>
      <c r="L353" s="31"/>
      <c r="M353" s="31">
        <v>8036837.5700000003</v>
      </c>
      <c r="N353" s="31"/>
      <c r="O353" s="33">
        <v>0</v>
      </c>
      <c r="P353" s="33"/>
      <c r="Q353" s="33">
        <f>SUM(PAC!$M353:$P353)</f>
        <v>8036837.5700000003</v>
      </c>
      <c r="R353" s="33"/>
      <c r="S353" s="33">
        <f>IF(PAC!$R353&gt;0,PAC!$R353,PAC!$Q353)</f>
        <v>8036837.5700000003</v>
      </c>
      <c r="T353" s="117"/>
      <c r="U353" s="113" t="s">
        <v>1562</v>
      </c>
      <c r="V353" s="116"/>
      <c r="W353" s="117"/>
      <c r="X353" s="117" t="s">
        <v>1419</v>
      </c>
      <c r="Y353" s="113" t="s">
        <v>2473</v>
      </c>
      <c r="Z353" s="118">
        <v>46291</v>
      </c>
      <c r="AA353" s="119"/>
      <c r="AB353" s="115" t="s">
        <v>1463</v>
      </c>
      <c r="AC353" s="115" t="s">
        <v>2488</v>
      </c>
      <c r="AD353" s="120">
        <v>46291</v>
      </c>
      <c r="AE353" s="114" t="s">
        <v>2460</v>
      </c>
      <c r="AF353" s="115" t="s">
        <v>552</v>
      </c>
      <c r="AG353" s="115" t="s">
        <v>2459</v>
      </c>
      <c r="AH353" s="115"/>
      <c r="AI353" s="115"/>
      <c r="AJ353" s="118"/>
      <c r="AK353" s="115"/>
      <c r="AL353" s="115"/>
      <c r="AM353" s="115"/>
      <c r="AN353" s="118"/>
      <c r="AO353" s="118"/>
      <c r="AP353" s="118"/>
      <c r="AQ353" s="118"/>
      <c r="AR353" s="121"/>
      <c r="AS353" s="121"/>
      <c r="AT353" s="114"/>
      <c r="AU353" s="122"/>
      <c r="AV353" s="120"/>
      <c r="AW353" s="131"/>
      <c r="AX353" s="194">
        <f>IFERROR(IF(PAC!$X353="F01 - CAPTAÇÃO DE RECURSO",1,""),"")</f>
        <v>1</v>
      </c>
      <c r="AY353" s="194" t="str">
        <f>IFERROR(IF(PAC!$X353="F02 - LICITAÇÃO",1,""),"")</f>
        <v/>
      </c>
      <c r="AZ353" s="123" t="str">
        <f>IFERROR(IF(PAC!$X$6:$X$581="F03 - EXECUÇÃO DO OBJETO",1,""),"")</f>
        <v/>
      </c>
      <c r="BA353" s="123" t="str">
        <f>IFERROR(IF(PAC!$X$6:$X$581="F04 - CONCLUÍDA",1,""),"")</f>
        <v/>
      </c>
      <c r="BB353" s="191">
        <f>IF(PAC!$R353&gt;0,0,PAC!$Q353)</f>
        <v>8036837.5700000003</v>
      </c>
    </row>
    <row r="354" spans="1:54" s="1" customFormat="1" ht="239.25" hidden="1" customHeight="1" thickBot="1">
      <c r="A354" s="88">
        <f t="shared" si="5"/>
        <v>349</v>
      </c>
      <c r="B354" s="88">
        <v>2023</v>
      </c>
      <c r="C354" s="88" t="s">
        <v>605</v>
      </c>
      <c r="D354" s="88" t="s">
        <v>1010</v>
      </c>
      <c r="E354" s="89" t="s">
        <v>2556</v>
      </c>
      <c r="F354" s="40" t="s">
        <v>577</v>
      </c>
      <c r="G354" s="40" t="s">
        <v>546</v>
      </c>
      <c r="H354" s="88" t="s">
        <v>1244</v>
      </c>
      <c r="I354" s="88" t="s">
        <v>1238</v>
      </c>
      <c r="J354" s="88" t="s">
        <v>361</v>
      </c>
      <c r="K354" s="18"/>
      <c r="L354" s="18"/>
      <c r="M354" s="18"/>
      <c r="N354" s="18"/>
      <c r="O354" s="18"/>
      <c r="P354" s="18">
        <v>1208369.17</v>
      </c>
      <c r="Q354" s="20">
        <f>SUM(PAC!$M354:$P354)</f>
        <v>1208369.17</v>
      </c>
      <c r="R354" s="20"/>
      <c r="S354" s="20">
        <f>IF(PAC!$R354&gt;0,PAC!$R354,PAC!$Q354)</f>
        <v>1208369.17</v>
      </c>
      <c r="T354" s="20"/>
      <c r="U354" s="103" t="s">
        <v>1573</v>
      </c>
      <c r="V354" s="103" t="s">
        <v>1764</v>
      </c>
      <c r="W354" s="104">
        <v>9</v>
      </c>
      <c r="X354" s="104" t="s">
        <v>1418</v>
      </c>
      <c r="Y354" s="101" t="s">
        <v>2472</v>
      </c>
      <c r="Z354" s="87">
        <v>46265</v>
      </c>
      <c r="AA354" s="105"/>
      <c r="AB354" s="40" t="s">
        <v>1464</v>
      </c>
      <c r="AC354" s="40" t="s">
        <v>2554</v>
      </c>
      <c r="AD354" s="106">
        <v>46265</v>
      </c>
      <c r="AE354" s="102" t="s">
        <v>2555</v>
      </c>
      <c r="AF354" s="40" t="s">
        <v>592</v>
      </c>
      <c r="AG354" s="40" t="s">
        <v>2147</v>
      </c>
      <c r="AH354" s="40"/>
      <c r="AI354" s="40"/>
      <c r="AJ354" s="87"/>
      <c r="AK354" s="40" t="s">
        <v>2557</v>
      </c>
      <c r="AL354" s="40"/>
      <c r="AM354" s="40"/>
      <c r="AN354" s="87">
        <v>46239</v>
      </c>
      <c r="AO354" s="87">
        <v>46265</v>
      </c>
      <c r="AP354" s="87"/>
      <c r="AQ354" s="87"/>
      <c r="AR354" s="107"/>
      <c r="AS354" s="107"/>
      <c r="AT354" s="102" t="s">
        <v>2579</v>
      </c>
      <c r="AU354" s="108"/>
      <c r="AV354" s="106"/>
      <c r="AW354" s="129"/>
      <c r="AX354" s="109" t="str">
        <f>IFERROR(IF(PAC!$X354="F01 - CAPTAÇÃO DE RECURSO",1,""),"")</f>
        <v/>
      </c>
      <c r="AY354" s="109">
        <f>IFERROR(IF(PAC!$X354="F02 - LICITAÇÃO",1,""),"")</f>
        <v>1</v>
      </c>
      <c r="AZ354" s="110" t="str">
        <f>IFERROR(IF(PAC!$X$6:$X$581="F03 - EXECUÇÃO DO OBJETO",1,""),"")</f>
        <v/>
      </c>
      <c r="BA354" s="110" t="str">
        <f>IFERROR(IF(PAC!$X$6:$X$581="F04 - CONCLUÍDA",1,""),"")</f>
        <v/>
      </c>
      <c r="BB354" s="111">
        <f>IF(PAC!$R354&gt;0,0,PAC!$Q354)</f>
        <v>1208369.17</v>
      </c>
    </row>
    <row r="355" spans="1:54" s="1" customFormat="1" ht="150" hidden="1" customHeight="1" thickBot="1">
      <c r="A355" s="112">
        <f t="shared" si="5"/>
        <v>350</v>
      </c>
      <c r="B355" s="113">
        <v>2023</v>
      </c>
      <c r="C355" s="112" t="s">
        <v>605</v>
      </c>
      <c r="D355" s="112" t="s">
        <v>1010</v>
      </c>
      <c r="E355" s="114" t="s">
        <v>478</v>
      </c>
      <c r="F355" s="112" t="s">
        <v>56</v>
      </c>
      <c r="G355" s="112" t="s">
        <v>505</v>
      </c>
      <c r="H355" s="115" t="s">
        <v>1245</v>
      </c>
      <c r="I355" s="112" t="s">
        <v>468</v>
      </c>
      <c r="J355" s="112" t="s">
        <v>95</v>
      </c>
      <c r="K355" s="31"/>
      <c r="L355" s="31">
        <v>23000000</v>
      </c>
      <c r="M355" s="31">
        <v>17000010</v>
      </c>
      <c r="N355" s="31"/>
      <c r="O355" s="31">
        <v>13578552.73</v>
      </c>
      <c r="P355" s="31"/>
      <c r="Q355" s="33">
        <f>SUM(PAC!$M355:$P355)</f>
        <v>30578562.73</v>
      </c>
      <c r="R355" s="33">
        <v>27215988.710000001</v>
      </c>
      <c r="S355" s="33">
        <f>IF(PAC!$R355&gt;0,PAC!$R355,PAC!$Q355)</f>
        <v>27215988.710000001</v>
      </c>
      <c r="T355" s="33" t="s">
        <v>1605</v>
      </c>
      <c r="U355" s="116" t="s">
        <v>1564</v>
      </c>
      <c r="V355" s="116"/>
      <c r="W355" s="117">
        <v>12</v>
      </c>
      <c r="X355" s="117" t="s">
        <v>1490</v>
      </c>
      <c r="Y355" s="113" t="s">
        <v>2482</v>
      </c>
      <c r="Z355" s="118">
        <v>46203</v>
      </c>
      <c r="AA355" s="119">
        <v>100</v>
      </c>
      <c r="AB355" s="115"/>
      <c r="AC355" s="115"/>
      <c r="AD355" s="120"/>
      <c r="AE355" s="114" t="s">
        <v>685</v>
      </c>
      <c r="AF355" s="115" t="s">
        <v>482</v>
      </c>
      <c r="AG355" s="115" t="s">
        <v>489</v>
      </c>
      <c r="AH355" s="115" t="s">
        <v>977</v>
      </c>
      <c r="AI355" s="115"/>
      <c r="AJ355" s="118"/>
      <c r="AK355" s="115" t="s">
        <v>1098</v>
      </c>
      <c r="AL355" s="115" t="s">
        <v>1107</v>
      </c>
      <c r="AM355" s="115"/>
      <c r="AN355" s="118">
        <v>45475</v>
      </c>
      <c r="AO355" s="118">
        <v>45519</v>
      </c>
      <c r="AP355" s="118">
        <v>45560</v>
      </c>
      <c r="AQ355" s="118">
        <v>45566</v>
      </c>
      <c r="AR355" s="121">
        <v>45933</v>
      </c>
      <c r="AS355" s="121">
        <v>46203</v>
      </c>
      <c r="AT355" s="114" t="s">
        <v>1933</v>
      </c>
      <c r="AU355" s="122" t="s">
        <v>2198</v>
      </c>
      <c r="AV355" s="120"/>
      <c r="AW355" s="119" t="s">
        <v>481</v>
      </c>
      <c r="AX355" s="194" t="str">
        <f>IFERROR(IF(PAC!$X355="F01 - CAPTAÇÃO DE RECURSO",1,""),"")</f>
        <v/>
      </c>
      <c r="AY355" s="194" t="str">
        <f>IFERROR(IF(PAC!$X355="F02 - LICITAÇÃO",1,""),"")</f>
        <v/>
      </c>
      <c r="AZ355" s="123" t="str">
        <f>IFERROR(IF(PAC!$X$6:$X$581="F03 - EXECUÇÃO DO OBJETO",1,""),"")</f>
        <v/>
      </c>
      <c r="BA355" s="123">
        <f>IFERROR(IF(PAC!$X$6:$X$581="F04 - CONCLUÍDA",1,""),"")</f>
        <v>1</v>
      </c>
      <c r="BB355" s="191">
        <f>IF(PAC!$R355&gt;0,0,PAC!$Q355)</f>
        <v>0</v>
      </c>
    </row>
    <row r="356" spans="1:54" s="1" customFormat="1" ht="150" hidden="1" customHeight="1" thickBot="1">
      <c r="A356" s="88">
        <f t="shared" si="5"/>
        <v>351</v>
      </c>
      <c r="B356" s="101">
        <v>2023</v>
      </c>
      <c r="C356" s="88" t="s">
        <v>605</v>
      </c>
      <c r="D356" s="88" t="s">
        <v>1010</v>
      </c>
      <c r="E356" s="102" t="s">
        <v>478</v>
      </c>
      <c r="F356" s="88" t="s">
        <v>56</v>
      </c>
      <c r="G356" s="88" t="s">
        <v>505</v>
      </c>
      <c r="H356" s="40" t="s">
        <v>1245</v>
      </c>
      <c r="I356" s="88" t="s">
        <v>468</v>
      </c>
      <c r="J356" s="88" t="s">
        <v>219</v>
      </c>
      <c r="K356" s="18"/>
      <c r="L356" s="18">
        <v>20000000</v>
      </c>
      <c r="M356" s="18">
        <v>17000010</v>
      </c>
      <c r="N356" s="18"/>
      <c r="O356" s="18">
        <v>7289146.3200000003</v>
      </c>
      <c r="P356" s="18"/>
      <c r="Q356" s="20">
        <f>SUM(PAC!$M356:$P356)</f>
        <v>24289156.32</v>
      </c>
      <c r="R356" s="20">
        <v>24289156.32</v>
      </c>
      <c r="S356" s="20">
        <f>IF(PAC!$R356&gt;0,PAC!$R356,PAC!$Q356)</f>
        <v>24289156.32</v>
      </c>
      <c r="T356" s="20" t="s">
        <v>1605</v>
      </c>
      <c r="U356" s="103" t="s">
        <v>1564</v>
      </c>
      <c r="V356" s="103"/>
      <c r="W356" s="104">
        <v>12</v>
      </c>
      <c r="X356" s="104" t="s">
        <v>1694</v>
      </c>
      <c r="Y356" s="101" t="s">
        <v>2470</v>
      </c>
      <c r="Z356" s="87">
        <v>46403</v>
      </c>
      <c r="AA356" s="105">
        <v>21.62</v>
      </c>
      <c r="AB356" s="40" t="s">
        <v>1472</v>
      </c>
      <c r="AC356" s="40"/>
      <c r="AD356" s="106"/>
      <c r="AE356" s="102" t="s">
        <v>685</v>
      </c>
      <c r="AF356" s="40" t="s">
        <v>483</v>
      </c>
      <c r="AG356" s="40" t="s">
        <v>490</v>
      </c>
      <c r="AH356" s="40" t="s">
        <v>977</v>
      </c>
      <c r="AI356" s="40"/>
      <c r="AJ356" s="87"/>
      <c r="AK356" s="40" t="s">
        <v>1099</v>
      </c>
      <c r="AL356" s="40" t="s">
        <v>1110</v>
      </c>
      <c r="AM356" s="40"/>
      <c r="AN356" s="87">
        <v>45478</v>
      </c>
      <c r="AO356" s="87">
        <v>45526</v>
      </c>
      <c r="AP356" s="87">
        <v>45801</v>
      </c>
      <c r="AQ356" s="87">
        <v>45579</v>
      </c>
      <c r="AR356" s="107">
        <v>45944</v>
      </c>
      <c r="AS356" s="107">
        <v>46403</v>
      </c>
      <c r="AT356" s="102" t="s">
        <v>1934</v>
      </c>
      <c r="AU356" s="40" t="s">
        <v>1844</v>
      </c>
      <c r="AV356" s="106"/>
      <c r="AW356" s="105" t="s">
        <v>481</v>
      </c>
      <c r="AX356" s="109" t="str">
        <f>IFERROR(IF(PAC!$X356="F01 - CAPTAÇÃO DE RECURSO",1,""),"")</f>
        <v/>
      </c>
      <c r="AY356" s="109" t="str">
        <f>IFERROR(IF(PAC!$X356="F02 - LICITAÇÃO",1,""),"")</f>
        <v/>
      </c>
      <c r="AZ356" s="110">
        <f>IFERROR(IF(PAC!$X$6:$X$581="F03 - EXECUÇÃO DO OBJETO",1,""),"")</f>
        <v>1</v>
      </c>
      <c r="BA356" s="110" t="str">
        <f>IFERROR(IF(PAC!$X$6:$X$581="F04 - CONCLUÍDA",1,""),"")</f>
        <v/>
      </c>
      <c r="BB356" s="111">
        <f>IF(PAC!$R356&gt;0,0,PAC!$Q356)</f>
        <v>0</v>
      </c>
    </row>
    <row r="357" spans="1:54" s="1" customFormat="1" ht="408.95" hidden="1" customHeight="1" thickBot="1">
      <c r="A357" s="112">
        <f t="shared" si="5"/>
        <v>352</v>
      </c>
      <c r="B357" s="113">
        <v>2023</v>
      </c>
      <c r="C357" s="112" t="s">
        <v>605</v>
      </c>
      <c r="D357" s="112" t="s">
        <v>1010</v>
      </c>
      <c r="E357" s="114" t="s">
        <v>478</v>
      </c>
      <c r="F357" s="112" t="s">
        <v>56</v>
      </c>
      <c r="G357" s="112" t="s">
        <v>505</v>
      </c>
      <c r="H357" s="115" t="s">
        <v>1245</v>
      </c>
      <c r="I357" s="112" t="s">
        <v>468</v>
      </c>
      <c r="J357" s="112" t="s">
        <v>346</v>
      </c>
      <c r="K357" s="31"/>
      <c r="L357" s="31">
        <v>20000000</v>
      </c>
      <c r="M357" s="31">
        <v>17000010</v>
      </c>
      <c r="N357" s="31"/>
      <c r="O357" s="31">
        <v>9176796.3200000003</v>
      </c>
      <c r="P357" s="31"/>
      <c r="Q357" s="33">
        <f>SUM(PAC!$M357:$P357)</f>
        <v>26176806.32</v>
      </c>
      <c r="R357" s="33">
        <v>23420259.82</v>
      </c>
      <c r="S357" s="33">
        <f>IF(PAC!$R357&gt;0,PAC!$R357,PAC!$Q357)</f>
        <v>23420259.82</v>
      </c>
      <c r="T357" s="33" t="s">
        <v>1606</v>
      </c>
      <c r="U357" s="116" t="s">
        <v>1564</v>
      </c>
      <c r="V357" s="116"/>
      <c r="W357" s="117">
        <v>12</v>
      </c>
      <c r="X357" s="117" t="s">
        <v>1694</v>
      </c>
      <c r="Y357" s="113" t="s">
        <v>2470</v>
      </c>
      <c r="Z357" s="118">
        <v>46265</v>
      </c>
      <c r="AA357" s="119">
        <v>96.11</v>
      </c>
      <c r="AB357" s="115" t="s">
        <v>1472</v>
      </c>
      <c r="AC357" s="115"/>
      <c r="AD357" s="120"/>
      <c r="AE357" s="114" t="s">
        <v>685</v>
      </c>
      <c r="AF357" s="115" t="s">
        <v>484</v>
      </c>
      <c r="AG357" s="115" t="s">
        <v>491</v>
      </c>
      <c r="AH357" s="115" t="s">
        <v>977</v>
      </c>
      <c r="AI357" s="115"/>
      <c r="AJ357" s="118"/>
      <c r="AK357" s="115" t="s">
        <v>1100</v>
      </c>
      <c r="AL357" s="115" t="s">
        <v>1109</v>
      </c>
      <c r="AM357" s="115"/>
      <c r="AN357" s="118">
        <v>45478</v>
      </c>
      <c r="AO357" s="118">
        <v>45531</v>
      </c>
      <c r="AP357" s="118">
        <v>45598</v>
      </c>
      <c r="AQ357" s="118">
        <v>45604</v>
      </c>
      <c r="AR357" s="121">
        <v>45971</v>
      </c>
      <c r="AS357" s="121">
        <v>46265</v>
      </c>
      <c r="AT357" s="114" t="s">
        <v>1935</v>
      </c>
      <c r="AU357" s="122" t="s">
        <v>2199</v>
      </c>
      <c r="AV357" s="120"/>
      <c r="AW357" s="119" t="s">
        <v>481</v>
      </c>
      <c r="AX357" s="194" t="str">
        <f>IFERROR(IF(PAC!$X357="F01 - CAPTAÇÃO DE RECURSO",1,""),"")</f>
        <v/>
      </c>
      <c r="AY357" s="194" t="str">
        <f>IFERROR(IF(PAC!$X357="F02 - LICITAÇÃO",1,""),"")</f>
        <v/>
      </c>
      <c r="AZ357" s="123">
        <f>IFERROR(IF(PAC!$X$6:$X$581="F03 - EXECUÇÃO DO OBJETO",1,""),"")</f>
        <v>1</v>
      </c>
      <c r="BA357" s="123" t="str">
        <f>IFERROR(IF(PAC!$X$6:$X$581="F04 - CONCLUÍDA",1,""),"")</f>
        <v/>
      </c>
      <c r="BB357" s="191">
        <f>IF(PAC!$R357&gt;0,0,PAC!$Q357)</f>
        <v>0</v>
      </c>
    </row>
    <row r="358" spans="1:54" s="1" customFormat="1" ht="408.95" hidden="1" customHeight="1" thickBot="1">
      <c r="A358" s="88">
        <f t="shared" si="5"/>
        <v>353</v>
      </c>
      <c r="B358" s="88">
        <v>2025</v>
      </c>
      <c r="C358" s="88" t="s">
        <v>605</v>
      </c>
      <c r="D358" s="88" t="s">
        <v>1010</v>
      </c>
      <c r="E358" s="102" t="s">
        <v>478</v>
      </c>
      <c r="F358" s="88" t="s">
        <v>56</v>
      </c>
      <c r="G358" s="88" t="s">
        <v>505</v>
      </c>
      <c r="H358" s="40" t="s">
        <v>1245</v>
      </c>
      <c r="I358" s="88" t="s">
        <v>468</v>
      </c>
      <c r="J358" s="88" t="s">
        <v>184</v>
      </c>
      <c r="K358" s="18"/>
      <c r="L358" s="18">
        <v>30000000</v>
      </c>
      <c r="M358" s="18">
        <v>16902340</v>
      </c>
      <c r="N358" s="18"/>
      <c r="O358" s="18">
        <v>9098847.5</v>
      </c>
      <c r="P358" s="18"/>
      <c r="Q358" s="20">
        <f>SUM(PAC!$M358:$P358)</f>
        <v>26001187.5</v>
      </c>
      <c r="R358" s="20"/>
      <c r="S358" s="20">
        <f>IF(PAC!$R358&gt;0,PAC!$R358,PAC!$Q358)</f>
        <v>26001187.5</v>
      </c>
      <c r="T358" s="20" t="s">
        <v>2034</v>
      </c>
      <c r="U358" s="103" t="s">
        <v>1564</v>
      </c>
      <c r="V358" s="103"/>
      <c r="W358" s="104">
        <v>12</v>
      </c>
      <c r="X358" s="104" t="s">
        <v>1418</v>
      </c>
      <c r="Y358" s="101" t="s">
        <v>2470</v>
      </c>
      <c r="Z358" s="87"/>
      <c r="AA358" s="105">
        <v>4</v>
      </c>
      <c r="AB358" s="40" t="s">
        <v>1469</v>
      </c>
      <c r="AC358" s="40" t="s">
        <v>2322</v>
      </c>
      <c r="AD358" s="106"/>
      <c r="AE358" s="164"/>
      <c r="AF358" s="40" t="s">
        <v>1845</v>
      </c>
      <c r="AG358" s="40" t="s">
        <v>1598</v>
      </c>
      <c r="AH358" s="40" t="s">
        <v>977</v>
      </c>
      <c r="AI358" s="40"/>
      <c r="AJ358" s="87"/>
      <c r="AK358" s="40" t="s">
        <v>2077</v>
      </c>
      <c r="AL358" s="40" t="s">
        <v>2081</v>
      </c>
      <c r="AM358" s="40" t="s">
        <v>715</v>
      </c>
      <c r="AN358" s="87">
        <v>46063</v>
      </c>
      <c r="AO358" s="87">
        <v>46120</v>
      </c>
      <c r="AP358" s="87">
        <v>46158</v>
      </c>
      <c r="AQ358" s="87">
        <v>46161</v>
      </c>
      <c r="AR358" s="107">
        <v>46526</v>
      </c>
      <c r="AS358" s="107">
        <v>46526</v>
      </c>
      <c r="AT358" s="102" t="s">
        <v>2323</v>
      </c>
      <c r="AU358" s="108"/>
      <c r="AV358" s="106"/>
      <c r="AW358" s="105" t="s">
        <v>481</v>
      </c>
      <c r="AX358" s="109" t="str">
        <f>IFERROR(IF(PAC!$X358="F01 - CAPTAÇÃO DE RECURSO",1,""),"")</f>
        <v/>
      </c>
      <c r="AY358" s="109">
        <f>IFERROR(IF(PAC!$X358="F02 - LICITAÇÃO",1,""),"")</f>
        <v>1</v>
      </c>
      <c r="AZ358" s="110" t="str">
        <f>IFERROR(IF(PAC!$X$6:$X$581="F03 - EXECUÇÃO DO OBJETO",1,""),"")</f>
        <v/>
      </c>
      <c r="BA358" s="110" t="str">
        <f>IFERROR(IF(PAC!$X$6:$X$581="F04 - CONCLUÍDA",1,""),"")</f>
        <v/>
      </c>
      <c r="BB358" s="111">
        <f>IF(PAC!$R358&gt;0,0,PAC!$Q358)</f>
        <v>26001187.5</v>
      </c>
    </row>
    <row r="359" spans="1:54" s="1" customFormat="1" ht="408.95" hidden="1" customHeight="1" thickBot="1">
      <c r="A359" s="112">
        <f t="shared" si="5"/>
        <v>354</v>
      </c>
      <c r="B359" s="112">
        <v>2025</v>
      </c>
      <c r="C359" s="112" t="s">
        <v>605</v>
      </c>
      <c r="D359" s="112" t="s">
        <v>1010</v>
      </c>
      <c r="E359" s="114" t="s">
        <v>478</v>
      </c>
      <c r="F359" s="112" t="s">
        <v>56</v>
      </c>
      <c r="G359" s="112" t="s">
        <v>505</v>
      </c>
      <c r="H359" s="115" t="s">
        <v>1245</v>
      </c>
      <c r="I359" s="112" t="s">
        <v>468</v>
      </c>
      <c r="J359" s="112" t="s">
        <v>193</v>
      </c>
      <c r="K359" s="31"/>
      <c r="L359" s="31">
        <v>30000000</v>
      </c>
      <c r="M359" s="31">
        <v>16902340</v>
      </c>
      <c r="N359" s="31"/>
      <c r="O359" s="31">
        <v>7645394.6799999997</v>
      </c>
      <c r="P359" s="31"/>
      <c r="Q359" s="33">
        <f>SUM(PAC!$M359:$P359)</f>
        <v>24547734.68</v>
      </c>
      <c r="R359" s="33">
        <v>24547734.68</v>
      </c>
      <c r="S359" s="33">
        <f>IF(PAC!$R359&gt;0,PAC!$R359,PAC!$Q359)</f>
        <v>24547734.68</v>
      </c>
      <c r="T359" s="33" t="s">
        <v>2301</v>
      </c>
      <c r="U359" s="116" t="s">
        <v>1570</v>
      </c>
      <c r="V359" s="116"/>
      <c r="W359" s="117">
        <v>10</v>
      </c>
      <c r="X359" s="117" t="s">
        <v>1418</v>
      </c>
      <c r="Y359" s="113" t="s">
        <v>2470</v>
      </c>
      <c r="Z359" s="118"/>
      <c r="AA359" s="119"/>
      <c r="AB359" s="115" t="s">
        <v>1469</v>
      </c>
      <c r="AC359" s="115" t="s">
        <v>2322</v>
      </c>
      <c r="AD359" s="120"/>
      <c r="AE359" s="165"/>
      <c r="AF359" s="115" t="s">
        <v>1846</v>
      </c>
      <c r="AG359" s="115" t="s">
        <v>1599</v>
      </c>
      <c r="AH359" s="115" t="s">
        <v>977</v>
      </c>
      <c r="AI359" s="115"/>
      <c r="AJ359" s="118"/>
      <c r="AK359" s="115" t="s">
        <v>2078</v>
      </c>
      <c r="AL359" s="115" t="s">
        <v>2082</v>
      </c>
      <c r="AM359" s="115" t="s">
        <v>716</v>
      </c>
      <c r="AN359" s="118">
        <v>46063</v>
      </c>
      <c r="AO359" s="118">
        <v>46171</v>
      </c>
      <c r="AP359" s="118">
        <v>46192</v>
      </c>
      <c r="AQ359" s="118">
        <v>46192</v>
      </c>
      <c r="AR359" s="121">
        <v>46557</v>
      </c>
      <c r="AS359" s="121">
        <v>46557</v>
      </c>
      <c r="AT359" s="114" t="s">
        <v>2324</v>
      </c>
      <c r="AU359" s="122"/>
      <c r="AV359" s="120"/>
      <c r="AW359" s="119" t="s">
        <v>481</v>
      </c>
      <c r="AX359" s="194" t="str">
        <f>IFERROR(IF(PAC!$X359="F01 - CAPTAÇÃO DE RECURSO",1,""),"")</f>
        <v/>
      </c>
      <c r="AY359" s="194">
        <f>IFERROR(IF(PAC!$X359="F02 - LICITAÇÃO",1,""),"")</f>
        <v>1</v>
      </c>
      <c r="AZ359" s="123" t="str">
        <f>IFERROR(IF(PAC!$X$6:$X$581="F03 - EXECUÇÃO DO OBJETO",1,""),"")</f>
        <v/>
      </c>
      <c r="BA359" s="123" t="str">
        <f>IFERROR(IF(PAC!$X$6:$X$581="F04 - CONCLUÍDA",1,""),"")</f>
        <v/>
      </c>
      <c r="BB359" s="191">
        <f>IF(PAC!$R359&gt;0,0,PAC!$Q359)</f>
        <v>0</v>
      </c>
    </row>
    <row r="360" spans="1:54" s="1" customFormat="1" ht="84.75" hidden="1" thickBot="1">
      <c r="A360" s="88">
        <f t="shared" si="5"/>
        <v>355</v>
      </c>
      <c r="B360" s="88">
        <v>2025</v>
      </c>
      <c r="C360" s="88" t="s">
        <v>605</v>
      </c>
      <c r="D360" s="88" t="s">
        <v>1010</v>
      </c>
      <c r="E360" s="102" t="s">
        <v>478</v>
      </c>
      <c r="F360" s="88" t="s">
        <v>56</v>
      </c>
      <c r="G360" s="88" t="s">
        <v>505</v>
      </c>
      <c r="H360" s="40" t="s">
        <v>1245</v>
      </c>
      <c r="I360" s="88" t="s">
        <v>468</v>
      </c>
      <c r="J360" s="88" t="s">
        <v>392</v>
      </c>
      <c r="K360" s="18"/>
      <c r="L360" s="18">
        <v>30000000</v>
      </c>
      <c r="M360" s="18">
        <v>16902340</v>
      </c>
      <c r="N360" s="18"/>
      <c r="O360" s="18">
        <v>8300606.5199999996</v>
      </c>
      <c r="P360" s="18"/>
      <c r="Q360" s="20">
        <f>SUM(PAC!$M360:$P360)</f>
        <v>25202946.52</v>
      </c>
      <c r="R360" s="20">
        <v>25202946.52</v>
      </c>
      <c r="S360" s="20">
        <f>IF(PAC!$R360&gt;0,PAC!$R360,PAC!$Q360)</f>
        <v>25202946.52</v>
      </c>
      <c r="T360" s="20" t="s">
        <v>2030</v>
      </c>
      <c r="U360" s="103" t="s">
        <v>1564</v>
      </c>
      <c r="V360" s="103"/>
      <c r="W360" s="104">
        <v>12</v>
      </c>
      <c r="X360" s="104" t="s">
        <v>1694</v>
      </c>
      <c r="Y360" s="101" t="s">
        <v>2470</v>
      </c>
      <c r="Z360" s="87">
        <v>46506</v>
      </c>
      <c r="AA360" s="105">
        <v>2.3199999999999998</v>
      </c>
      <c r="AB360" s="40" t="s">
        <v>1472</v>
      </c>
      <c r="AC360" s="40" t="s">
        <v>1492</v>
      </c>
      <c r="AD360" s="106"/>
      <c r="AE360" s="102"/>
      <c r="AF360" s="40" t="s">
        <v>1847</v>
      </c>
      <c r="AG360" s="40" t="s">
        <v>2091</v>
      </c>
      <c r="AH360" s="40" t="s">
        <v>977</v>
      </c>
      <c r="AI360" s="40"/>
      <c r="AJ360" s="87"/>
      <c r="AK360" s="40" t="s">
        <v>2032</v>
      </c>
      <c r="AL360" s="40" t="s">
        <v>2031</v>
      </c>
      <c r="AM360" s="40" t="s">
        <v>715</v>
      </c>
      <c r="AN360" s="87">
        <v>46063</v>
      </c>
      <c r="AO360" s="87">
        <v>46118</v>
      </c>
      <c r="AP360" s="87">
        <v>46141</v>
      </c>
      <c r="AQ360" s="87">
        <v>46141</v>
      </c>
      <c r="AR360" s="107">
        <v>46506</v>
      </c>
      <c r="AS360" s="107">
        <v>46506</v>
      </c>
      <c r="AT360" s="102" t="s">
        <v>2330</v>
      </c>
      <c r="AU360" s="40" t="s">
        <v>2331</v>
      </c>
      <c r="AV360" s="106"/>
      <c r="AW360" s="105" t="s">
        <v>481</v>
      </c>
      <c r="AX360" s="109" t="str">
        <f>IFERROR(IF(PAC!$X360="F01 - CAPTAÇÃO DE RECURSO",1,""),"")</f>
        <v/>
      </c>
      <c r="AY360" s="109" t="str">
        <f>IFERROR(IF(PAC!$X360="F02 - LICITAÇÃO",1,""),"")</f>
        <v/>
      </c>
      <c r="AZ360" s="110">
        <f>IFERROR(IF(PAC!$X$6:$X$581="F03 - EXECUÇÃO DO OBJETO",1,""),"")</f>
        <v>1</v>
      </c>
      <c r="BA360" s="110" t="str">
        <f>IFERROR(IF(PAC!$X$6:$X$581="F04 - CONCLUÍDA",1,""),"")</f>
        <v/>
      </c>
      <c r="BB360" s="111">
        <f>IF(PAC!$R360&gt;0,0,PAC!$Q360)</f>
        <v>0</v>
      </c>
    </row>
    <row r="361" spans="1:54" s="1" customFormat="1" ht="126.75" hidden="1" thickBot="1">
      <c r="A361" s="112">
        <f t="shared" si="5"/>
        <v>356</v>
      </c>
      <c r="B361" s="113">
        <v>2023</v>
      </c>
      <c r="C361" s="112" t="s">
        <v>610</v>
      </c>
      <c r="D361" s="112" t="s">
        <v>1010</v>
      </c>
      <c r="E361" s="114" t="s">
        <v>1396</v>
      </c>
      <c r="F361" s="112" t="s">
        <v>577</v>
      </c>
      <c r="G361" s="112" t="s">
        <v>569</v>
      </c>
      <c r="H361" s="115" t="s">
        <v>1244</v>
      </c>
      <c r="I361" s="112" t="s">
        <v>1238</v>
      </c>
      <c r="J361" s="112" t="s">
        <v>361</v>
      </c>
      <c r="K361" s="31"/>
      <c r="L361" s="31">
        <v>1000000</v>
      </c>
      <c r="M361" s="31">
        <v>1000000</v>
      </c>
      <c r="N361" s="31"/>
      <c r="O361" s="31"/>
      <c r="P361" s="31"/>
      <c r="Q361" s="33">
        <f>SUM(PAC!$M361:$P361)</f>
        <v>1000000</v>
      </c>
      <c r="R361" s="33">
        <v>641275.05000000005</v>
      </c>
      <c r="S361" s="33">
        <f>IF(PAC!$R361&gt;0,PAC!$R361,PAC!$Q361)</f>
        <v>641275.05000000005</v>
      </c>
      <c r="T361" s="33" t="s">
        <v>1655</v>
      </c>
      <c r="U361" s="116" t="s">
        <v>1562</v>
      </c>
      <c r="V361" s="116"/>
      <c r="W361" s="117">
        <v>13</v>
      </c>
      <c r="X361" s="117" t="s">
        <v>1694</v>
      </c>
      <c r="Y361" s="113" t="s">
        <v>2470</v>
      </c>
      <c r="Z361" s="118">
        <v>46514</v>
      </c>
      <c r="AA361" s="119">
        <v>1.6</v>
      </c>
      <c r="AB361" s="115" t="s">
        <v>1472</v>
      </c>
      <c r="AC361" s="114" t="s">
        <v>2755</v>
      </c>
      <c r="AD361" s="120"/>
      <c r="AE361" s="114"/>
      <c r="AF361" s="115" t="s">
        <v>607</v>
      </c>
      <c r="AG361" s="115" t="s">
        <v>2575</v>
      </c>
      <c r="AH361" s="115" t="s">
        <v>977</v>
      </c>
      <c r="AI361" s="115"/>
      <c r="AJ361" s="118"/>
      <c r="AK361" s="115"/>
      <c r="AL361" s="115"/>
      <c r="AM361" s="115"/>
      <c r="AN361" s="118">
        <v>45887</v>
      </c>
      <c r="AO361" s="118">
        <v>45909</v>
      </c>
      <c r="AP361" s="118">
        <v>45965</v>
      </c>
      <c r="AQ361" s="118">
        <v>46119</v>
      </c>
      <c r="AR361" s="121">
        <v>46514</v>
      </c>
      <c r="AS361" s="121">
        <v>46514</v>
      </c>
      <c r="AT361" s="114" t="s">
        <v>2570</v>
      </c>
      <c r="AU361" s="127" t="s">
        <v>1402</v>
      </c>
      <c r="AV361" s="120"/>
      <c r="AW361" s="119"/>
      <c r="AX361" s="194" t="str">
        <f>IFERROR(IF(PAC!$X361="F01 - CAPTAÇÃO DE RECURSO",1,""),"")</f>
        <v/>
      </c>
      <c r="AY361" s="194" t="str">
        <f>IFERROR(IF(PAC!$X361="F02 - LICITAÇÃO",1,""),"")</f>
        <v/>
      </c>
      <c r="AZ361" s="123">
        <f>IFERROR(IF(PAC!$X$6:$X$581="F03 - EXECUÇÃO DO OBJETO",1,""),"")</f>
        <v>1</v>
      </c>
      <c r="BA361" s="123" t="str">
        <f>IFERROR(IF(PAC!$X$6:$X$581="F04 - CONCLUÍDA",1,""),"")</f>
        <v/>
      </c>
      <c r="BB361" s="191">
        <f>IF(PAC!$R361&gt;0,0,PAC!$Q361)</f>
        <v>0</v>
      </c>
    </row>
    <row r="362" spans="1:54" s="1" customFormat="1" ht="147.75" hidden="1" thickBot="1">
      <c r="A362" s="88">
        <f>ROW()-5</f>
        <v>357</v>
      </c>
      <c r="B362" s="101">
        <v>2023</v>
      </c>
      <c r="C362" s="88" t="s">
        <v>610</v>
      </c>
      <c r="D362" s="88" t="s">
        <v>1010</v>
      </c>
      <c r="E362" s="102" t="s">
        <v>1397</v>
      </c>
      <c r="F362" s="88" t="s">
        <v>577</v>
      </c>
      <c r="G362" s="88" t="s">
        <v>569</v>
      </c>
      <c r="H362" s="40" t="s">
        <v>1244</v>
      </c>
      <c r="I362" s="88" t="s">
        <v>1238</v>
      </c>
      <c r="J362" s="88" t="s">
        <v>359</v>
      </c>
      <c r="K362" s="18"/>
      <c r="L362" s="18">
        <v>780000</v>
      </c>
      <c r="M362" s="18">
        <v>780000</v>
      </c>
      <c r="N362" s="18"/>
      <c r="O362" s="18"/>
      <c r="P362" s="18"/>
      <c r="Q362" s="20">
        <f>SUM(PAC!$M362:$P362)</f>
        <v>780000</v>
      </c>
      <c r="R362" s="20">
        <v>355403.13</v>
      </c>
      <c r="S362" s="20">
        <f>IF(PAC!$R362&gt;0,PAC!$R362,PAC!$Q362)</f>
        <v>355403.13</v>
      </c>
      <c r="T362" s="20" t="s">
        <v>1655</v>
      </c>
      <c r="U362" s="103" t="s">
        <v>1562</v>
      </c>
      <c r="V362" s="103"/>
      <c r="W362" s="104">
        <v>13</v>
      </c>
      <c r="X362" s="104" t="s">
        <v>1694</v>
      </c>
      <c r="Y362" s="101" t="s">
        <v>2470</v>
      </c>
      <c r="Z362" s="87">
        <v>46514</v>
      </c>
      <c r="AA362" s="105">
        <v>1.76</v>
      </c>
      <c r="AB362" s="40" t="s">
        <v>1472</v>
      </c>
      <c r="AC362" s="102" t="s">
        <v>2755</v>
      </c>
      <c r="AD362" s="106"/>
      <c r="AE362" s="102"/>
      <c r="AF362" s="40" t="s">
        <v>607</v>
      </c>
      <c r="AG362" s="40" t="s">
        <v>2574</v>
      </c>
      <c r="AH362" s="40" t="s">
        <v>977</v>
      </c>
      <c r="AI362" s="40"/>
      <c r="AJ362" s="87"/>
      <c r="AK362" s="40"/>
      <c r="AL362" s="40"/>
      <c r="AM362" s="40"/>
      <c r="AN362" s="87">
        <v>45887</v>
      </c>
      <c r="AO362" s="87">
        <v>45909</v>
      </c>
      <c r="AP362" s="87">
        <v>45965</v>
      </c>
      <c r="AQ362" s="87">
        <v>46119</v>
      </c>
      <c r="AR362" s="107">
        <v>46514</v>
      </c>
      <c r="AS362" s="107">
        <v>46514</v>
      </c>
      <c r="AT362" s="102" t="s">
        <v>2571</v>
      </c>
      <c r="AU362" s="128" t="s">
        <v>1402</v>
      </c>
      <c r="AV362" s="106"/>
      <c r="AW362" s="105"/>
      <c r="AX362" s="109" t="str">
        <f>IFERROR(IF(PAC!$X362="F01 - CAPTAÇÃO DE RECURSO",1,""),"")</f>
        <v/>
      </c>
      <c r="AY362" s="109" t="str">
        <f>IFERROR(IF(PAC!$X362="F02 - LICITAÇÃO",1,""),"")</f>
        <v/>
      </c>
      <c r="AZ362" s="110">
        <f>IFERROR(IF(PAC!$X$6:$X$581="F03 - EXECUÇÃO DO OBJETO",1,""),"")</f>
        <v>1</v>
      </c>
      <c r="BA362" s="110" t="str">
        <f>IFERROR(IF(PAC!$X$6:$X$581="F04 - CONCLUÍDA",1,""),"")</f>
        <v/>
      </c>
      <c r="BB362" s="111">
        <f>IF(PAC!$R362&gt;0,0,PAC!$Q362)</f>
        <v>0</v>
      </c>
    </row>
    <row r="363" spans="1:54" s="1" customFormat="1" ht="210.75" hidden="1" thickBot="1">
      <c r="A363" s="112">
        <f t="shared" si="5"/>
        <v>358</v>
      </c>
      <c r="B363" s="113">
        <v>2023</v>
      </c>
      <c r="C363" s="112" t="s">
        <v>610</v>
      </c>
      <c r="D363" s="112" t="s">
        <v>1010</v>
      </c>
      <c r="E363" s="114" t="s">
        <v>553</v>
      </c>
      <c r="F363" s="112" t="s">
        <v>577</v>
      </c>
      <c r="G363" s="112" t="s">
        <v>569</v>
      </c>
      <c r="H363" s="115" t="s">
        <v>1244</v>
      </c>
      <c r="I363" s="112" t="s">
        <v>603</v>
      </c>
      <c r="J363" s="112" t="s">
        <v>156</v>
      </c>
      <c r="K363" s="31"/>
      <c r="L363" s="31">
        <v>1000000</v>
      </c>
      <c r="M363" s="31">
        <v>1000000</v>
      </c>
      <c r="N363" s="31"/>
      <c r="O363" s="31"/>
      <c r="P363" s="31"/>
      <c r="Q363" s="33">
        <f>SUM(PAC!$M363:$P363)</f>
        <v>1000000</v>
      </c>
      <c r="R363" s="33"/>
      <c r="S363" s="33">
        <f>IF(PAC!$R363&gt;0,PAC!$R363,PAC!$Q363)</f>
        <v>1000000</v>
      </c>
      <c r="T363" s="33"/>
      <c r="U363" s="116" t="s">
        <v>1570</v>
      </c>
      <c r="V363" s="116"/>
      <c r="W363" s="117"/>
      <c r="X363" s="117" t="s">
        <v>1419</v>
      </c>
      <c r="Y363" s="113" t="s">
        <v>2473</v>
      </c>
      <c r="Z363" s="118">
        <v>46262</v>
      </c>
      <c r="AA363" s="119"/>
      <c r="AB363" s="115" t="s">
        <v>1463</v>
      </c>
      <c r="AC363" s="114" t="s">
        <v>2638</v>
      </c>
      <c r="AD363" s="120">
        <v>46262</v>
      </c>
      <c r="AE363" s="114" t="s">
        <v>2051</v>
      </c>
      <c r="AF363" s="115" t="s">
        <v>609</v>
      </c>
      <c r="AG363" s="115" t="s">
        <v>2148</v>
      </c>
      <c r="AH363" s="115" t="s">
        <v>977</v>
      </c>
      <c r="AI363" s="115"/>
      <c r="AJ363" s="118"/>
      <c r="AK363" s="115"/>
      <c r="AL363" s="115"/>
      <c r="AM363" s="115"/>
      <c r="AN363" s="118"/>
      <c r="AO363" s="118"/>
      <c r="AP363" s="118"/>
      <c r="AQ363" s="118"/>
      <c r="AR363" s="121"/>
      <c r="AS363" s="121"/>
      <c r="AT363" s="114" t="s">
        <v>2572</v>
      </c>
      <c r="AU363" s="127" t="s">
        <v>1401</v>
      </c>
      <c r="AV363" s="120"/>
      <c r="AW363" s="119"/>
      <c r="AX363" s="194">
        <f>IFERROR(IF(PAC!$X363="F01 - CAPTAÇÃO DE RECURSO",1,""),"")</f>
        <v>1</v>
      </c>
      <c r="AY363" s="194" t="str">
        <f>IFERROR(IF(PAC!$X363="F02 - LICITAÇÃO",1,""),"")</f>
        <v/>
      </c>
      <c r="AZ363" s="123" t="str">
        <f>IFERROR(IF(PAC!$X$6:$X$581="F03 - EXECUÇÃO DO OBJETO",1,""),"")</f>
        <v/>
      </c>
      <c r="BA363" s="123" t="str">
        <f>IFERROR(IF(PAC!$X$6:$X$581="F04 - CONCLUÍDA",1,""),"")</f>
        <v/>
      </c>
      <c r="BB363" s="191">
        <f>IF(PAC!$R363&gt;0,0,PAC!$Q363)</f>
        <v>1000000</v>
      </c>
    </row>
    <row r="364" spans="1:54" s="1" customFormat="1" ht="147.75" hidden="1" thickBot="1">
      <c r="A364" s="88">
        <f t="shared" si="5"/>
        <v>359</v>
      </c>
      <c r="B364" s="101">
        <v>2023</v>
      </c>
      <c r="C364" s="88" t="s">
        <v>610</v>
      </c>
      <c r="D364" s="88" t="s">
        <v>1010</v>
      </c>
      <c r="E364" s="102" t="s">
        <v>708</v>
      </c>
      <c r="F364" s="88" t="s">
        <v>577</v>
      </c>
      <c r="G364" s="88" t="s">
        <v>569</v>
      </c>
      <c r="H364" s="40" t="s">
        <v>1244</v>
      </c>
      <c r="I364" s="88" t="s">
        <v>603</v>
      </c>
      <c r="J364" s="88" t="s">
        <v>437</v>
      </c>
      <c r="K364" s="18"/>
      <c r="L364" s="18">
        <v>1000000</v>
      </c>
      <c r="M364" s="18">
        <v>1000000</v>
      </c>
      <c r="N364" s="18"/>
      <c r="O364" s="18"/>
      <c r="P364" s="18"/>
      <c r="Q364" s="20">
        <f>SUM(PAC!$M364:$P364)</f>
        <v>1000000</v>
      </c>
      <c r="R364" s="20"/>
      <c r="S364" s="20">
        <f>IF(PAC!$R364&gt;0,PAC!$R364,PAC!$Q364)</f>
        <v>1000000</v>
      </c>
      <c r="T364" s="20"/>
      <c r="U364" s="103" t="s">
        <v>1570</v>
      </c>
      <c r="V364" s="103"/>
      <c r="W364" s="104"/>
      <c r="X364" s="104" t="s">
        <v>1419</v>
      </c>
      <c r="Y364" s="101" t="s">
        <v>2473</v>
      </c>
      <c r="Z364" s="87">
        <v>46262</v>
      </c>
      <c r="AA364" s="105"/>
      <c r="AB364" s="40" t="s">
        <v>1463</v>
      </c>
      <c r="AC364" s="102" t="s">
        <v>2639</v>
      </c>
      <c r="AD364" s="106">
        <v>46262</v>
      </c>
      <c r="AE364" s="102" t="s">
        <v>2051</v>
      </c>
      <c r="AF364" s="40" t="s">
        <v>608</v>
      </c>
      <c r="AG364" s="40" t="s">
        <v>2576</v>
      </c>
      <c r="AH364" s="40" t="s">
        <v>977</v>
      </c>
      <c r="AI364" s="40"/>
      <c r="AJ364" s="87"/>
      <c r="AK364" s="40"/>
      <c r="AL364" s="40"/>
      <c r="AM364" s="40"/>
      <c r="AN364" s="87"/>
      <c r="AO364" s="87"/>
      <c r="AP364" s="87"/>
      <c r="AQ364" s="87"/>
      <c r="AR364" s="107"/>
      <c r="AS364" s="107"/>
      <c r="AT364" s="102" t="s">
        <v>2573</v>
      </c>
      <c r="AU364" s="128" t="s">
        <v>1401</v>
      </c>
      <c r="AV364" s="106"/>
      <c r="AW364" s="105"/>
      <c r="AX364" s="109">
        <f>IFERROR(IF(PAC!$X364="F01 - CAPTAÇÃO DE RECURSO",1,""),"")</f>
        <v>1</v>
      </c>
      <c r="AY364" s="109" t="str">
        <f>IFERROR(IF(PAC!$X364="F02 - LICITAÇÃO",1,""),"")</f>
        <v/>
      </c>
      <c r="AZ364" s="110" t="str">
        <f>IFERROR(IF(PAC!$X$6:$X$581="F03 - EXECUÇÃO DO OBJETO",1,""),"")</f>
        <v/>
      </c>
      <c r="BA364" s="110" t="str">
        <f>IFERROR(IF(PAC!$X$6:$X$581="F04 - CONCLUÍDA",1,""),"")</f>
        <v/>
      </c>
      <c r="BB364" s="111">
        <f>IF(PAC!$R364&gt;0,0,PAC!$Q364)</f>
        <v>1000000</v>
      </c>
    </row>
    <row r="365" spans="1:54" s="1" customFormat="1" ht="147.75" hidden="1" thickBot="1">
      <c r="A365" s="112">
        <f t="shared" si="5"/>
        <v>360</v>
      </c>
      <c r="B365" s="113">
        <v>2023</v>
      </c>
      <c r="C365" s="112" t="s">
        <v>610</v>
      </c>
      <c r="D365" s="112" t="s">
        <v>1010</v>
      </c>
      <c r="E365" s="114" t="s">
        <v>709</v>
      </c>
      <c r="F365" s="112" t="s">
        <v>577</v>
      </c>
      <c r="G365" s="112" t="s">
        <v>569</v>
      </c>
      <c r="H365" s="115" t="s">
        <v>1244</v>
      </c>
      <c r="I365" s="112" t="s">
        <v>603</v>
      </c>
      <c r="J365" s="112" t="s">
        <v>361</v>
      </c>
      <c r="K365" s="31"/>
      <c r="L365" s="31">
        <v>3000000</v>
      </c>
      <c r="M365" s="31">
        <v>3000000</v>
      </c>
      <c r="N365" s="31"/>
      <c r="O365" s="31"/>
      <c r="P365" s="31"/>
      <c r="Q365" s="33">
        <f>SUM(PAC!$M365:$P365)</f>
        <v>3000000</v>
      </c>
      <c r="R365" s="33"/>
      <c r="S365" s="33">
        <f>IF(PAC!$R365&gt;0,PAC!$R365,PAC!$Q365)</f>
        <v>3000000</v>
      </c>
      <c r="T365" s="33"/>
      <c r="U365" s="116" t="s">
        <v>1570</v>
      </c>
      <c r="V365" s="116"/>
      <c r="W365" s="117"/>
      <c r="X365" s="117" t="s">
        <v>1419</v>
      </c>
      <c r="Y365" s="113" t="s">
        <v>2473</v>
      </c>
      <c r="Z365" s="118">
        <v>46262</v>
      </c>
      <c r="AA365" s="119"/>
      <c r="AB365" s="115" t="s">
        <v>1463</v>
      </c>
      <c r="AC365" s="114" t="s">
        <v>2639</v>
      </c>
      <c r="AD365" s="120">
        <v>46262</v>
      </c>
      <c r="AE365" s="114" t="s">
        <v>2051</v>
      </c>
      <c r="AF365" s="115" t="s">
        <v>608</v>
      </c>
      <c r="AG365" s="115" t="s">
        <v>2576</v>
      </c>
      <c r="AH365" s="115" t="s">
        <v>977</v>
      </c>
      <c r="AI365" s="115"/>
      <c r="AJ365" s="118"/>
      <c r="AK365" s="115"/>
      <c r="AL365" s="115"/>
      <c r="AM365" s="115"/>
      <c r="AN365" s="118"/>
      <c r="AO365" s="118"/>
      <c r="AP365" s="118"/>
      <c r="AQ365" s="118"/>
      <c r="AR365" s="121"/>
      <c r="AS365" s="121"/>
      <c r="AT365" s="114" t="s">
        <v>2573</v>
      </c>
      <c r="AU365" s="127" t="s">
        <v>1401</v>
      </c>
      <c r="AV365" s="120"/>
      <c r="AW365" s="119"/>
      <c r="AX365" s="194">
        <f>IFERROR(IF(PAC!$X365="F01 - CAPTAÇÃO DE RECURSO",1,""),"")</f>
        <v>1</v>
      </c>
      <c r="AY365" s="194" t="str">
        <f>IFERROR(IF(PAC!$X365="F02 - LICITAÇÃO",1,""),"")</f>
        <v/>
      </c>
      <c r="AZ365" s="123" t="str">
        <f>IFERROR(IF(PAC!$X$6:$X$581="F03 - EXECUÇÃO DO OBJETO",1,""),"")</f>
        <v/>
      </c>
      <c r="BA365" s="123" t="str">
        <f>IFERROR(IF(PAC!$X$6:$X$581="F04 - CONCLUÍDA",1,""),"")</f>
        <v/>
      </c>
      <c r="BB365" s="191">
        <f>IF(PAC!$R365&gt;0,0,PAC!$Q365)</f>
        <v>3000000</v>
      </c>
    </row>
    <row r="366" spans="1:54" s="1" customFormat="1" ht="147.75" hidden="1" thickBot="1">
      <c r="A366" s="88">
        <f t="shared" si="5"/>
        <v>361</v>
      </c>
      <c r="B366" s="101">
        <v>2023</v>
      </c>
      <c r="C366" s="88" t="s">
        <v>610</v>
      </c>
      <c r="D366" s="88" t="s">
        <v>1010</v>
      </c>
      <c r="E366" s="102" t="s">
        <v>710</v>
      </c>
      <c r="F366" s="88" t="s">
        <v>577</v>
      </c>
      <c r="G366" s="88" t="s">
        <v>569</v>
      </c>
      <c r="H366" s="40" t="s">
        <v>1244</v>
      </c>
      <c r="I366" s="88" t="s">
        <v>603</v>
      </c>
      <c r="J366" s="88" t="s">
        <v>243</v>
      </c>
      <c r="K366" s="18"/>
      <c r="L366" s="18">
        <v>1270000</v>
      </c>
      <c r="M366" s="18">
        <v>1270000</v>
      </c>
      <c r="N366" s="18"/>
      <c r="O366" s="18"/>
      <c r="P366" s="18"/>
      <c r="Q366" s="20">
        <f>SUM(PAC!$M366:$P366)</f>
        <v>1270000</v>
      </c>
      <c r="R366" s="20"/>
      <c r="S366" s="20">
        <f>IF(PAC!$R366&gt;0,PAC!$R366,PAC!$Q366)</f>
        <v>1270000</v>
      </c>
      <c r="T366" s="20"/>
      <c r="U366" s="103" t="s">
        <v>1570</v>
      </c>
      <c r="V366" s="103"/>
      <c r="W366" s="104"/>
      <c r="X366" s="104" t="s">
        <v>1419</v>
      </c>
      <c r="Y366" s="101" t="s">
        <v>2473</v>
      </c>
      <c r="Z366" s="87">
        <v>46262</v>
      </c>
      <c r="AA366" s="105"/>
      <c r="AB366" s="40" t="s">
        <v>1463</v>
      </c>
      <c r="AC366" s="102" t="s">
        <v>2639</v>
      </c>
      <c r="AD366" s="106">
        <v>46262</v>
      </c>
      <c r="AE366" s="102" t="s">
        <v>2051</v>
      </c>
      <c r="AF366" s="40" t="s">
        <v>608</v>
      </c>
      <c r="AG366" s="40" t="s">
        <v>2576</v>
      </c>
      <c r="AH366" s="40" t="s">
        <v>977</v>
      </c>
      <c r="AI366" s="40"/>
      <c r="AJ366" s="87"/>
      <c r="AK366" s="40"/>
      <c r="AL366" s="40"/>
      <c r="AM366" s="40"/>
      <c r="AN366" s="87"/>
      <c r="AO366" s="87"/>
      <c r="AP366" s="87"/>
      <c r="AQ366" s="87"/>
      <c r="AR366" s="107"/>
      <c r="AS366" s="107"/>
      <c r="AT366" s="102" t="s">
        <v>2573</v>
      </c>
      <c r="AU366" s="128" t="s">
        <v>1401</v>
      </c>
      <c r="AV366" s="106"/>
      <c r="AW366" s="105"/>
      <c r="AX366" s="109">
        <f>IFERROR(IF(PAC!$X366="F01 - CAPTAÇÃO DE RECURSO",1,""),"")</f>
        <v>1</v>
      </c>
      <c r="AY366" s="109" t="str">
        <f>IFERROR(IF(PAC!$X366="F02 - LICITAÇÃO",1,""),"")</f>
        <v/>
      </c>
      <c r="AZ366" s="110" t="str">
        <f>IFERROR(IF(PAC!$X$6:$X$581="F03 - EXECUÇÃO DO OBJETO",1,""),"")</f>
        <v/>
      </c>
      <c r="BA366" s="110" t="str">
        <f>IFERROR(IF(PAC!$X$6:$X$581="F04 - CONCLUÍDA",1,""),"")</f>
        <v/>
      </c>
      <c r="BB366" s="111">
        <f>IF(PAC!$R366&gt;0,0,PAC!$Q366)</f>
        <v>1270000</v>
      </c>
    </row>
    <row r="367" spans="1:54" s="1" customFormat="1" ht="147.75" hidden="1" thickBot="1">
      <c r="A367" s="112">
        <f t="shared" si="5"/>
        <v>362</v>
      </c>
      <c r="B367" s="113">
        <v>2023</v>
      </c>
      <c r="C367" s="112" t="s">
        <v>610</v>
      </c>
      <c r="D367" s="112" t="s">
        <v>1010</v>
      </c>
      <c r="E367" s="114" t="s">
        <v>711</v>
      </c>
      <c r="F367" s="112" t="s">
        <v>577</v>
      </c>
      <c r="G367" s="112" t="s">
        <v>569</v>
      </c>
      <c r="H367" s="115" t="s">
        <v>1244</v>
      </c>
      <c r="I367" s="112" t="s">
        <v>603</v>
      </c>
      <c r="J367" s="112" t="s">
        <v>202</v>
      </c>
      <c r="K367" s="31"/>
      <c r="L367" s="31">
        <v>1950000</v>
      </c>
      <c r="M367" s="31">
        <v>1950000</v>
      </c>
      <c r="N367" s="31"/>
      <c r="O367" s="31"/>
      <c r="P367" s="31"/>
      <c r="Q367" s="33">
        <f>SUM(PAC!$M367:$P367)</f>
        <v>1950000</v>
      </c>
      <c r="R367" s="33"/>
      <c r="S367" s="33">
        <f>IF(PAC!$R367&gt;0,PAC!$R367,PAC!$Q367)</f>
        <v>1950000</v>
      </c>
      <c r="T367" s="33"/>
      <c r="U367" s="116" t="s">
        <v>1570</v>
      </c>
      <c r="V367" s="116"/>
      <c r="W367" s="117"/>
      <c r="X367" s="117" t="s">
        <v>1419</v>
      </c>
      <c r="Y367" s="113" t="s">
        <v>2473</v>
      </c>
      <c r="Z367" s="118">
        <v>46262</v>
      </c>
      <c r="AA367" s="119"/>
      <c r="AB367" s="115" t="s">
        <v>1463</v>
      </c>
      <c r="AC367" s="114" t="s">
        <v>2639</v>
      </c>
      <c r="AD367" s="120">
        <v>46262</v>
      </c>
      <c r="AE367" s="114" t="s">
        <v>2051</v>
      </c>
      <c r="AF367" s="115" t="s">
        <v>608</v>
      </c>
      <c r="AG367" s="115" t="s">
        <v>2576</v>
      </c>
      <c r="AH367" s="115" t="s">
        <v>977</v>
      </c>
      <c r="AI367" s="115"/>
      <c r="AJ367" s="118"/>
      <c r="AK367" s="115"/>
      <c r="AL367" s="115"/>
      <c r="AM367" s="115"/>
      <c r="AN367" s="118"/>
      <c r="AO367" s="118"/>
      <c r="AP367" s="118"/>
      <c r="AQ367" s="118"/>
      <c r="AR367" s="121"/>
      <c r="AS367" s="121"/>
      <c r="AT367" s="114" t="s">
        <v>2573</v>
      </c>
      <c r="AU367" s="127" t="s">
        <v>1401</v>
      </c>
      <c r="AV367" s="120"/>
      <c r="AW367" s="119"/>
      <c r="AX367" s="194">
        <f>IFERROR(IF(PAC!$X367="F01 - CAPTAÇÃO DE RECURSO",1,""),"")</f>
        <v>1</v>
      </c>
      <c r="AY367" s="194" t="str">
        <f>IFERROR(IF(PAC!$X367="F02 - LICITAÇÃO",1,""),"")</f>
        <v/>
      </c>
      <c r="AZ367" s="123" t="str">
        <f>IFERROR(IF(PAC!$X$6:$X$581="F03 - EXECUÇÃO DO OBJETO",1,""),"")</f>
        <v/>
      </c>
      <c r="BA367" s="123" t="str">
        <f>IFERROR(IF(PAC!$X$6:$X$581="F04 - CONCLUÍDA",1,""),"")</f>
        <v/>
      </c>
      <c r="BB367" s="191">
        <f>IF(PAC!$R367&gt;0,0,PAC!$Q367)</f>
        <v>1950000</v>
      </c>
    </row>
    <row r="368" spans="1:54" s="1" customFormat="1" ht="249.95" hidden="1" customHeight="1" thickBot="1">
      <c r="A368" s="88">
        <f t="shared" si="5"/>
        <v>363</v>
      </c>
      <c r="B368" s="88">
        <v>2025</v>
      </c>
      <c r="C368" s="88" t="s">
        <v>610</v>
      </c>
      <c r="D368" s="88" t="s">
        <v>1010</v>
      </c>
      <c r="E368" s="89" t="s">
        <v>2289</v>
      </c>
      <c r="F368" s="40" t="s">
        <v>577</v>
      </c>
      <c r="G368" s="40" t="s">
        <v>569</v>
      </c>
      <c r="H368" s="88" t="s">
        <v>1244</v>
      </c>
      <c r="I368" s="88" t="s">
        <v>1238</v>
      </c>
      <c r="J368" s="88" t="s">
        <v>361</v>
      </c>
      <c r="K368" s="18"/>
      <c r="L368" s="18">
        <v>12954384</v>
      </c>
      <c r="M368" s="18">
        <v>12954384</v>
      </c>
      <c r="N368" s="18"/>
      <c r="O368" s="18"/>
      <c r="P368" s="18"/>
      <c r="Q368" s="20">
        <f>SUM(PAC!$M368:$P368)</f>
        <v>12954384</v>
      </c>
      <c r="R368" s="20"/>
      <c r="S368" s="20">
        <f>IF(PAC!$R368&gt;0,PAC!$R368,PAC!$Q368)</f>
        <v>12954384</v>
      </c>
      <c r="T368" s="20"/>
      <c r="U368" s="103" t="s">
        <v>1562</v>
      </c>
      <c r="V368" s="103"/>
      <c r="W368" s="104"/>
      <c r="X368" s="104" t="s">
        <v>1419</v>
      </c>
      <c r="Y368" s="101" t="s">
        <v>2473</v>
      </c>
      <c r="Z368" s="87"/>
      <c r="AA368" s="105"/>
      <c r="AB368" s="40"/>
      <c r="AC368" s="40" t="s">
        <v>2463</v>
      </c>
      <c r="AD368" s="106"/>
      <c r="AE368" s="102"/>
      <c r="AF368" s="40" t="s">
        <v>2290</v>
      </c>
      <c r="AG368" s="40" t="s">
        <v>2577</v>
      </c>
      <c r="AH368" s="40" t="s">
        <v>1974</v>
      </c>
      <c r="AI368" s="40"/>
      <c r="AJ368" s="87">
        <v>46356</v>
      </c>
      <c r="AK368" s="40"/>
      <c r="AL368" s="40"/>
      <c r="AM368" s="40"/>
      <c r="AN368" s="87"/>
      <c r="AO368" s="87"/>
      <c r="AP368" s="87"/>
      <c r="AQ368" s="87"/>
      <c r="AR368" s="107"/>
      <c r="AS368" s="107"/>
      <c r="AT368" s="102"/>
      <c r="AU368" s="108"/>
      <c r="AV368" s="106"/>
      <c r="AW368" s="129"/>
      <c r="AX368" s="109">
        <f>IFERROR(IF(PAC!$X368="F01 - CAPTAÇÃO DE RECURSO",1,""),"")</f>
        <v>1</v>
      </c>
      <c r="AY368" s="109" t="str">
        <f>IFERROR(IF(PAC!$X368="F02 - LICITAÇÃO",1,""),"")</f>
        <v/>
      </c>
      <c r="AZ368" s="110" t="str">
        <f>IFERROR(IF(PAC!$X$6:$X$581="F03 - EXECUÇÃO DO OBJETO",1,""),"")</f>
        <v/>
      </c>
      <c r="BA368" s="110" t="str">
        <f>IFERROR(IF(PAC!$X$6:$X$581="F04 - CONCLUÍDA",1,""),"")</f>
        <v/>
      </c>
      <c r="BB368" s="111">
        <f>IF(PAC!$R368&gt;0,0,PAC!$Q368)</f>
        <v>12954384</v>
      </c>
    </row>
    <row r="369" spans="1:54" s="1" customFormat="1" ht="249.95" hidden="1" customHeight="1" thickBot="1">
      <c r="A369" s="112">
        <f t="shared" si="5"/>
        <v>364</v>
      </c>
      <c r="B369" s="112">
        <v>2023</v>
      </c>
      <c r="C369" s="112" t="s">
        <v>1495</v>
      </c>
      <c r="D369" s="112" t="s">
        <v>1010</v>
      </c>
      <c r="E369" s="112" t="s">
        <v>1661</v>
      </c>
      <c r="F369" s="112" t="s">
        <v>577</v>
      </c>
      <c r="G369" s="112" t="s">
        <v>566</v>
      </c>
      <c r="H369" s="112" t="s">
        <v>1244</v>
      </c>
      <c r="I369" s="112" t="s">
        <v>1238</v>
      </c>
      <c r="J369" s="112" t="s">
        <v>449</v>
      </c>
      <c r="K369" s="31"/>
      <c r="L369" s="31">
        <v>2730026.2</v>
      </c>
      <c r="M369" s="31">
        <v>2730026.2</v>
      </c>
      <c r="N369" s="31"/>
      <c r="O369" s="31"/>
      <c r="P369" s="31"/>
      <c r="Q369" s="33">
        <f>SUM(PAC!$M369:$P369)</f>
        <v>2730026.2</v>
      </c>
      <c r="R369" s="33"/>
      <c r="S369" s="33">
        <f>IF(PAC!$R369&gt;0,PAC!$R369,PAC!$Q369)</f>
        <v>2730026.2</v>
      </c>
      <c r="T369" s="33"/>
      <c r="U369" s="116" t="s">
        <v>1570</v>
      </c>
      <c r="V369" s="116"/>
      <c r="W369" s="131"/>
      <c r="X369" s="117" t="s">
        <v>1419</v>
      </c>
      <c r="Y369" s="113" t="s">
        <v>2473</v>
      </c>
      <c r="Z369" s="118">
        <v>46263</v>
      </c>
      <c r="AA369" s="112"/>
      <c r="AB369" s="115" t="s">
        <v>1459</v>
      </c>
      <c r="AC369" s="166" t="s">
        <v>2243</v>
      </c>
      <c r="AD369" s="120"/>
      <c r="AE369" s="166" t="s">
        <v>2760</v>
      </c>
      <c r="AF369" s="112" t="s">
        <v>2200</v>
      </c>
      <c r="AG369" s="112" t="s">
        <v>1002</v>
      </c>
      <c r="AH369" s="115" t="s">
        <v>977</v>
      </c>
      <c r="AI369" s="167" t="s">
        <v>1506</v>
      </c>
      <c r="AJ369" s="120">
        <v>46263</v>
      </c>
      <c r="AK369" s="115" t="s">
        <v>1699</v>
      </c>
      <c r="AL369" s="115"/>
      <c r="AM369" s="112"/>
      <c r="AN369" s="118"/>
      <c r="AO369" s="118"/>
      <c r="AP369" s="118"/>
      <c r="AQ369" s="118"/>
      <c r="AR369" s="121"/>
      <c r="AS369" s="121"/>
      <c r="AT369" s="112" t="s">
        <v>2201</v>
      </c>
      <c r="AU369" s="112" t="s">
        <v>1412</v>
      </c>
      <c r="AV369" s="120"/>
      <c r="AW369" s="112"/>
      <c r="AX369" s="194">
        <f>IFERROR(IF(PAC!$X369="F01 - CAPTAÇÃO DE RECURSO",1,""),"")</f>
        <v>1</v>
      </c>
      <c r="AY369" s="194" t="str">
        <f>IFERROR(IF(PAC!$X369="F02 - LICITAÇÃO",1,""),"")</f>
        <v/>
      </c>
      <c r="AZ369" s="123" t="str">
        <f>IFERROR(IF(PAC!$X$6:$X$581="F03 - EXECUÇÃO DO OBJETO",1,""),"")</f>
        <v/>
      </c>
      <c r="BA369" s="123" t="str">
        <f>IFERROR(IF(PAC!$X$6:$X$581="F04 - CONCLUÍDA",1,""),"")</f>
        <v/>
      </c>
      <c r="BB369" s="191">
        <f>IF(PAC!$R369&gt;0,0,PAC!$Q369)</f>
        <v>2730026.2</v>
      </c>
    </row>
    <row r="370" spans="1:54" s="1" customFormat="1" ht="249.95" hidden="1" customHeight="1" thickBot="1">
      <c r="A370" s="88">
        <f t="shared" si="5"/>
        <v>365</v>
      </c>
      <c r="B370" s="88">
        <v>2023</v>
      </c>
      <c r="C370" s="88" t="s">
        <v>605</v>
      </c>
      <c r="D370" s="88" t="s">
        <v>1010</v>
      </c>
      <c r="E370" s="88" t="s">
        <v>1662</v>
      </c>
      <c r="F370" s="88" t="s">
        <v>577</v>
      </c>
      <c r="G370" s="88" t="s">
        <v>566</v>
      </c>
      <c r="H370" s="88" t="s">
        <v>1244</v>
      </c>
      <c r="I370" s="88" t="s">
        <v>1238</v>
      </c>
      <c r="J370" s="88" t="s">
        <v>449</v>
      </c>
      <c r="K370" s="18"/>
      <c r="L370" s="18">
        <v>25675694.460000001</v>
      </c>
      <c r="M370" s="18">
        <v>25675694</v>
      </c>
      <c r="N370" s="18"/>
      <c r="O370" s="18"/>
      <c r="P370" s="18"/>
      <c r="Q370" s="20">
        <f>SUM(PAC!$M370:$P370)</f>
        <v>25675694</v>
      </c>
      <c r="R370" s="20"/>
      <c r="S370" s="20">
        <f>IF(PAC!$R370&gt;0,PAC!$R370,PAC!$Q370)</f>
        <v>25675694</v>
      </c>
      <c r="T370" s="20"/>
      <c r="U370" s="103" t="s">
        <v>1570</v>
      </c>
      <c r="V370" s="103"/>
      <c r="W370" s="40" t="s">
        <v>1713</v>
      </c>
      <c r="X370" s="104" t="s">
        <v>1419</v>
      </c>
      <c r="Y370" s="101" t="s">
        <v>2473</v>
      </c>
      <c r="Z370" s="87">
        <v>46263</v>
      </c>
      <c r="AA370" s="106"/>
      <c r="AB370" s="106" t="s">
        <v>1459</v>
      </c>
      <c r="AC370" s="168" t="s">
        <v>2243</v>
      </c>
      <c r="AD370" s="106"/>
      <c r="AE370" s="169" t="s">
        <v>2759</v>
      </c>
      <c r="AF370" s="106" t="s">
        <v>662</v>
      </c>
      <c r="AG370" s="106" t="s">
        <v>1001</v>
      </c>
      <c r="AH370" s="40" t="s">
        <v>977</v>
      </c>
      <c r="AI370" s="169" t="s">
        <v>1515</v>
      </c>
      <c r="AJ370" s="106">
        <v>46263</v>
      </c>
      <c r="AK370" s="106" t="s">
        <v>1700</v>
      </c>
      <c r="AL370" s="106"/>
      <c r="AM370" s="106"/>
      <c r="AN370" s="87"/>
      <c r="AO370" s="87"/>
      <c r="AP370" s="87"/>
      <c r="AQ370" s="87"/>
      <c r="AR370" s="106"/>
      <c r="AS370" s="106"/>
      <c r="AT370" s="106" t="s">
        <v>1824</v>
      </c>
      <c r="AU370" s="106" t="s">
        <v>1412</v>
      </c>
      <c r="AV370" s="106"/>
      <c r="AW370" s="88"/>
      <c r="AX370" s="109">
        <f>IFERROR(IF(PAC!$X370="F01 - CAPTAÇÃO DE RECURSO",1,""),"")</f>
        <v>1</v>
      </c>
      <c r="AY370" s="109" t="str">
        <f>IFERROR(IF(PAC!$X370="F02 - LICITAÇÃO",1,""),"")</f>
        <v/>
      </c>
      <c r="AZ370" s="110" t="str">
        <f>IFERROR(IF(PAC!$X$6:$X$581="F03 - EXECUÇÃO DO OBJETO",1,""),"")</f>
        <v/>
      </c>
      <c r="BA370" s="110" t="str">
        <f>IFERROR(IF(PAC!$X$6:$X$581="F04 - CONCLUÍDA",1,""),"")</f>
        <v/>
      </c>
      <c r="BB370" s="111">
        <f>IF(PAC!$R370&gt;0,0,PAC!$Q370)</f>
        <v>25675694</v>
      </c>
    </row>
    <row r="371" spans="1:54" s="1" customFormat="1" ht="249.95" hidden="1" customHeight="1" thickBot="1">
      <c r="A371" s="112">
        <f t="shared" si="5"/>
        <v>366</v>
      </c>
      <c r="B371" s="112">
        <v>2025</v>
      </c>
      <c r="C371" s="112" t="s">
        <v>605</v>
      </c>
      <c r="D371" s="112" t="s">
        <v>1010</v>
      </c>
      <c r="E371" s="112" t="s">
        <v>1232</v>
      </c>
      <c r="F371" s="112" t="s">
        <v>577</v>
      </c>
      <c r="G371" s="112" t="s">
        <v>566</v>
      </c>
      <c r="H371" s="112" t="s">
        <v>1244</v>
      </c>
      <c r="I371" s="112" t="s">
        <v>603</v>
      </c>
      <c r="J371" s="112" t="s">
        <v>449</v>
      </c>
      <c r="K371" s="112">
        <v>12000000</v>
      </c>
      <c r="L371" s="112">
        <v>12000000</v>
      </c>
      <c r="M371" s="112"/>
      <c r="N371" s="112"/>
      <c r="O371" s="112"/>
      <c r="P371" s="112"/>
      <c r="Q371" s="33">
        <f>SUM(PAC!$M371:$P371)</f>
        <v>0</v>
      </c>
      <c r="R371" s="33"/>
      <c r="S371" s="33">
        <f>IF(PAC!$R371&gt;0,PAC!$R371,PAC!$Q371)</f>
        <v>0</v>
      </c>
      <c r="T371" s="33"/>
      <c r="U371" s="116" t="s">
        <v>1574</v>
      </c>
      <c r="V371" s="116"/>
      <c r="W371" s="112"/>
      <c r="X371" s="117" t="s">
        <v>1419</v>
      </c>
      <c r="Y371" s="113" t="s">
        <v>2486</v>
      </c>
      <c r="Z371" s="118"/>
      <c r="AA371" s="112"/>
      <c r="AB371" s="112"/>
      <c r="AC371" s="112"/>
      <c r="AD371" s="120"/>
      <c r="AE371" s="112"/>
      <c r="AF371" s="112" t="s">
        <v>1233</v>
      </c>
      <c r="AG371" s="112"/>
      <c r="AH371" s="112"/>
      <c r="AI371" s="112"/>
      <c r="AJ371" s="170"/>
      <c r="AK371" s="112"/>
      <c r="AL371" s="112"/>
      <c r="AM371" s="112"/>
      <c r="AN371" s="118"/>
      <c r="AO371" s="118"/>
      <c r="AP371" s="118"/>
      <c r="AQ371" s="118"/>
      <c r="AR371" s="112"/>
      <c r="AS371" s="112"/>
      <c r="AT371" s="112" t="s">
        <v>1234</v>
      </c>
      <c r="AU371" s="112"/>
      <c r="AV371" s="120"/>
      <c r="AW371" s="112"/>
      <c r="AX371" s="194">
        <f>IFERROR(IF(PAC!$X371="F01 - CAPTAÇÃO DE RECURSO",1,""),"")</f>
        <v>1</v>
      </c>
      <c r="AY371" s="194" t="str">
        <f>IFERROR(IF(PAC!$X371="F02 - LICITAÇÃO",1,""),"")</f>
        <v/>
      </c>
      <c r="AZ371" s="123" t="str">
        <f>IFERROR(IF(PAC!$X$6:$X$581="F03 - EXECUÇÃO DO OBJETO",1,""),"")</f>
        <v/>
      </c>
      <c r="BA371" s="123" t="str">
        <f>IFERROR(IF(PAC!$X$6:$X$581="F04 - CONCLUÍDA",1,""),"")</f>
        <v/>
      </c>
      <c r="BB371" s="191">
        <f>IF(PAC!$R371&gt;0,0,PAC!$Q371)</f>
        <v>0</v>
      </c>
    </row>
    <row r="372" spans="1:54" s="1" customFormat="1" ht="249.95" hidden="1" customHeight="1" thickBot="1">
      <c r="A372" s="88">
        <f t="shared" si="5"/>
        <v>367</v>
      </c>
      <c r="B372" s="88">
        <v>2025</v>
      </c>
      <c r="C372" s="88" t="s">
        <v>605</v>
      </c>
      <c r="D372" s="88" t="s">
        <v>1010</v>
      </c>
      <c r="E372" s="171" t="s">
        <v>1235</v>
      </c>
      <c r="F372" s="88" t="s">
        <v>577</v>
      </c>
      <c r="G372" s="88" t="s">
        <v>566</v>
      </c>
      <c r="H372" s="88" t="s">
        <v>1244</v>
      </c>
      <c r="I372" s="88" t="s">
        <v>603</v>
      </c>
      <c r="J372" s="88" t="s">
        <v>449</v>
      </c>
      <c r="K372" s="18">
        <v>42500000</v>
      </c>
      <c r="L372" s="18">
        <v>42500000</v>
      </c>
      <c r="M372" s="18"/>
      <c r="N372" s="18"/>
      <c r="O372" s="18"/>
      <c r="P372" s="18"/>
      <c r="Q372" s="20">
        <f>SUM(PAC!$M372:$P372)</f>
        <v>0</v>
      </c>
      <c r="R372" s="20"/>
      <c r="S372" s="20">
        <f>IF(PAC!$R372&gt;0,PAC!$R372,PAC!$Q372)</f>
        <v>0</v>
      </c>
      <c r="T372" s="20"/>
      <c r="U372" s="103" t="s">
        <v>1574</v>
      </c>
      <c r="V372" s="103"/>
      <c r="W372" s="104"/>
      <c r="X372" s="104" t="s">
        <v>1419</v>
      </c>
      <c r="Y372" s="101" t="s">
        <v>2486</v>
      </c>
      <c r="Z372" s="87"/>
      <c r="AA372" s="105"/>
      <c r="AB372" s="40"/>
      <c r="AC372" s="88"/>
      <c r="AD372" s="106"/>
      <c r="AE372" s="102"/>
      <c r="AF372" s="40" t="s">
        <v>1236</v>
      </c>
      <c r="AG372" s="40"/>
      <c r="AH372" s="40"/>
      <c r="AI372" s="40"/>
      <c r="AJ372" s="87"/>
      <c r="AK372" s="40"/>
      <c r="AL372" s="40"/>
      <c r="AM372" s="40"/>
      <c r="AN372" s="87"/>
      <c r="AO372" s="87"/>
      <c r="AP372" s="87"/>
      <c r="AQ372" s="87"/>
      <c r="AR372" s="107"/>
      <c r="AS372" s="107"/>
      <c r="AT372" s="102" t="s">
        <v>1234</v>
      </c>
      <c r="AU372" s="108"/>
      <c r="AV372" s="106"/>
      <c r="AW372" s="105"/>
      <c r="AX372" s="109">
        <f>IFERROR(IF(PAC!$X372="F01 - CAPTAÇÃO DE RECURSO",1,""),"")</f>
        <v>1</v>
      </c>
      <c r="AY372" s="109" t="str">
        <f>IFERROR(IF(PAC!$X372="F02 - LICITAÇÃO",1,""),"")</f>
        <v/>
      </c>
      <c r="AZ372" s="110" t="str">
        <f>IFERROR(IF(PAC!$X$6:$X$581="F03 - EXECUÇÃO DO OBJETO",1,""),"")</f>
        <v/>
      </c>
      <c r="BA372" s="110" t="str">
        <f>IFERROR(IF(PAC!$X$6:$X$581="F04 - CONCLUÍDA",1,""),"")</f>
        <v/>
      </c>
      <c r="BB372" s="111">
        <f>IF(PAC!$R372&gt;0,0,PAC!$Q372)</f>
        <v>0</v>
      </c>
    </row>
    <row r="373" spans="1:54" s="1" customFormat="1" ht="249.95" customHeight="1" thickBot="1">
      <c r="A373" s="112">
        <f t="shared" si="5"/>
        <v>368</v>
      </c>
      <c r="B373" s="113">
        <v>2023</v>
      </c>
      <c r="C373" s="112" t="s">
        <v>605</v>
      </c>
      <c r="D373" s="112" t="s">
        <v>1010</v>
      </c>
      <c r="E373" s="114" t="s">
        <v>1290</v>
      </c>
      <c r="F373" s="112" t="s">
        <v>577</v>
      </c>
      <c r="G373" s="112" t="s">
        <v>541</v>
      </c>
      <c r="H373" s="115" t="s">
        <v>1243</v>
      </c>
      <c r="I373" s="112" t="s">
        <v>600</v>
      </c>
      <c r="J373" s="112" t="s">
        <v>90</v>
      </c>
      <c r="K373" s="31">
        <v>131178286.73999999</v>
      </c>
      <c r="L373" s="31"/>
      <c r="M373" s="31"/>
      <c r="N373" s="31">
        <v>6904120.3499999996</v>
      </c>
      <c r="O373" s="31"/>
      <c r="P373" s="31">
        <v>131178286.73999999</v>
      </c>
      <c r="Q373" s="33">
        <f>SUM(PAC!$M373:$P373)</f>
        <v>138082407.09</v>
      </c>
      <c r="R373" s="33">
        <v>107577791.31999999</v>
      </c>
      <c r="S373" s="33">
        <f>IF(PAC!$R373&gt;0,PAC!$R373,PAC!$Q373)</f>
        <v>107577791.31999999</v>
      </c>
      <c r="T373" s="33" t="s">
        <v>1885</v>
      </c>
      <c r="U373" s="116" t="s">
        <v>1573</v>
      </c>
      <c r="V373" s="116" t="s">
        <v>1764</v>
      </c>
      <c r="W373" s="117"/>
      <c r="X373" s="117" t="s">
        <v>1418</v>
      </c>
      <c r="Y373" s="113" t="s">
        <v>2472</v>
      </c>
      <c r="Z373" s="118"/>
      <c r="AA373" s="119">
        <v>0</v>
      </c>
      <c r="AB373" s="115" t="s">
        <v>1471</v>
      </c>
      <c r="AC373" s="122" t="s">
        <v>2542</v>
      </c>
      <c r="AD373" s="120"/>
      <c r="AE373" s="127" t="s">
        <v>1711</v>
      </c>
      <c r="AF373" s="115" t="s">
        <v>547</v>
      </c>
      <c r="AG373" s="115" t="s">
        <v>2156</v>
      </c>
      <c r="AH373" s="115"/>
      <c r="AI373" s="115"/>
      <c r="AJ373" s="118"/>
      <c r="AK373" s="115"/>
      <c r="AL373" s="115"/>
      <c r="AM373" s="115"/>
      <c r="AN373" s="118">
        <v>45840</v>
      </c>
      <c r="AO373" s="118">
        <v>46007</v>
      </c>
      <c r="AP373" s="118">
        <v>46086</v>
      </c>
      <c r="AQ373" s="118"/>
      <c r="AR373" s="121"/>
      <c r="AS373" s="121"/>
      <c r="AT373" s="125" t="s">
        <v>2541</v>
      </c>
      <c r="AU373" s="122" t="s">
        <v>1886</v>
      </c>
      <c r="AV373" s="120"/>
      <c r="AW373" s="119" t="s">
        <v>1651</v>
      </c>
      <c r="AX373" s="194" t="str">
        <f>IFERROR(IF(PAC!$X373="F01 - CAPTAÇÃO DE RECURSO",1,""),"")</f>
        <v/>
      </c>
      <c r="AY373" s="194">
        <f>IFERROR(IF(PAC!$X373="F02 - LICITAÇÃO",1,""),"")</f>
        <v>1</v>
      </c>
      <c r="AZ373" s="123" t="str">
        <f>IFERROR(IF(PAC!$X$6:$X$581="F03 - EXECUÇÃO DO OBJETO",1,""),"")</f>
        <v/>
      </c>
      <c r="BA373" s="123" t="str">
        <f>IFERROR(IF(PAC!$X$6:$X$581="F04 - CONCLUÍDA",1,""),"")</f>
        <v/>
      </c>
      <c r="BB373" s="191">
        <f>IF(PAC!$R373&gt;0,0,PAC!$Q373)</f>
        <v>0</v>
      </c>
    </row>
    <row r="374" spans="1:54" s="1" customFormat="1" ht="249.95" customHeight="1" thickBot="1">
      <c r="A374" s="88">
        <f t="shared" si="5"/>
        <v>369</v>
      </c>
      <c r="B374" s="101">
        <v>2023</v>
      </c>
      <c r="C374" s="88" t="s">
        <v>605</v>
      </c>
      <c r="D374" s="88" t="s">
        <v>1010</v>
      </c>
      <c r="E374" s="102" t="s">
        <v>542</v>
      </c>
      <c r="F374" s="88" t="s">
        <v>577</v>
      </c>
      <c r="G374" s="88" t="s">
        <v>541</v>
      </c>
      <c r="H374" s="40" t="s">
        <v>1243</v>
      </c>
      <c r="I374" s="88" t="s">
        <v>600</v>
      </c>
      <c r="J374" s="88" t="s">
        <v>190</v>
      </c>
      <c r="K374" s="18">
        <v>82827908.650000006</v>
      </c>
      <c r="L374" s="18"/>
      <c r="M374" s="18"/>
      <c r="N374" s="18">
        <v>4359363.6100000003</v>
      </c>
      <c r="O374" s="18"/>
      <c r="P374" s="18">
        <v>82827908.650000006</v>
      </c>
      <c r="Q374" s="20">
        <f>SUM(PAC!$M374:$P374)</f>
        <v>87187272.260000005</v>
      </c>
      <c r="R374" s="20"/>
      <c r="S374" s="20">
        <f>IF(PAC!$R374&gt;0,PAC!$R374,PAC!$Q374)</f>
        <v>87187272.260000005</v>
      </c>
      <c r="T374" s="20"/>
      <c r="U374" s="103" t="s">
        <v>1573</v>
      </c>
      <c r="V374" s="103" t="s">
        <v>1764</v>
      </c>
      <c r="W374" s="104"/>
      <c r="X374" s="104" t="s">
        <v>1418</v>
      </c>
      <c r="Y374" s="101" t="s">
        <v>2472</v>
      </c>
      <c r="Z374" s="87"/>
      <c r="AA374" s="105"/>
      <c r="AB374" s="40" t="s">
        <v>1464</v>
      </c>
      <c r="AC374" s="108" t="s">
        <v>2659</v>
      </c>
      <c r="AD374" s="106">
        <v>46321</v>
      </c>
      <c r="AE374" s="128" t="s">
        <v>2660</v>
      </c>
      <c r="AF374" s="40" t="s">
        <v>548</v>
      </c>
      <c r="AG374" s="40" t="s">
        <v>2155</v>
      </c>
      <c r="AH374" s="40"/>
      <c r="AI374" s="40"/>
      <c r="AJ374" s="87"/>
      <c r="AK374" s="40"/>
      <c r="AL374" s="40"/>
      <c r="AM374" s="40"/>
      <c r="AN374" s="87">
        <v>46247</v>
      </c>
      <c r="AO374" s="87">
        <v>46321</v>
      </c>
      <c r="AP374" s="87"/>
      <c r="AQ374" s="87"/>
      <c r="AR374" s="107"/>
      <c r="AS374" s="107"/>
      <c r="AT374" s="124" t="s">
        <v>2202</v>
      </c>
      <c r="AU374" s="128" t="s">
        <v>2661</v>
      </c>
      <c r="AV374" s="106"/>
      <c r="AW374" s="105" t="s">
        <v>1651</v>
      </c>
      <c r="AX374" s="109" t="str">
        <f>IFERROR(IF(PAC!$X374="F01 - CAPTAÇÃO DE RECURSO",1,""),"")</f>
        <v/>
      </c>
      <c r="AY374" s="109">
        <f>IFERROR(IF(PAC!$X374="F02 - LICITAÇÃO",1,""),"")</f>
        <v>1</v>
      </c>
      <c r="AZ374" s="110" t="str">
        <f>IFERROR(IF(PAC!$X$6:$X$581="F03 - EXECUÇÃO DO OBJETO",1,""),"")</f>
        <v/>
      </c>
      <c r="BA374" s="110" t="str">
        <f>IFERROR(IF(PAC!$X$6:$X$581="F04 - CONCLUÍDA",1,""),"")</f>
        <v/>
      </c>
      <c r="BB374" s="111">
        <f>IF(PAC!$R374&gt;0,0,PAC!$Q374)</f>
        <v>87187272.260000005</v>
      </c>
    </row>
    <row r="375" spans="1:54" s="1" customFormat="1" ht="249.95" customHeight="1" thickBot="1">
      <c r="A375" s="112">
        <f t="shared" si="5"/>
        <v>370</v>
      </c>
      <c r="B375" s="113">
        <v>2023</v>
      </c>
      <c r="C375" s="112" t="s">
        <v>605</v>
      </c>
      <c r="D375" s="112" t="s">
        <v>1010</v>
      </c>
      <c r="E375" s="114" t="s">
        <v>543</v>
      </c>
      <c r="F375" s="112" t="s">
        <v>577</v>
      </c>
      <c r="G375" s="112" t="s">
        <v>541</v>
      </c>
      <c r="H375" s="115" t="s">
        <v>1243</v>
      </c>
      <c r="I375" s="112" t="s">
        <v>600</v>
      </c>
      <c r="J375" s="112" t="s">
        <v>259</v>
      </c>
      <c r="K375" s="31">
        <v>132833256.34999999</v>
      </c>
      <c r="L375" s="31"/>
      <c r="M375" s="31"/>
      <c r="N375" s="31">
        <v>6991224.0199999996</v>
      </c>
      <c r="O375" s="31"/>
      <c r="P375" s="31">
        <v>132833256.34999999</v>
      </c>
      <c r="Q375" s="33">
        <f>SUM(PAC!$M375:$P375)</f>
        <v>139824480.37</v>
      </c>
      <c r="R375" s="33">
        <v>108913813.52</v>
      </c>
      <c r="S375" s="33">
        <f>IF(PAC!$R375&gt;0,PAC!$R375,PAC!$Q375)</f>
        <v>108913813.52</v>
      </c>
      <c r="T375" s="33" t="s">
        <v>2132</v>
      </c>
      <c r="U375" s="116" t="s">
        <v>1573</v>
      </c>
      <c r="V375" s="116" t="s">
        <v>1764</v>
      </c>
      <c r="W375" s="117"/>
      <c r="X375" s="117" t="s">
        <v>1694</v>
      </c>
      <c r="Y375" s="113" t="s">
        <v>2470</v>
      </c>
      <c r="Z375" s="121">
        <v>47310</v>
      </c>
      <c r="AA375" s="119"/>
      <c r="AB375" s="115" t="s">
        <v>1472</v>
      </c>
      <c r="AC375" s="122" t="s">
        <v>2544</v>
      </c>
      <c r="AD375" s="120"/>
      <c r="AE375" s="127" t="s">
        <v>1472</v>
      </c>
      <c r="AF375" s="115" t="s">
        <v>549</v>
      </c>
      <c r="AG375" s="115" t="s">
        <v>2154</v>
      </c>
      <c r="AH375" s="115"/>
      <c r="AI375" s="115"/>
      <c r="AJ375" s="118"/>
      <c r="AK375" s="115"/>
      <c r="AL375" s="115"/>
      <c r="AM375" s="115"/>
      <c r="AN375" s="118">
        <v>46027</v>
      </c>
      <c r="AO375" s="118">
        <v>46100</v>
      </c>
      <c r="AP375" s="118">
        <v>46164</v>
      </c>
      <c r="AQ375" s="118">
        <v>46230</v>
      </c>
      <c r="AR375" s="121">
        <v>47310</v>
      </c>
      <c r="AS375" s="121">
        <v>47310</v>
      </c>
      <c r="AT375" s="125" t="s">
        <v>2543</v>
      </c>
      <c r="AU375" s="127" t="s">
        <v>2379</v>
      </c>
      <c r="AV375" s="120"/>
      <c r="AW375" s="119" t="s">
        <v>1651</v>
      </c>
      <c r="AX375" s="194" t="str">
        <f>IFERROR(IF(PAC!$X375="F01 - CAPTAÇÃO DE RECURSO",1,""),"")</f>
        <v/>
      </c>
      <c r="AY375" s="194" t="str">
        <f>IFERROR(IF(PAC!$X375="F02 - LICITAÇÃO",1,""),"")</f>
        <v/>
      </c>
      <c r="AZ375" s="123">
        <f>IFERROR(IF(PAC!$X$6:$X$581="F03 - EXECUÇÃO DO OBJETO",1,""),"")</f>
        <v>1</v>
      </c>
      <c r="BA375" s="123" t="str">
        <f>IFERROR(IF(PAC!$X$6:$X$581="F04 - CONCLUÍDA",1,""),"")</f>
        <v/>
      </c>
      <c r="BB375" s="191">
        <f>IF(PAC!$R375&gt;0,0,PAC!$Q375)</f>
        <v>0</v>
      </c>
    </row>
    <row r="376" spans="1:54" s="1" customFormat="1" ht="249.95" customHeight="1" thickBot="1">
      <c r="A376" s="88">
        <f t="shared" si="5"/>
        <v>371</v>
      </c>
      <c r="B376" s="101">
        <v>2023</v>
      </c>
      <c r="C376" s="88" t="s">
        <v>605</v>
      </c>
      <c r="D376" s="88" t="s">
        <v>1010</v>
      </c>
      <c r="E376" s="102" t="s">
        <v>544</v>
      </c>
      <c r="F376" s="88" t="s">
        <v>577</v>
      </c>
      <c r="G376" s="88" t="s">
        <v>541</v>
      </c>
      <c r="H376" s="40" t="s">
        <v>1243</v>
      </c>
      <c r="I376" s="88" t="s">
        <v>600</v>
      </c>
      <c r="J376" s="88" t="s">
        <v>297</v>
      </c>
      <c r="K376" s="18">
        <v>128946323.81999999</v>
      </c>
      <c r="L376" s="18"/>
      <c r="M376" s="18"/>
      <c r="N376" s="18">
        <v>6786648.6200000001</v>
      </c>
      <c r="O376" s="18"/>
      <c r="P376" s="18">
        <v>128946323.81999999</v>
      </c>
      <c r="Q376" s="20">
        <f>SUM(PAC!$M376:$P376)</f>
        <v>135732972.44</v>
      </c>
      <c r="R376" s="20">
        <v>84490000</v>
      </c>
      <c r="S376" s="20">
        <f>IF(PAC!$R376&gt;0,PAC!$R376,PAC!$Q376)</f>
        <v>84490000</v>
      </c>
      <c r="T376" s="20" t="s">
        <v>2376</v>
      </c>
      <c r="U376" s="103" t="s">
        <v>1573</v>
      </c>
      <c r="V376" s="103" t="s">
        <v>1764</v>
      </c>
      <c r="W376" s="104"/>
      <c r="X376" s="104" t="s">
        <v>1694</v>
      </c>
      <c r="Y376" s="101" t="s">
        <v>2470</v>
      </c>
      <c r="Z376" s="107">
        <v>47254</v>
      </c>
      <c r="AA376" s="105">
        <v>0</v>
      </c>
      <c r="AB376" s="40" t="s">
        <v>1472</v>
      </c>
      <c r="AC376" s="108" t="s">
        <v>2266</v>
      </c>
      <c r="AD376" s="107">
        <v>47254</v>
      </c>
      <c r="AE376" s="128" t="s">
        <v>1472</v>
      </c>
      <c r="AF376" s="40" t="s">
        <v>550</v>
      </c>
      <c r="AG376" s="40" t="s">
        <v>2153</v>
      </c>
      <c r="AH376" s="40"/>
      <c r="AI376" s="40"/>
      <c r="AJ376" s="87"/>
      <c r="AK376" s="40"/>
      <c r="AL376" s="40"/>
      <c r="AM376" s="40"/>
      <c r="AN376" s="87">
        <v>45835</v>
      </c>
      <c r="AO376" s="87">
        <v>45908</v>
      </c>
      <c r="AP376" s="87">
        <v>46007</v>
      </c>
      <c r="AQ376" s="87">
        <v>46174</v>
      </c>
      <c r="AR376" s="107">
        <v>47254</v>
      </c>
      <c r="AS376" s="107">
        <v>47254</v>
      </c>
      <c r="AT376" s="124" t="s">
        <v>2375</v>
      </c>
      <c r="AU376" s="40" t="s">
        <v>2374</v>
      </c>
      <c r="AV376" s="106"/>
      <c r="AW376" s="105"/>
      <c r="AX376" s="109" t="str">
        <f>IFERROR(IF(PAC!$X376="F01 - CAPTAÇÃO DE RECURSO",1,""),"")</f>
        <v/>
      </c>
      <c r="AY376" s="109" t="str">
        <f>IFERROR(IF(PAC!$X376="F02 - LICITAÇÃO",1,""),"")</f>
        <v/>
      </c>
      <c r="AZ376" s="110">
        <f>IFERROR(IF(PAC!$X$6:$X$581="F03 - EXECUÇÃO DO OBJETO",1,""),"")</f>
        <v>1</v>
      </c>
      <c r="BA376" s="110" t="str">
        <f>IFERROR(IF(PAC!$X$6:$X$581="F04 - CONCLUÍDA",1,""),"")</f>
        <v/>
      </c>
      <c r="BB376" s="111">
        <f>IF(PAC!$R376&gt;0,0,PAC!$Q376)</f>
        <v>0</v>
      </c>
    </row>
    <row r="377" spans="1:54" s="1" customFormat="1" ht="249.95" customHeight="1" thickBot="1">
      <c r="A377" s="112">
        <f t="shared" si="5"/>
        <v>372</v>
      </c>
      <c r="B377" s="113">
        <v>2023</v>
      </c>
      <c r="C377" s="112" t="s">
        <v>605</v>
      </c>
      <c r="D377" s="112" t="s">
        <v>1010</v>
      </c>
      <c r="E377" s="114" t="s">
        <v>545</v>
      </c>
      <c r="F377" s="112" t="s">
        <v>577</v>
      </c>
      <c r="G377" s="112" t="s">
        <v>541</v>
      </c>
      <c r="H377" s="115" t="s">
        <v>1243</v>
      </c>
      <c r="I377" s="112" t="s">
        <v>600</v>
      </c>
      <c r="J377" s="112" t="s">
        <v>357</v>
      </c>
      <c r="K377" s="31">
        <v>174529117.11000001</v>
      </c>
      <c r="L377" s="31"/>
      <c r="M377" s="31"/>
      <c r="N377" s="31">
        <v>9185743.0099999998</v>
      </c>
      <c r="O377" s="31"/>
      <c r="P377" s="31">
        <v>174529117.11000001</v>
      </c>
      <c r="Q377" s="33">
        <f>SUM(PAC!$M377:$P377)</f>
        <v>183714860.12</v>
      </c>
      <c r="R377" s="33">
        <v>117870000</v>
      </c>
      <c r="S377" s="33">
        <f>IF(PAC!$R377&gt;0,PAC!$R377,PAC!$Q377)</f>
        <v>117870000</v>
      </c>
      <c r="T377" s="33" t="s">
        <v>1784</v>
      </c>
      <c r="U377" s="116" t="s">
        <v>1573</v>
      </c>
      <c r="V377" s="116" t="s">
        <v>1764</v>
      </c>
      <c r="W377" s="117"/>
      <c r="X377" s="117" t="s">
        <v>1418</v>
      </c>
      <c r="Y377" s="113" t="s">
        <v>2472</v>
      </c>
      <c r="Z377" s="118"/>
      <c r="AA377" s="119">
        <v>0</v>
      </c>
      <c r="AB377" s="115" t="s">
        <v>1471</v>
      </c>
      <c r="AC377" s="122" t="s">
        <v>2377</v>
      </c>
      <c r="AD377" s="120"/>
      <c r="AE377" s="127" t="s">
        <v>1711</v>
      </c>
      <c r="AF377" s="115" t="s">
        <v>551</v>
      </c>
      <c r="AG377" s="115" t="s">
        <v>2152</v>
      </c>
      <c r="AH377" s="115"/>
      <c r="AI377" s="115"/>
      <c r="AJ377" s="118"/>
      <c r="AK377" s="115"/>
      <c r="AL377" s="115"/>
      <c r="AM377" s="115"/>
      <c r="AN377" s="118">
        <v>45931</v>
      </c>
      <c r="AO377" s="118">
        <v>46049</v>
      </c>
      <c r="AP377" s="118">
        <v>46092</v>
      </c>
      <c r="AQ377" s="118"/>
      <c r="AR377" s="121"/>
      <c r="AS377" s="121"/>
      <c r="AT377" s="125" t="s">
        <v>2497</v>
      </c>
      <c r="AU377" s="122" t="s">
        <v>1891</v>
      </c>
      <c r="AV377" s="120"/>
      <c r="AW377" s="119" t="s">
        <v>1651</v>
      </c>
      <c r="AX377" s="194" t="str">
        <f>IFERROR(IF(PAC!$X377="F01 - CAPTAÇÃO DE RECURSO",1,""),"")</f>
        <v/>
      </c>
      <c r="AY377" s="194">
        <f>IFERROR(IF(PAC!$X377="F02 - LICITAÇÃO",1,""),"")</f>
        <v>1</v>
      </c>
      <c r="AZ377" s="123" t="str">
        <f>IFERROR(IF(PAC!$X$6:$X$581="F03 - EXECUÇÃO DO OBJETO",1,""),"")</f>
        <v/>
      </c>
      <c r="BA377" s="123" t="str">
        <f>IFERROR(IF(PAC!$X$6:$X$581="F04 - CONCLUÍDA",1,""),"")</f>
        <v/>
      </c>
      <c r="BB377" s="191">
        <f>IF(PAC!$R377&gt;0,0,PAC!$Q377)</f>
        <v>0</v>
      </c>
    </row>
    <row r="378" spans="1:54" s="1" customFormat="1" ht="249.95" customHeight="1" thickBot="1">
      <c r="A378" s="88">
        <f t="shared" si="5"/>
        <v>373</v>
      </c>
      <c r="B378" s="101">
        <v>2023</v>
      </c>
      <c r="C378" s="88" t="s">
        <v>605</v>
      </c>
      <c r="D378" s="88" t="s">
        <v>1010</v>
      </c>
      <c r="E378" s="102" t="s">
        <v>536</v>
      </c>
      <c r="F378" s="88" t="s">
        <v>577</v>
      </c>
      <c r="G378" s="88" t="s">
        <v>541</v>
      </c>
      <c r="H378" s="40" t="s">
        <v>1243</v>
      </c>
      <c r="I378" s="88" t="s">
        <v>600</v>
      </c>
      <c r="J378" s="88" t="s">
        <v>66</v>
      </c>
      <c r="K378" s="18"/>
      <c r="L378" s="18">
        <v>55226904.659999996</v>
      </c>
      <c r="M378" s="18">
        <v>55226904.659999996</v>
      </c>
      <c r="N378" s="18"/>
      <c r="O378" s="18"/>
      <c r="P378" s="18"/>
      <c r="Q378" s="20">
        <f>SUM(PAC!$M378:$P378)</f>
        <v>55226904.659999996</v>
      </c>
      <c r="R378" s="20">
        <v>44799412</v>
      </c>
      <c r="S378" s="20">
        <f>IF(PAC!$R378&gt;0,PAC!$R378,PAC!$Q378)</f>
        <v>44799412</v>
      </c>
      <c r="T378" s="20" t="s">
        <v>1949</v>
      </c>
      <c r="U378" s="103" t="s">
        <v>1570</v>
      </c>
      <c r="V378" s="103"/>
      <c r="W378" s="104">
        <v>24</v>
      </c>
      <c r="X378" s="104" t="s">
        <v>1418</v>
      </c>
      <c r="Y378" s="101" t="s">
        <v>2472</v>
      </c>
      <c r="Z378" s="87"/>
      <c r="AA378" s="105">
        <v>0</v>
      </c>
      <c r="AB378" s="40" t="s">
        <v>1468</v>
      </c>
      <c r="AC378" s="108" t="s">
        <v>2267</v>
      </c>
      <c r="AD378" s="106"/>
      <c r="AE378" s="108" t="s">
        <v>1930</v>
      </c>
      <c r="AF378" s="40" t="s">
        <v>580</v>
      </c>
      <c r="AG378" s="40" t="s">
        <v>2609</v>
      </c>
      <c r="AH378" s="40" t="s">
        <v>977</v>
      </c>
      <c r="AI378" s="40"/>
      <c r="AJ378" s="87">
        <v>46669</v>
      </c>
      <c r="AK378" s="40"/>
      <c r="AL378" s="40"/>
      <c r="AM378" s="40"/>
      <c r="AN378" s="87">
        <v>45940</v>
      </c>
      <c r="AO378" s="87">
        <v>46013</v>
      </c>
      <c r="AP378" s="87">
        <v>46111</v>
      </c>
      <c r="AQ378" s="87"/>
      <c r="AR378" s="107"/>
      <c r="AS378" s="107"/>
      <c r="AT378" s="108" t="s">
        <v>2378</v>
      </c>
      <c r="AU378" s="108"/>
      <c r="AV378" s="106"/>
      <c r="AW378" s="105" t="s">
        <v>1651</v>
      </c>
      <c r="AX378" s="109" t="str">
        <f>IFERROR(IF(PAC!$X378="F01 - CAPTAÇÃO DE RECURSO",1,""),"")</f>
        <v/>
      </c>
      <c r="AY378" s="109">
        <f>IFERROR(IF(PAC!$X378="F02 - LICITAÇÃO",1,""),"")</f>
        <v>1</v>
      </c>
      <c r="AZ378" s="110" t="str">
        <f>IFERROR(IF(PAC!$X$6:$X$581="F03 - EXECUÇÃO DO OBJETO",1,""),"")</f>
        <v/>
      </c>
      <c r="BA378" s="110" t="str">
        <f>IFERROR(IF(PAC!$X$6:$X$581="F04 - CONCLUÍDA",1,""),"")</f>
        <v/>
      </c>
      <c r="BB378" s="111">
        <f>IF(PAC!$R378&gt;0,0,PAC!$Q378)</f>
        <v>0</v>
      </c>
    </row>
    <row r="379" spans="1:54" s="1" customFormat="1" ht="249.95" customHeight="1" thickBot="1">
      <c r="A379" s="112">
        <f t="shared" si="5"/>
        <v>374</v>
      </c>
      <c r="B379" s="113">
        <v>2023</v>
      </c>
      <c r="C379" s="112" t="s">
        <v>605</v>
      </c>
      <c r="D379" s="112" t="s">
        <v>1010</v>
      </c>
      <c r="E379" s="114" t="s">
        <v>537</v>
      </c>
      <c r="F379" s="112" t="s">
        <v>577</v>
      </c>
      <c r="G379" s="112" t="s">
        <v>541</v>
      </c>
      <c r="H379" s="115" t="s">
        <v>1243</v>
      </c>
      <c r="I379" s="112" t="s">
        <v>600</v>
      </c>
      <c r="J379" s="112" t="s">
        <v>79</v>
      </c>
      <c r="K379" s="31"/>
      <c r="L379" s="31">
        <v>18993884.620000001</v>
      </c>
      <c r="M379" s="31">
        <v>18993884.620000001</v>
      </c>
      <c r="N379" s="31"/>
      <c r="O379" s="31"/>
      <c r="P379" s="31"/>
      <c r="Q379" s="33">
        <f>SUM(PAC!$M379:$P379)</f>
        <v>18993884.620000001</v>
      </c>
      <c r="R379" s="33">
        <v>16525306.51</v>
      </c>
      <c r="S379" s="33">
        <f>IF(PAC!$R379&gt;0,PAC!$R379,PAC!$Q379)</f>
        <v>16525306.51</v>
      </c>
      <c r="T379" s="33" t="s">
        <v>1625</v>
      </c>
      <c r="U379" s="116" t="s">
        <v>1570</v>
      </c>
      <c r="V379" s="116"/>
      <c r="W379" s="117">
        <v>18</v>
      </c>
      <c r="X379" s="117" t="s">
        <v>1694</v>
      </c>
      <c r="Y379" s="113" t="s">
        <v>2470</v>
      </c>
      <c r="Z379" s="121">
        <v>46569</v>
      </c>
      <c r="AA379" s="119">
        <v>18</v>
      </c>
      <c r="AB379" s="115" t="s">
        <v>1472</v>
      </c>
      <c r="AC379" s="122" t="s">
        <v>2130</v>
      </c>
      <c r="AD379" s="121">
        <v>46569</v>
      </c>
      <c r="AE379" s="127" t="s">
        <v>1296</v>
      </c>
      <c r="AF379" s="115" t="s">
        <v>587</v>
      </c>
      <c r="AG379" s="115" t="s">
        <v>2610</v>
      </c>
      <c r="AH379" s="115" t="s">
        <v>977</v>
      </c>
      <c r="AI379" s="115"/>
      <c r="AJ379" s="118">
        <v>46495</v>
      </c>
      <c r="AK379" s="115"/>
      <c r="AL379" s="115"/>
      <c r="AM379" s="115"/>
      <c r="AN379" s="118">
        <v>45750</v>
      </c>
      <c r="AO379" s="118">
        <v>45824</v>
      </c>
      <c r="AP379" s="118">
        <v>45888</v>
      </c>
      <c r="AQ379" s="118">
        <v>46029</v>
      </c>
      <c r="AR379" s="121">
        <v>46569</v>
      </c>
      <c r="AS379" s="121">
        <v>46569</v>
      </c>
      <c r="AT379" s="125" t="s">
        <v>2539</v>
      </c>
      <c r="AU379" s="122" t="s">
        <v>2372</v>
      </c>
      <c r="AV379" s="120"/>
      <c r="AW379" s="119" t="s">
        <v>1651</v>
      </c>
      <c r="AX379" s="194" t="str">
        <f>IFERROR(IF(PAC!$X379="F01 - CAPTAÇÃO DE RECURSO",1,""),"")</f>
        <v/>
      </c>
      <c r="AY379" s="194" t="str">
        <f>IFERROR(IF(PAC!$X379="F02 - LICITAÇÃO",1,""),"")</f>
        <v/>
      </c>
      <c r="AZ379" s="123">
        <f>IFERROR(IF(PAC!$X$6:$X$581="F03 - EXECUÇÃO DO OBJETO",1,""),"")</f>
        <v>1</v>
      </c>
      <c r="BA379" s="123" t="str">
        <f>IFERROR(IF(PAC!$X$6:$X$581="F04 - CONCLUÍDA",1,""),"")</f>
        <v/>
      </c>
      <c r="BB379" s="191">
        <f>IF(PAC!$R379&gt;0,0,PAC!$Q379)</f>
        <v>0</v>
      </c>
    </row>
    <row r="380" spans="1:54" s="1" customFormat="1" ht="249.95" customHeight="1" thickBot="1">
      <c r="A380" s="88">
        <f t="shared" si="5"/>
        <v>375</v>
      </c>
      <c r="B380" s="101">
        <v>2023</v>
      </c>
      <c r="C380" s="88" t="s">
        <v>605</v>
      </c>
      <c r="D380" s="88" t="s">
        <v>1010</v>
      </c>
      <c r="E380" s="102" t="s">
        <v>538</v>
      </c>
      <c r="F380" s="88" t="s">
        <v>577</v>
      </c>
      <c r="G380" s="88" t="s">
        <v>541</v>
      </c>
      <c r="H380" s="40" t="s">
        <v>1243</v>
      </c>
      <c r="I380" s="88" t="s">
        <v>600</v>
      </c>
      <c r="J380" s="88" t="s">
        <v>121</v>
      </c>
      <c r="K380" s="18"/>
      <c r="L380" s="18">
        <v>96921279.310000002</v>
      </c>
      <c r="M380" s="18">
        <v>96921279.310000002</v>
      </c>
      <c r="N380" s="18"/>
      <c r="O380" s="18"/>
      <c r="P380" s="18"/>
      <c r="Q380" s="20">
        <f>SUM(PAC!$M380:$P380)</f>
        <v>96921279.310000002</v>
      </c>
      <c r="R380" s="20"/>
      <c r="S380" s="20">
        <f>IF(PAC!$R380&gt;0,PAC!$R380,PAC!$Q380)</f>
        <v>96921279.310000002</v>
      </c>
      <c r="T380" s="20"/>
      <c r="U380" s="103" t="s">
        <v>1570</v>
      </c>
      <c r="V380" s="103"/>
      <c r="W380" s="104"/>
      <c r="X380" s="104" t="s">
        <v>1418</v>
      </c>
      <c r="Y380" s="101" t="s">
        <v>2472</v>
      </c>
      <c r="Z380" s="87"/>
      <c r="AA380" s="105"/>
      <c r="AB380" s="40" t="s">
        <v>1465</v>
      </c>
      <c r="AC380" s="108" t="s">
        <v>2648</v>
      </c>
      <c r="AD380" s="106"/>
      <c r="AE380" s="128" t="s">
        <v>2268</v>
      </c>
      <c r="AF380" s="40" t="s">
        <v>588</v>
      </c>
      <c r="AG380" s="40" t="s">
        <v>2611</v>
      </c>
      <c r="AH380" s="40" t="s">
        <v>977</v>
      </c>
      <c r="AI380" s="40"/>
      <c r="AJ380" s="87">
        <v>47226</v>
      </c>
      <c r="AK380" s="40"/>
      <c r="AL380" s="40"/>
      <c r="AM380" s="40"/>
      <c r="AN380" s="87">
        <v>46020</v>
      </c>
      <c r="AO380" s="87">
        <v>46244</v>
      </c>
      <c r="AP380" s="87"/>
      <c r="AQ380" s="87"/>
      <c r="AR380" s="107"/>
      <c r="AS380" s="107"/>
      <c r="AT380" s="124"/>
      <c r="AU380" s="108" t="s">
        <v>2649</v>
      </c>
      <c r="AV380" s="106"/>
      <c r="AW380" s="105" t="s">
        <v>1651</v>
      </c>
      <c r="AX380" s="109" t="str">
        <f>IFERROR(IF(PAC!$X380="F01 - CAPTAÇÃO DE RECURSO",1,""),"")</f>
        <v/>
      </c>
      <c r="AY380" s="109">
        <f>IFERROR(IF(PAC!$X380="F02 - LICITAÇÃO",1,""),"")</f>
        <v>1</v>
      </c>
      <c r="AZ380" s="110" t="str">
        <f>IFERROR(IF(PAC!$X$6:$X$581="F03 - EXECUÇÃO DO OBJETO",1,""),"")</f>
        <v/>
      </c>
      <c r="BA380" s="110" t="str">
        <f>IFERROR(IF(PAC!$X$6:$X$581="F04 - CONCLUÍDA",1,""),"")</f>
        <v/>
      </c>
      <c r="BB380" s="111">
        <f>IF(PAC!$R380&gt;0,0,PAC!$Q380)</f>
        <v>96921279.310000002</v>
      </c>
    </row>
    <row r="381" spans="1:54" s="1" customFormat="1" ht="249.95" customHeight="1" thickBot="1">
      <c r="A381" s="112">
        <f t="shared" si="5"/>
        <v>376</v>
      </c>
      <c r="B381" s="113">
        <v>2023</v>
      </c>
      <c r="C381" s="112" t="s">
        <v>605</v>
      </c>
      <c r="D381" s="112" t="s">
        <v>1010</v>
      </c>
      <c r="E381" s="114" t="s">
        <v>539</v>
      </c>
      <c r="F381" s="112" t="s">
        <v>577</v>
      </c>
      <c r="G381" s="112" t="s">
        <v>541</v>
      </c>
      <c r="H381" s="115" t="s">
        <v>1243</v>
      </c>
      <c r="I381" s="112" t="s">
        <v>600</v>
      </c>
      <c r="J381" s="112" t="s">
        <v>171</v>
      </c>
      <c r="K381" s="31"/>
      <c r="L381" s="31">
        <v>69655011.400000006</v>
      </c>
      <c r="M381" s="31">
        <v>69655011.400000006</v>
      </c>
      <c r="N381" s="31"/>
      <c r="O381" s="31"/>
      <c r="P381" s="31"/>
      <c r="Q381" s="33">
        <f>SUM(PAC!$M381:$P381)</f>
        <v>69655011.400000006</v>
      </c>
      <c r="R381" s="33">
        <v>74911542</v>
      </c>
      <c r="S381" s="33">
        <f>IF(PAC!$R381&gt;0,PAC!$R381,PAC!$Q381)</f>
        <v>74911542</v>
      </c>
      <c r="T381" s="33" t="s">
        <v>1624</v>
      </c>
      <c r="U381" s="116" t="s">
        <v>1570</v>
      </c>
      <c r="V381" s="116"/>
      <c r="W381" s="117">
        <v>36</v>
      </c>
      <c r="X381" s="117" t="s">
        <v>1418</v>
      </c>
      <c r="Y381" s="113" t="s">
        <v>2470</v>
      </c>
      <c r="Z381" s="118"/>
      <c r="AA381" s="119">
        <v>46</v>
      </c>
      <c r="AB381" s="115" t="s">
        <v>1467</v>
      </c>
      <c r="AC381" s="115" t="s">
        <v>2464</v>
      </c>
      <c r="AD381" s="120"/>
      <c r="AE381" s="127" t="s">
        <v>1894</v>
      </c>
      <c r="AF381" s="115" t="s">
        <v>589</v>
      </c>
      <c r="AG381" s="115" t="s">
        <v>2612</v>
      </c>
      <c r="AH381" s="115" t="s">
        <v>977</v>
      </c>
      <c r="AI381" s="115"/>
      <c r="AJ381" s="118">
        <v>47226</v>
      </c>
      <c r="AK381" s="115"/>
      <c r="AL381" s="115"/>
      <c r="AM381" s="115"/>
      <c r="AN381" s="118">
        <v>45633</v>
      </c>
      <c r="AO381" s="118">
        <v>45712</v>
      </c>
      <c r="AP381" s="118">
        <v>45791</v>
      </c>
      <c r="AQ381" s="118">
        <v>45873</v>
      </c>
      <c r="AR381" s="121">
        <v>46953</v>
      </c>
      <c r="AS381" s="121">
        <v>46953</v>
      </c>
      <c r="AT381" s="125" t="s">
        <v>2536</v>
      </c>
      <c r="AU381" s="122" t="s">
        <v>2371</v>
      </c>
      <c r="AV381" s="120"/>
      <c r="AW381" s="119" t="s">
        <v>1651</v>
      </c>
      <c r="AX381" s="194" t="str">
        <f>IFERROR(IF(PAC!$X381="F01 - CAPTAÇÃO DE RECURSO",1,""),"")</f>
        <v/>
      </c>
      <c r="AY381" s="194">
        <f>IFERROR(IF(PAC!$X381="F02 - LICITAÇÃO",1,""),"")</f>
        <v>1</v>
      </c>
      <c r="AZ381" s="123" t="str">
        <f>IFERROR(IF(PAC!$X$6:$X$581="F03 - EXECUÇÃO DO OBJETO",1,""),"")</f>
        <v/>
      </c>
      <c r="BA381" s="123" t="str">
        <f>IFERROR(IF(PAC!$X$6:$X$581="F04 - CONCLUÍDA",1,""),"")</f>
        <v/>
      </c>
      <c r="BB381" s="191">
        <f>IF(PAC!$R381&gt;0,0,PAC!$Q381)</f>
        <v>0</v>
      </c>
    </row>
    <row r="382" spans="1:54" s="1" customFormat="1" ht="249.95" customHeight="1" thickBot="1">
      <c r="A382" s="88">
        <f t="shared" si="5"/>
        <v>377</v>
      </c>
      <c r="B382" s="101">
        <v>2023</v>
      </c>
      <c r="C382" s="88" t="s">
        <v>605</v>
      </c>
      <c r="D382" s="88" t="s">
        <v>1010</v>
      </c>
      <c r="E382" s="102" t="s">
        <v>540</v>
      </c>
      <c r="F382" s="88" t="s">
        <v>577</v>
      </c>
      <c r="G382" s="88" t="s">
        <v>541</v>
      </c>
      <c r="H382" s="40" t="s">
        <v>1243</v>
      </c>
      <c r="I382" s="88" t="s">
        <v>600</v>
      </c>
      <c r="J382" s="88" t="s">
        <v>418</v>
      </c>
      <c r="K382" s="18"/>
      <c r="L382" s="18">
        <v>95274100.120000005</v>
      </c>
      <c r="M382" s="18">
        <v>95274100.120000005</v>
      </c>
      <c r="N382" s="18"/>
      <c r="O382" s="18"/>
      <c r="P382" s="18"/>
      <c r="Q382" s="20">
        <f>SUM(PAC!$M382:$P382)</f>
        <v>95274100.120000005</v>
      </c>
      <c r="R382" s="20">
        <v>55200000</v>
      </c>
      <c r="S382" s="20">
        <f>IF(PAC!$R382&gt;0,PAC!$R382,PAC!$Q382)</f>
        <v>55200000</v>
      </c>
      <c r="T382" s="20" t="s">
        <v>1626</v>
      </c>
      <c r="U382" s="103" t="s">
        <v>1570</v>
      </c>
      <c r="V382" s="103"/>
      <c r="W382" s="104">
        <v>30</v>
      </c>
      <c r="X382" s="104" t="s">
        <v>1694</v>
      </c>
      <c r="Y382" s="101" t="s">
        <v>2470</v>
      </c>
      <c r="Z382" s="107">
        <v>46928</v>
      </c>
      <c r="AA382" s="105">
        <v>13</v>
      </c>
      <c r="AB382" s="40" t="s">
        <v>1472</v>
      </c>
      <c r="AC382" s="108" t="s">
        <v>2131</v>
      </c>
      <c r="AD382" s="107">
        <v>46928</v>
      </c>
      <c r="AE382" s="128" t="s">
        <v>1296</v>
      </c>
      <c r="AF382" s="40" t="s">
        <v>590</v>
      </c>
      <c r="AG382" s="40" t="s">
        <v>2613</v>
      </c>
      <c r="AH382" s="40" t="s">
        <v>977</v>
      </c>
      <c r="AI382" s="40"/>
      <c r="AJ382" s="87">
        <v>47035</v>
      </c>
      <c r="AK382" s="40"/>
      <c r="AL382" s="40"/>
      <c r="AM382" s="40"/>
      <c r="AN382" s="87">
        <v>45737</v>
      </c>
      <c r="AO382" s="87">
        <v>45806</v>
      </c>
      <c r="AP382" s="87">
        <v>45889</v>
      </c>
      <c r="AQ382" s="87">
        <v>46028</v>
      </c>
      <c r="AR382" s="107">
        <v>46928</v>
      </c>
      <c r="AS382" s="107">
        <v>46928</v>
      </c>
      <c r="AT382" s="124" t="s">
        <v>2540</v>
      </c>
      <c r="AU382" s="108" t="s">
        <v>2373</v>
      </c>
      <c r="AV382" s="106"/>
      <c r="AW382" s="105" t="s">
        <v>1651</v>
      </c>
      <c r="AX382" s="109" t="str">
        <f>IFERROR(IF(PAC!$X382="F01 - CAPTAÇÃO DE RECURSO",1,""),"")</f>
        <v/>
      </c>
      <c r="AY382" s="109" t="str">
        <f>IFERROR(IF(PAC!$X382="F02 - LICITAÇÃO",1,""),"")</f>
        <v/>
      </c>
      <c r="AZ382" s="110">
        <f>IFERROR(IF(PAC!$X$6:$X$581="F03 - EXECUÇÃO DO OBJETO",1,""),"")</f>
        <v>1</v>
      </c>
      <c r="BA382" s="110" t="str">
        <f>IFERROR(IF(PAC!$X$6:$X$581="F04 - CONCLUÍDA",1,""),"")</f>
        <v/>
      </c>
      <c r="BB382" s="111">
        <f>IF(PAC!$R382&gt;0,0,PAC!$Q382)</f>
        <v>0</v>
      </c>
    </row>
    <row r="383" spans="1:54" s="1" customFormat="1" ht="249.95" customHeight="1" thickBot="1">
      <c r="A383" s="112">
        <f t="shared" si="5"/>
        <v>378</v>
      </c>
      <c r="B383" s="112">
        <v>2025</v>
      </c>
      <c r="C383" s="112" t="s">
        <v>605</v>
      </c>
      <c r="D383" s="112" t="s">
        <v>1010</v>
      </c>
      <c r="E383" s="114" t="s">
        <v>854</v>
      </c>
      <c r="F383" s="112" t="s">
        <v>577</v>
      </c>
      <c r="G383" s="112" t="s">
        <v>541</v>
      </c>
      <c r="H383" s="115" t="s">
        <v>1243</v>
      </c>
      <c r="I383" s="112" t="s">
        <v>600</v>
      </c>
      <c r="J383" s="112" t="s">
        <v>361</v>
      </c>
      <c r="K383" s="31">
        <v>36979032.549999997</v>
      </c>
      <c r="L383" s="31"/>
      <c r="M383" s="31"/>
      <c r="N383" s="31">
        <f t="shared" ref="N383:N407" si="6">K383-P383</f>
        <v>1848951.6299999952</v>
      </c>
      <c r="O383" s="31"/>
      <c r="P383" s="31">
        <v>35130080.920000002</v>
      </c>
      <c r="Q383" s="33">
        <f>SUM(PAC!$M383:$P383)</f>
        <v>36979032.549999997</v>
      </c>
      <c r="R383" s="33"/>
      <c r="S383" s="33">
        <f>IF(PAC!$R383&gt;0,PAC!$R383,PAC!$Q383)</f>
        <v>36979032.549999997</v>
      </c>
      <c r="T383" s="33"/>
      <c r="U383" s="116" t="s">
        <v>594</v>
      </c>
      <c r="V383" s="116" t="s">
        <v>1764</v>
      </c>
      <c r="W383" s="117"/>
      <c r="X383" s="117" t="s">
        <v>1419</v>
      </c>
      <c r="Y383" s="113" t="s">
        <v>2476</v>
      </c>
      <c r="Z383" s="118"/>
      <c r="AA383" s="119"/>
      <c r="AB383" s="115" t="s">
        <v>1509</v>
      </c>
      <c r="AC383" s="115" t="s">
        <v>2505</v>
      </c>
      <c r="AD383" s="120">
        <v>46325</v>
      </c>
      <c r="AE383" s="114" t="s">
        <v>2028</v>
      </c>
      <c r="AF383" s="115" t="s">
        <v>855</v>
      </c>
      <c r="AG383" s="115"/>
      <c r="AH383" s="115"/>
      <c r="AI383" s="115"/>
      <c r="AJ383" s="118"/>
      <c r="AK383" s="115"/>
      <c r="AL383" s="115"/>
      <c r="AM383" s="115"/>
      <c r="AN383" s="118">
        <v>46266</v>
      </c>
      <c r="AO383" s="118"/>
      <c r="AP383" s="118"/>
      <c r="AQ383" s="118"/>
      <c r="AR383" s="121"/>
      <c r="AS383" s="121"/>
      <c r="AT383" s="166" t="s">
        <v>2510</v>
      </c>
      <c r="AU383" s="115" t="s">
        <v>1753</v>
      </c>
      <c r="AV383" s="120"/>
      <c r="AW383" s="131" t="s">
        <v>1609</v>
      </c>
      <c r="AX383" s="194">
        <f>IFERROR(IF(PAC!$X383="F01 - CAPTAÇÃO DE RECURSO",1,""),"")</f>
        <v>1</v>
      </c>
      <c r="AY383" s="194" t="str">
        <f>IFERROR(IF(PAC!$X383="F02 - LICITAÇÃO",1,""),"")</f>
        <v/>
      </c>
      <c r="AZ383" s="123" t="str">
        <f>IFERROR(IF(PAC!$X$6:$X$581="F03 - EXECUÇÃO DO OBJETO",1,""),"")</f>
        <v/>
      </c>
      <c r="BA383" s="123" t="str">
        <f>IFERROR(IF(PAC!$X$6:$X$581="F04 - CONCLUÍDA",1,""),"")</f>
        <v/>
      </c>
      <c r="BB383" s="191">
        <f>IF(PAC!$R383&gt;0,0,PAC!$Q383)</f>
        <v>36979032.549999997</v>
      </c>
    </row>
    <row r="384" spans="1:54" s="1" customFormat="1" ht="249.95" customHeight="1" thickBot="1">
      <c r="A384" s="88">
        <f t="shared" si="5"/>
        <v>379</v>
      </c>
      <c r="B384" s="88">
        <v>2025</v>
      </c>
      <c r="C384" s="88" t="s">
        <v>605</v>
      </c>
      <c r="D384" s="88" t="s">
        <v>1010</v>
      </c>
      <c r="E384" s="102" t="s">
        <v>558</v>
      </c>
      <c r="F384" s="88" t="s">
        <v>577</v>
      </c>
      <c r="G384" s="88" t="s">
        <v>541</v>
      </c>
      <c r="H384" s="40" t="s">
        <v>1243</v>
      </c>
      <c r="I384" s="88" t="s">
        <v>600</v>
      </c>
      <c r="J384" s="88" t="s">
        <v>105</v>
      </c>
      <c r="K384" s="18">
        <v>95327924.659999996</v>
      </c>
      <c r="L384" s="18"/>
      <c r="M384" s="18"/>
      <c r="N384" s="18">
        <f t="shared" si="6"/>
        <v>4766396.2299999893</v>
      </c>
      <c r="O384" s="18"/>
      <c r="P384" s="18">
        <v>90561528.430000007</v>
      </c>
      <c r="Q384" s="20">
        <f>SUM(PAC!$M384:$P384)</f>
        <v>95327924.659999996</v>
      </c>
      <c r="R384" s="20"/>
      <c r="S384" s="20">
        <f>IF(PAC!$R384&gt;0,PAC!$R384,PAC!$Q384)</f>
        <v>95327924.659999996</v>
      </c>
      <c r="T384" s="20"/>
      <c r="U384" s="103" t="s">
        <v>594</v>
      </c>
      <c r="V384" s="103" t="s">
        <v>1764</v>
      </c>
      <c r="W384" s="104"/>
      <c r="X384" s="104" t="s">
        <v>1419</v>
      </c>
      <c r="Y384" s="101" t="s">
        <v>2476</v>
      </c>
      <c r="Z384" s="87"/>
      <c r="AA384" s="105"/>
      <c r="AB384" s="40" t="s">
        <v>1509</v>
      </c>
      <c r="AC384" s="40" t="s">
        <v>2512</v>
      </c>
      <c r="AD384" s="106">
        <v>46325</v>
      </c>
      <c r="AE384" s="102" t="s">
        <v>1945</v>
      </c>
      <c r="AF384" s="40" t="s">
        <v>856</v>
      </c>
      <c r="AG384" s="40"/>
      <c r="AH384" s="40"/>
      <c r="AI384" s="40"/>
      <c r="AJ384" s="87"/>
      <c r="AK384" s="40"/>
      <c r="AL384" s="40"/>
      <c r="AM384" s="40" t="s">
        <v>716</v>
      </c>
      <c r="AN384" s="87">
        <v>46507</v>
      </c>
      <c r="AO384" s="87"/>
      <c r="AP384" s="87"/>
      <c r="AQ384" s="87"/>
      <c r="AR384" s="107"/>
      <c r="AS384" s="107"/>
      <c r="AT384" s="168" t="s">
        <v>2511</v>
      </c>
      <c r="AU384" s="40" t="s">
        <v>1753</v>
      </c>
      <c r="AV384" s="106"/>
      <c r="AW384" s="129" t="s">
        <v>1610</v>
      </c>
      <c r="AX384" s="109">
        <f>IFERROR(IF(PAC!$X384="F01 - CAPTAÇÃO DE RECURSO",1,""),"")</f>
        <v>1</v>
      </c>
      <c r="AY384" s="109" t="str">
        <f>IFERROR(IF(PAC!$X384="F02 - LICITAÇÃO",1,""),"")</f>
        <v/>
      </c>
      <c r="AZ384" s="110" t="str">
        <f>IFERROR(IF(PAC!$X$6:$X$581="F03 - EXECUÇÃO DO OBJETO",1,""),"")</f>
        <v/>
      </c>
      <c r="BA384" s="110" t="str">
        <f>IFERROR(IF(PAC!$X$6:$X$581="F04 - CONCLUÍDA",1,""),"")</f>
        <v/>
      </c>
      <c r="BB384" s="111">
        <f>IF(PAC!$R384&gt;0,0,PAC!$Q384)</f>
        <v>95327924.659999996</v>
      </c>
    </row>
    <row r="385" spans="1:54" s="1" customFormat="1" ht="249.95" customHeight="1" thickBot="1">
      <c r="A385" s="112">
        <f t="shared" si="5"/>
        <v>380</v>
      </c>
      <c r="B385" s="112">
        <v>2025</v>
      </c>
      <c r="C385" s="112" t="s">
        <v>605</v>
      </c>
      <c r="D385" s="112" t="s">
        <v>1010</v>
      </c>
      <c r="E385" s="114" t="s">
        <v>2314</v>
      </c>
      <c r="F385" s="112" t="s">
        <v>577</v>
      </c>
      <c r="G385" s="112" t="s">
        <v>541</v>
      </c>
      <c r="H385" s="115" t="s">
        <v>1243</v>
      </c>
      <c r="I385" s="112" t="s">
        <v>600</v>
      </c>
      <c r="J385" s="112" t="s">
        <v>375</v>
      </c>
      <c r="K385" s="31">
        <v>178947368.41999999</v>
      </c>
      <c r="L385" s="31"/>
      <c r="M385" s="31"/>
      <c r="N385" s="31">
        <f t="shared" si="6"/>
        <v>8947368.4199999869</v>
      </c>
      <c r="O385" s="31"/>
      <c r="P385" s="31">
        <v>170000000</v>
      </c>
      <c r="Q385" s="33">
        <f>SUM(PAC!$M385:$P385)</f>
        <v>178947368.41999999</v>
      </c>
      <c r="R385" s="33"/>
      <c r="S385" s="33">
        <f>IF(PAC!$R385&gt;0,PAC!$R385,PAC!$Q385)</f>
        <v>178947368.41999999</v>
      </c>
      <c r="T385" s="33"/>
      <c r="U385" s="116" t="s">
        <v>594</v>
      </c>
      <c r="V385" s="116" t="s">
        <v>1764</v>
      </c>
      <c r="W385" s="117"/>
      <c r="X385" s="117" t="s">
        <v>1419</v>
      </c>
      <c r="Y385" s="113" t="s">
        <v>2472</v>
      </c>
      <c r="Z385" s="118"/>
      <c r="AA385" s="119"/>
      <c r="AB385" s="115" t="s">
        <v>1509</v>
      </c>
      <c r="AC385" s="115" t="s">
        <v>2315</v>
      </c>
      <c r="AD385" s="120">
        <v>46325</v>
      </c>
      <c r="AE385" s="114" t="s">
        <v>2316</v>
      </c>
      <c r="AF385" s="115" t="s">
        <v>857</v>
      </c>
      <c r="AG385" s="115"/>
      <c r="AH385" s="115"/>
      <c r="AI385" s="115"/>
      <c r="AJ385" s="118"/>
      <c r="AK385" s="115"/>
      <c r="AL385" s="115"/>
      <c r="AM385" s="115"/>
      <c r="AN385" s="118">
        <v>46192</v>
      </c>
      <c r="AO385" s="118">
        <v>46268</v>
      </c>
      <c r="AP385" s="118"/>
      <c r="AQ385" s="118"/>
      <c r="AR385" s="121"/>
      <c r="AS385" s="121"/>
      <c r="AT385" s="166" t="s">
        <v>2317</v>
      </c>
      <c r="AU385" s="115" t="s">
        <v>2390</v>
      </c>
      <c r="AV385" s="120"/>
      <c r="AW385" s="112" t="s">
        <v>1610</v>
      </c>
      <c r="AX385" s="194">
        <f>IFERROR(IF(PAC!$X385="F01 - CAPTAÇÃO DE RECURSO",1,""),"")</f>
        <v>1</v>
      </c>
      <c r="AY385" s="194" t="str">
        <f>IFERROR(IF(PAC!$X385="F02 - LICITAÇÃO",1,""),"")</f>
        <v/>
      </c>
      <c r="AZ385" s="123" t="str">
        <f>IFERROR(IF(PAC!$X$6:$X$581="F03 - EXECUÇÃO DO OBJETO",1,""),"")</f>
        <v/>
      </c>
      <c r="BA385" s="123" t="str">
        <f>IFERROR(IF(PAC!$X$6:$X$581="F04 - CONCLUÍDA",1,""),"")</f>
        <v/>
      </c>
      <c r="BB385" s="191">
        <f>IF(PAC!$R385&gt;0,0,PAC!$Q385)</f>
        <v>178947368.41999999</v>
      </c>
    </row>
    <row r="386" spans="1:54" s="1" customFormat="1" ht="249.95" customHeight="1" thickBot="1">
      <c r="A386" s="88">
        <f t="shared" si="5"/>
        <v>381</v>
      </c>
      <c r="B386" s="88">
        <v>2025</v>
      </c>
      <c r="C386" s="88" t="s">
        <v>605</v>
      </c>
      <c r="D386" s="88" t="s">
        <v>1010</v>
      </c>
      <c r="E386" s="102" t="s">
        <v>2494</v>
      </c>
      <c r="F386" s="88" t="s">
        <v>577</v>
      </c>
      <c r="G386" s="88" t="s">
        <v>541</v>
      </c>
      <c r="H386" s="40" t="s">
        <v>1243</v>
      </c>
      <c r="I386" s="88" t="s">
        <v>600</v>
      </c>
      <c r="J386" s="88" t="s">
        <v>153</v>
      </c>
      <c r="K386" s="18">
        <v>421052631.57999998</v>
      </c>
      <c r="L386" s="18"/>
      <c r="M386" s="18"/>
      <c r="N386" s="18">
        <f t="shared" si="6"/>
        <v>21052631.579999983</v>
      </c>
      <c r="O386" s="18"/>
      <c r="P386" s="18">
        <v>400000000</v>
      </c>
      <c r="Q386" s="20">
        <f>SUM(PAC!$M386:$P386)</f>
        <v>421052631.57999998</v>
      </c>
      <c r="R386" s="20"/>
      <c r="S386" s="20">
        <f>IF(PAC!$R386&gt;0,PAC!$R386,PAC!$Q386)</f>
        <v>421052631.57999998</v>
      </c>
      <c r="T386" s="20"/>
      <c r="U386" s="103" t="s">
        <v>594</v>
      </c>
      <c r="V386" s="103" t="s">
        <v>1764</v>
      </c>
      <c r="W386" s="104"/>
      <c r="X386" s="104" t="s">
        <v>1419</v>
      </c>
      <c r="Y386" s="101" t="s">
        <v>2472</v>
      </c>
      <c r="Z386" s="87"/>
      <c r="AA386" s="105"/>
      <c r="AB386" s="40" t="s">
        <v>1509</v>
      </c>
      <c r="AC386" s="40" t="s">
        <v>2514</v>
      </c>
      <c r="AD386" s="106">
        <v>46325</v>
      </c>
      <c r="AE386" s="102" t="s">
        <v>2028</v>
      </c>
      <c r="AF386" s="40" t="s">
        <v>858</v>
      </c>
      <c r="AG386" s="40"/>
      <c r="AH386" s="40"/>
      <c r="AI386" s="40"/>
      <c r="AJ386" s="87"/>
      <c r="AK386" s="40"/>
      <c r="AL386" s="40"/>
      <c r="AM386" s="40"/>
      <c r="AN386" s="87">
        <v>46233</v>
      </c>
      <c r="AO386" s="87">
        <v>46275</v>
      </c>
      <c r="AP386" s="87"/>
      <c r="AQ386" s="87"/>
      <c r="AR386" s="107"/>
      <c r="AS386" s="107"/>
      <c r="AT386" s="168" t="s">
        <v>2513</v>
      </c>
      <c r="AU386" s="40" t="s">
        <v>1753</v>
      </c>
      <c r="AV386" s="106"/>
      <c r="AW386" s="129" t="s">
        <v>1610</v>
      </c>
      <c r="AX386" s="109">
        <f>IFERROR(IF(PAC!$X386="F01 - CAPTAÇÃO DE RECURSO",1,""),"")</f>
        <v>1</v>
      </c>
      <c r="AY386" s="109" t="str">
        <f>IFERROR(IF(PAC!$X386="F02 - LICITAÇÃO",1,""),"")</f>
        <v/>
      </c>
      <c r="AZ386" s="110" t="str">
        <f>IFERROR(IF(PAC!$X$6:$X$581="F03 - EXECUÇÃO DO OBJETO",1,""),"")</f>
        <v/>
      </c>
      <c r="BA386" s="110" t="str">
        <f>IFERROR(IF(PAC!$X$6:$X$581="F04 - CONCLUÍDA",1,""),"")</f>
        <v/>
      </c>
      <c r="BB386" s="111">
        <f>IF(PAC!$R386&gt;0,0,PAC!$Q386)</f>
        <v>421052631.57999998</v>
      </c>
    </row>
    <row r="387" spans="1:54" s="1" customFormat="1" ht="249.95" customHeight="1" thickBot="1">
      <c r="A387" s="112">
        <f t="shared" si="5"/>
        <v>382</v>
      </c>
      <c r="B387" s="112">
        <v>2025</v>
      </c>
      <c r="C387" s="112" t="s">
        <v>605</v>
      </c>
      <c r="D387" s="112" t="s">
        <v>1010</v>
      </c>
      <c r="E387" s="114" t="s">
        <v>869</v>
      </c>
      <c r="F387" s="112" t="s">
        <v>577</v>
      </c>
      <c r="G387" s="112" t="s">
        <v>541</v>
      </c>
      <c r="H387" s="115" t="s">
        <v>1243</v>
      </c>
      <c r="I387" s="112" t="s">
        <v>600</v>
      </c>
      <c r="J387" s="112" t="s">
        <v>234</v>
      </c>
      <c r="K387" s="31">
        <v>42902681.090000004</v>
      </c>
      <c r="L387" s="31"/>
      <c r="M387" s="31"/>
      <c r="N387" s="31">
        <f t="shared" si="6"/>
        <v>2145134.0500000045</v>
      </c>
      <c r="O387" s="31"/>
      <c r="P387" s="31">
        <v>40757547.039999999</v>
      </c>
      <c r="Q387" s="33">
        <f>SUM(PAC!$M387:$P387)</f>
        <v>42902681.090000004</v>
      </c>
      <c r="R387" s="33"/>
      <c r="S387" s="33">
        <f>IF(PAC!$R387&gt;0,PAC!$R387,PAC!$Q387)</f>
        <v>42902681.090000004</v>
      </c>
      <c r="T387" s="33"/>
      <c r="U387" s="116" t="s">
        <v>594</v>
      </c>
      <c r="V387" s="116" t="s">
        <v>1764</v>
      </c>
      <c r="W387" s="117"/>
      <c r="X387" s="117" t="s">
        <v>1419</v>
      </c>
      <c r="Y387" s="113" t="s">
        <v>2473</v>
      </c>
      <c r="Z387" s="118"/>
      <c r="AA387" s="119"/>
      <c r="AB387" s="115" t="s">
        <v>1509</v>
      </c>
      <c r="AC387" s="115" t="s">
        <v>2391</v>
      </c>
      <c r="AD387" s="120">
        <v>46325</v>
      </c>
      <c r="AE387" s="114" t="s">
        <v>2028</v>
      </c>
      <c r="AF387" s="115" t="s">
        <v>859</v>
      </c>
      <c r="AG387" s="115"/>
      <c r="AH387" s="115"/>
      <c r="AI387" s="115"/>
      <c r="AJ387" s="118"/>
      <c r="AK387" s="115"/>
      <c r="AL387" s="115"/>
      <c r="AM387" s="115" t="s">
        <v>716</v>
      </c>
      <c r="AN387" s="118">
        <v>46266</v>
      </c>
      <c r="AO387" s="118"/>
      <c r="AP387" s="118"/>
      <c r="AQ387" s="118"/>
      <c r="AR387" s="121"/>
      <c r="AS387" s="121"/>
      <c r="AT387" s="166" t="s">
        <v>2515</v>
      </c>
      <c r="AU387" s="115" t="s">
        <v>1753</v>
      </c>
      <c r="AV387" s="120"/>
      <c r="AW387" s="131" t="s">
        <v>1610</v>
      </c>
      <c r="AX387" s="194">
        <f>IFERROR(IF(PAC!$X387="F01 - CAPTAÇÃO DE RECURSO",1,""),"")</f>
        <v>1</v>
      </c>
      <c r="AY387" s="194" t="str">
        <f>IFERROR(IF(PAC!$X387="F02 - LICITAÇÃO",1,""),"")</f>
        <v/>
      </c>
      <c r="AZ387" s="123" t="str">
        <f>IFERROR(IF(PAC!$X$6:$X$581="F03 - EXECUÇÃO DO OBJETO",1,""),"")</f>
        <v/>
      </c>
      <c r="BA387" s="123" t="str">
        <f>IFERROR(IF(PAC!$X$6:$X$581="F04 - CONCLUÍDA",1,""),"")</f>
        <v/>
      </c>
      <c r="BB387" s="191">
        <f>IF(PAC!$R387&gt;0,0,PAC!$Q387)</f>
        <v>42902681.090000004</v>
      </c>
    </row>
    <row r="388" spans="1:54" s="1" customFormat="1" ht="249.95" customHeight="1" thickBot="1">
      <c r="A388" s="88">
        <f t="shared" si="5"/>
        <v>383</v>
      </c>
      <c r="B388" s="88">
        <v>2025</v>
      </c>
      <c r="C388" s="88" t="s">
        <v>605</v>
      </c>
      <c r="D388" s="88" t="s">
        <v>1010</v>
      </c>
      <c r="E388" s="102" t="s">
        <v>562</v>
      </c>
      <c r="F388" s="88" t="s">
        <v>577</v>
      </c>
      <c r="G388" s="88" t="s">
        <v>541</v>
      </c>
      <c r="H388" s="40" t="s">
        <v>1243</v>
      </c>
      <c r="I388" s="88" t="s">
        <v>600</v>
      </c>
      <c r="J388" s="88" t="s">
        <v>235</v>
      </c>
      <c r="K388" s="18">
        <v>31218866.09</v>
      </c>
      <c r="L388" s="18"/>
      <c r="M388" s="18"/>
      <c r="N388" s="18">
        <f t="shared" si="6"/>
        <v>1560943.3000000007</v>
      </c>
      <c r="O388" s="18"/>
      <c r="P388" s="18">
        <v>29657922.789999999</v>
      </c>
      <c r="Q388" s="20">
        <f>SUM(PAC!$M388:$P388)</f>
        <v>31218866.09</v>
      </c>
      <c r="R388" s="20"/>
      <c r="S388" s="20">
        <f>IF(PAC!$R388&gt;0,PAC!$R388,PAC!$Q388)</f>
        <v>31218866.09</v>
      </c>
      <c r="T388" s="20"/>
      <c r="U388" s="103" t="s">
        <v>594</v>
      </c>
      <c r="V388" s="103" t="s">
        <v>1764</v>
      </c>
      <c r="W388" s="104"/>
      <c r="X388" s="104" t="s">
        <v>1419</v>
      </c>
      <c r="Y388" s="101" t="s">
        <v>2476</v>
      </c>
      <c r="Z388" s="87"/>
      <c r="AA388" s="105"/>
      <c r="AB388" s="40" t="s">
        <v>1509</v>
      </c>
      <c r="AC388" s="40" t="s">
        <v>2393</v>
      </c>
      <c r="AD388" s="106">
        <v>46325</v>
      </c>
      <c r="AE388" s="102" t="s">
        <v>1946</v>
      </c>
      <c r="AF388" s="40" t="s">
        <v>860</v>
      </c>
      <c r="AG388" s="40"/>
      <c r="AH388" s="40"/>
      <c r="AI388" s="40"/>
      <c r="AJ388" s="87"/>
      <c r="AK388" s="40"/>
      <c r="AL388" s="40"/>
      <c r="AM388" s="40" t="s">
        <v>716</v>
      </c>
      <c r="AN388" s="87">
        <v>46388</v>
      </c>
      <c r="AO388" s="87"/>
      <c r="AP388" s="87"/>
      <c r="AQ388" s="87"/>
      <c r="AR388" s="107"/>
      <c r="AS388" s="107"/>
      <c r="AT388" s="102" t="s">
        <v>2392</v>
      </c>
      <c r="AU388" s="40" t="s">
        <v>1753</v>
      </c>
      <c r="AV388" s="106"/>
      <c r="AW388" s="129" t="s">
        <v>1610</v>
      </c>
      <c r="AX388" s="109">
        <f>IFERROR(IF(PAC!$X388="F01 - CAPTAÇÃO DE RECURSO",1,""),"")</f>
        <v>1</v>
      </c>
      <c r="AY388" s="109" t="str">
        <f>IFERROR(IF(PAC!$X388="F02 - LICITAÇÃO",1,""),"")</f>
        <v/>
      </c>
      <c r="AZ388" s="110" t="str">
        <f>IFERROR(IF(PAC!$X$6:$X$581="F03 - EXECUÇÃO DO OBJETO",1,""),"")</f>
        <v/>
      </c>
      <c r="BA388" s="110" t="str">
        <f>IFERROR(IF(PAC!$X$6:$X$581="F04 - CONCLUÍDA",1,""),"")</f>
        <v/>
      </c>
      <c r="BB388" s="111">
        <f>IF(PAC!$R388&gt;0,0,PAC!$Q388)</f>
        <v>31218866.09</v>
      </c>
    </row>
    <row r="389" spans="1:54" s="1" customFormat="1" ht="249.95" customHeight="1" thickBot="1">
      <c r="A389" s="112">
        <f t="shared" ref="A389:A452" si="7">ROW()-5</f>
        <v>384</v>
      </c>
      <c r="B389" s="112">
        <v>2025</v>
      </c>
      <c r="C389" s="112" t="s">
        <v>605</v>
      </c>
      <c r="D389" s="112" t="s">
        <v>1010</v>
      </c>
      <c r="E389" s="114" t="s">
        <v>559</v>
      </c>
      <c r="F389" s="112" t="s">
        <v>577</v>
      </c>
      <c r="G389" s="112" t="s">
        <v>541</v>
      </c>
      <c r="H389" s="115" t="s">
        <v>1243</v>
      </c>
      <c r="I389" s="112" t="s">
        <v>600</v>
      </c>
      <c r="J389" s="112" t="s">
        <v>87</v>
      </c>
      <c r="K389" s="31">
        <v>133260893.79000001</v>
      </c>
      <c r="L389" s="31"/>
      <c r="M389" s="31"/>
      <c r="N389" s="31">
        <f t="shared" si="6"/>
        <v>6663044.6900000125</v>
      </c>
      <c r="O389" s="31"/>
      <c r="P389" s="31">
        <v>126597849.09999999</v>
      </c>
      <c r="Q389" s="33">
        <f>SUM(PAC!$M389:$P389)</f>
        <v>133260893.79000001</v>
      </c>
      <c r="R389" s="33"/>
      <c r="S389" s="33">
        <f>IF(PAC!$R389&gt;0,PAC!$R389,PAC!$Q389)</f>
        <v>133260893.79000001</v>
      </c>
      <c r="T389" s="33"/>
      <c r="U389" s="116" t="s">
        <v>594</v>
      </c>
      <c r="V389" s="116" t="s">
        <v>1764</v>
      </c>
      <c r="W389" s="117"/>
      <c r="X389" s="117" t="s">
        <v>1419</v>
      </c>
      <c r="Y389" s="113" t="s">
        <v>2476</v>
      </c>
      <c r="Z389" s="118"/>
      <c r="AA389" s="119"/>
      <c r="AB389" s="115" t="s">
        <v>1509</v>
      </c>
      <c r="AC389" s="115" t="s">
        <v>2395</v>
      </c>
      <c r="AD389" s="120">
        <v>46325</v>
      </c>
      <c r="AE389" s="114" t="s">
        <v>1946</v>
      </c>
      <c r="AF389" s="115" t="s">
        <v>861</v>
      </c>
      <c r="AG389" s="115"/>
      <c r="AH389" s="115"/>
      <c r="AI389" s="115"/>
      <c r="AJ389" s="118"/>
      <c r="AK389" s="115"/>
      <c r="AL389" s="115"/>
      <c r="AM389" s="115" t="s">
        <v>716</v>
      </c>
      <c r="AN389" s="118">
        <v>46296</v>
      </c>
      <c r="AO389" s="118"/>
      <c r="AP389" s="118"/>
      <c r="AQ389" s="118"/>
      <c r="AR389" s="121"/>
      <c r="AS389" s="121"/>
      <c r="AT389" s="166" t="s">
        <v>2394</v>
      </c>
      <c r="AU389" s="115" t="s">
        <v>1753</v>
      </c>
      <c r="AV389" s="120"/>
      <c r="AW389" s="131" t="s">
        <v>1610</v>
      </c>
      <c r="AX389" s="194">
        <f>IFERROR(IF(PAC!$X389="F01 - CAPTAÇÃO DE RECURSO",1,""),"")</f>
        <v>1</v>
      </c>
      <c r="AY389" s="194" t="str">
        <f>IFERROR(IF(PAC!$X389="F02 - LICITAÇÃO",1,""),"")</f>
        <v/>
      </c>
      <c r="AZ389" s="123" t="str">
        <f>IFERROR(IF(PAC!$X$6:$X$581="F03 - EXECUÇÃO DO OBJETO",1,""),"")</f>
        <v/>
      </c>
      <c r="BA389" s="123" t="str">
        <f>IFERROR(IF(PAC!$X$6:$X$581="F04 - CONCLUÍDA",1,""),"")</f>
        <v/>
      </c>
      <c r="BB389" s="191">
        <f>IF(PAC!$R389&gt;0,0,PAC!$Q389)</f>
        <v>133260893.79000001</v>
      </c>
    </row>
    <row r="390" spans="1:54" s="1" customFormat="1" ht="249.95" customHeight="1" thickBot="1">
      <c r="A390" s="88">
        <f t="shared" si="7"/>
        <v>385</v>
      </c>
      <c r="B390" s="88">
        <v>2025</v>
      </c>
      <c r="C390" s="88" t="s">
        <v>605</v>
      </c>
      <c r="D390" s="88" t="s">
        <v>1010</v>
      </c>
      <c r="E390" s="102" t="s">
        <v>563</v>
      </c>
      <c r="F390" s="88" t="s">
        <v>577</v>
      </c>
      <c r="G390" s="88" t="s">
        <v>541</v>
      </c>
      <c r="H390" s="40" t="s">
        <v>1243</v>
      </c>
      <c r="I390" s="88" t="s">
        <v>600</v>
      </c>
      <c r="J390" s="88" t="s">
        <v>140</v>
      </c>
      <c r="K390" s="18">
        <v>51309869.469999999</v>
      </c>
      <c r="L390" s="18"/>
      <c r="M390" s="18"/>
      <c r="N390" s="18">
        <f t="shared" si="6"/>
        <v>2565493.4699999988</v>
      </c>
      <c r="O390" s="18"/>
      <c r="P390" s="18">
        <v>48744376</v>
      </c>
      <c r="Q390" s="20">
        <f>SUM(PAC!$M390:$P390)</f>
        <v>51309869.469999999</v>
      </c>
      <c r="R390" s="20"/>
      <c r="S390" s="20">
        <f>IF(PAC!$R390&gt;0,PAC!$R390,PAC!$Q390)</f>
        <v>51309869.469999999</v>
      </c>
      <c r="T390" s="20"/>
      <c r="U390" s="103" t="s">
        <v>594</v>
      </c>
      <c r="V390" s="103" t="s">
        <v>1764</v>
      </c>
      <c r="W390" s="104"/>
      <c r="X390" s="104" t="s">
        <v>1419</v>
      </c>
      <c r="Y390" s="101" t="s">
        <v>2476</v>
      </c>
      <c r="Z390" s="87"/>
      <c r="AA390" s="105"/>
      <c r="AB390" s="40" t="s">
        <v>1509</v>
      </c>
      <c r="AC390" s="40" t="s">
        <v>2397</v>
      </c>
      <c r="AD390" s="106">
        <v>46325</v>
      </c>
      <c r="AE390" s="102" t="s">
        <v>1946</v>
      </c>
      <c r="AF390" s="40" t="s">
        <v>862</v>
      </c>
      <c r="AG390" s="40"/>
      <c r="AH390" s="40"/>
      <c r="AI390" s="40"/>
      <c r="AJ390" s="87"/>
      <c r="AK390" s="40"/>
      <c r="AL390" s="40"/>
      <c r="AM390" s="40" t="s">
        <v>716</v>
      </c>
      <c r="AN390" s="87">
        <v>46388</v>
      </c>
      <c r="AO390" s="87"/>
      <c r="AP390" s="87"/>
      <c r="AQ390" s="87"/>
      <c r="AR390" s="107"/>
      <c r="AS390" s="107"/>
      <c r="AT390" s="102" t="s">
        <v>2396</v>
      </c>
      <c r="AU390" s="40" t="s">
        <v>1753</v>
      </c>
      <c r="AV390" s="106"/>
      <c r="AW390" s="129" t="s">
        <v>1610</v>
      </c>
      <c r="AX390" s="109">
        <f>IFERROR(IF(PAC!$X390="F01 - CAPTAÇÃO DE RECURSO",1,""),"")</f>
        <v>1</v>
      </c>
      <c r="AY390" s="109" t="str">
        <f>IFERROR(IF(PAC!$X390="F02 - LICITAÇÃO",1,""),"")</f>
        <v/>
      </c>
      <c r="AZ390" s="110" t="str">
        <f>IFERROR(IF(PAC!$X$6:$X$581="F03 - EXECUÇÃO DO OBJETO",1,""),"")</f>
        <v/>
      </c>
      <c r="BA390" s="110" t="str">
        <f>IFERROR(IF(PAC!$X$6:$X$581="F04 - CONCLUÍDA",1,""),"")</f>
        <v/>
      </c>
      <c r="BB390" s="111">
        <f>IF(PAC!$R390&gt;0,0,PAC!$Q390)</f>
        <v>51309869.469999999</v>
      </c>
    </row>
    <row r="391" spans="1:54" s="1" customFormat="1" ht="249.95" customHeight="1" thickBot="1">
      <c r="A391" s="112">
        <f t="shared" si="7"/>
        <v>386</v>
      </c>
      <c r="B391" s="112">
        <v>2025</v>
      </c>
      <c r="C391" s="112" t="s">
        <v>605</v>
      </c>
      <c r="D391" s="112" t="s">
        <v>1010</v>
      </c>
      <c r="E391" s="114" t="s">
        <v>1695</v>
      </c>
      <c r="F391" s="112" t="s">
        <v>577</v>
      </c>
      <c r="G391" s="112" t="s">
        <v>541</v>
      </c>
      <c r="H391" s="115" t="s">
        <v>1243</v>
      </c>
      <c r="I391" s="112" t="s">
        <v>600</v>
      </c>
      <c r="J391" s="112" t="s">
        <v>156</v>
      </c>
      <c r="K391" s="31">
        <v>384210526.31999999</v>
      </c>
      <c r="L391" s="31"/>
      <c r="M391" s="31"/>
      <c r="N391" s="31">
        <f t="shared" si="6"/>
        <v>19210526.319999993</v>
      </c>
      <c r="O391" s="31"/>
      <c r="P391" s="31">
        <v>365000000</v>
      </c>
      <c r="Q391" s="33">
        <f>SUM(PAC!$M391:$P391)</f>
        <v>384210526.31999999</v>
      </c>
      <c r="R391" s="33"/>
      <c r="S391" s="33">
        <f>IF(PAC!$R391&gt;0,PAC!$R391,PAC!$Q391)</f>
        <v>384210526.31999999</v>
      </c>
      <c r="T391" s="33"/>
      <c r="U391" s="116" t="s">
        <v>594</v>
      </c>
      <c r="V391" s="116" t="s">
        <v>1764</v>
      </c>
      <c r="W391" s="117"/>
      <c r="X391" s="117" t="s">
        <v>1419</v>
      </c>
      <c r="Y391" s="113" t="s">
        <v>2476</v>
      </c>
      <c r="Z391" s="118"/>
      <c r="AA391" s="119"/>
      <c r="AB391" s="115" t="s">
        <v>1509</v>
      </c>
      <c r="AC391" s="119" t="s">
        <v>2500</v>
      </c>
      <c r="AD391" s="120">
        <v>46325</v>
      </c>
      <c r="AE391" s="172" t="s">
        <v>1945</v>
      </c>
      <c r="AF391" s="115" t="s">
        <v>863</v>
      </c>
      <c r="AG391" s="115"/>
      <c r="AH391" s="115"/>
      <c r="AI391" s="115"/>
      <c r="AJ391" s="118"/>
      <c r="AK391" s="115"/>
      <c r="AL391" s="115"/>
      <c r="AM391" s="115"/>
      <c r="AN391" s="118">
        <v>46539</v>
      </c>
      <c r="AO391" s="118"/>
      <c r="AP391" s="118"/>
      <c r="AQ391" s="118"/>
      <c r="AR391" s="121"/>
      <c r="AS391" s="121"/>
      <c r="AT391" s="114" t="s">
        <v>2516</v>
      </c>
      <c r="AU391" s="115" t="s">
        <v>1753</v>
      </c>
      <c r="AV391" s="120"/>
      <c r="AW391" s="112" t="s">
        <v>2492</v>
      </c>
      <c r="AX391" s="194">
        <f>IFERROR(IF(PAC!$X391="F01 - CAPTAÇÃO DE RECURSO",1,""),"")</f>
        <v>1</v>
      </c>
      <c r="AY391" s="194" t="str">
        <f>IFERROR(IF(PAC!$X391="F02 - LICITAÇÃO",1,""),"")</f>
        <v/>
      </c>
      <c r="AZ391" s="123" t="str">
        <f>IFERROR(IF(PAC!$X$6:$X$581="F03 - EXECUÇÃO DO OBJETO",1,""),"")</f>
        <v/>
      </c>
      <c r="BA391" s="123" t="str">
        <f>IFERROR(IF(PAC!$X$6:$X$581="F04 - CONCLUÍDA",1,""),"")</f>
        <v/>
      </c>
      <c r="BB391" s="191">
        <f>IF(PAC!$R391&gt;0,0,PAC!$Q391)</f>
        <v>384210526.31999999</v>
      </c>
    </row>
    <row r="392" spans="1:54" s="1" customFormat="1" ht="249.95" customHeight="1" thickBot="1">
      <c r="A392" s="88">
        <f t="shared" si="7"/>
        <v>387</v>
      </c>
      <c r="B392" s="88">
        <v>2025</v>
      </c>
      <c r="C392" s="88" t="s">
        <v>605</v>
      </c>
      <c r="D392" s="88" t="s">
        <v>1010</v>
      </c>
      <c r="E392" s="102" t="s">
        <v>564</v>
      </c>
      <c r="F392" s="88" t="s">
        <v>577</v>
      </c>
      <c r="G392" s="88" t="s">
        <v>541</v>
      </c>
      <c r="H392" s="40" t="s">
        <v>1243</v>
      </c>
      <c r="I392" s="88" t="s">
        <v>600</v>
      </c>
      <c r="J392" s="88" t="s">
        <v>31</v>
      </c>
      <c r="K392" s="18">
        <v>44219687.57</v>
      </c>
      <c r="L392" s="18"/>
      <c r="M392" s="18"/>
      <c r="N392" s="18">
        <f t="shared" si="6"/>
        <v>2210984.3800000027</v>
      </c>
      <c r="O392" s="18"/>
      <c r="P392" s="18">
        <v>42008703.189999998</v>
      </c>
      <c r="Q392" s="20">
        <f>SUM(PAC!$M392:$P392)</f>
        <v>44219687.57</v>
      </c>
      <c r="R392" s="20"/>
      <c r="S392" s="20">
        <f>IF(PAC!$R392&gt;0,PAC!$R392,PAC!$Q392)</f>
        <v>44219687.57</v>
      </c>
      <c r="T392" s="20"/>
      <c r="U392" s="103" t="s">
        <v>594</v>
      </c>
      <c r="V392" s="103" t="s">
        <v>1764</v>
      </c>
      <c r="W392" s="104"/>
      <c r="X392" s="104" t="s">
        <v>1419</v>
      </c>
      <c r="Y392" s="101" t="s">
        <v>2476</v>
      </c>
      <c r="Z392" s="87"/>
      <c r="AA392" s="105"/>
      <c r="AB392" s="40" t="s">
        <v>1509</v>
      </c>
      <c r="AC392" s="40" t="s">
        <v>2400</v>
      </c>
      <c r="AD392" s="106">
        <v>46325</v>
      </c>
      <c r="AE392" s="102" t="s">
        <v>1945</v>
      </c>
      <c r="AF392" s="40" t="s">
        <v>864</v>
      </c>
      <c r="AG392" s="40"/>
      <c r="AH392" s="40"/>
      <c r="AI392" s="40"/>
      <c r="AJ392" s="87"/>
      <c r="AK392" s="40"/>
      <c r="AL392" s="40"/>
      <c r="AM392" s="40" t="s">
        <v>716</v>
      </c>
      <c r="AN392" s="87">
        <v>46327</v>
      </c>
      <c r="AO392" s="87"/>
      <c r="AP392" s="87"/>
      <c r="AQ392" s="87"/>
      <c r="AR392" s="107"/>
      <c r="AS392" s="107"/>
      <c r="AT392" s="102" t="s">
        <v>2399</v>
      </c>
      <c r="AU392" s="40" t="s">
        <v>1753</v>
      </c>
      <c r="AV392" s="106"/>
      <c r="AW392" s="129" t="s">
        <v>1610</v>
      </c>
      <c r="AX392" s="109">
        <f>IFERROR(IF(PAC!$X392="F01 - CAPTAÇÃO DE RECURSO",1,""),"")</f>
        <v>1</v>
      </c>
      <c r="AY392" s="109" t="str">
        <f>IFERROR(IF(PAC!$X392="F02 - LICITAÇÃO",1,""),"")</f>
        <v/>
      </c>
      <c r="AZ392" s="110" t="str">
        <f>IFERROR(IF(PAC!$X$6:$X$581="F03 - EXECUÇÃO DO OBJETO",1,""),"")</f>
        <v/>
      </c>
      <c r="BA392" s="110" t="str">
        <f>IFERROR(IF(PAC!$X$6:$X$581="F04 - CONCLUÍDA",1,""),"")</f>
        <v/>
      </c>
      <c r="BB392" s="111">
        <f>IF(PAC!$R392&gt;0,0,PAC!$Q392)</f>
        <v>44219687.57</v>
      </c>
    </row>
    <row r="393" spans="1:54" s="1" customFormat="1" ht="249.95" customHeight="1" thickBot="1">
      <c r="A393" s="112">
        <f t="shared" si="7"/>
        <v>388</v>
      </c>
      <c r="B393" s="112">
        <v>2025</v>
      </c>
      <c r="C393" s="112" t="s">
        <v>605</v>
      </c>
      <c r="D393" s="112" t="s">
        <v>1010</v>
      </c>
      <c r="E393" s="114" t="s">
        <v>561</v>
      </c>
      <c r="F393" s="112" t="s">
        <v>577</v>
      </c>
      <c r="G393" s="112" t="s">
        <v>541</v>
      </c>
      <c r="H393" s="115" t="s">
        <v>1243</v>
      </c>
      <c r="I393" s="112" t="s">
        <v>600</v>
      </c>
      <c r="J393" s="112" t="s">
        <v>220</v>
      </c>
      <c r="K393" s="31">
        <v>37832089.469999999</v>
      </c>
      <c r="L393" s="31"/>
      <c r="M393" s="31"/>
      <c r="N393" s="31">
        <f t="shared" si="6"/>
        <v>1891604.4699999988</v>
      </c>
      <c r="O393" s="31"/>
      <c r="P393" s="31">
        <v>35940485</v>
      </c>
      <c r="Q393" s="33">
        <f>SUM(PAC!$M393:$P393)</f>
        <v>37832089.469999999</v>
      </c>
      <c r="R393" s="33"/>
      <c r="S393" s="33">
        <f>IF(PAC!$R393&gt;0,PAC!$R393,PAC!$Q393)</f>
        <v>37832089.469999999</v>
      </c>
      <c r="T393" s="33"/>
      <c r="U393" s="116" t="s">
        <v>594</v>
      </c>
      <c r="V393" s="116" t="s">
        <v>1764</v>
      </c>
      <c r="W393" s="117"/>
      <c r="X393" s="117" t="s">
        <v>1419</v>
      </c>
      <c r="Y393" s="113" t="s">
        <v>2473</v>
      </c>
      <c r="Z393" s="118"/>
      <c r="AA393" s="119"/>
      <c r="AB393" s="115" t="s">
        <v>1509</v>
      </c>
      <c r="AC393" s="115" t="s">
        <v>2402</v>
      </c>
      <c r="AD393" s="120">
        <v>46325</v>
      </c>
      <c r="AE393" s="114" t="s">
        <v>1945</v>
      </c>
      <c r="AF393" s="115" t="s">
        <v>865</v>
      </c>
      <c r="AG393" s="115"/>
      <c r="AH393" s="115"/>
      <c r="AI393" s="115"/>
      <c r="AJ393" s="118"/>
      <c r="AK393" s="115"/>
      <c r="AL393" s="115"/>
      <c r="AM393" s="115" t="s">
        <v>716</v>
      </c>
      <c r="AN393" s="118">
        <v>46356</v>
      </c>
      <c r="AO393" s="118"/>
      <c r="AP393" s="118"/>
      <c r="AQ393" s="118"/>
      <c r="AR393" s="121"/>
      <c r="AS393" s="121"/>
      <c r="AT393" s="114" t="s">
        <v>2401</v>
      </c>
      <c r="AU393" s="115" t="s">
        <v>1753</v>
      </c>
      <c r="AV393" s="120"/>
      <c r="AW393" s="131" t="s">
        <v>1610</v>
      </c>
      <c r="AX393" s="194">
        <f>IFERROR(IF(PAC!$X393="F01 - CAPTAÇÃO DE RECURSO",1,""),"")</f>
        <v>1</v>
      </c>
      <c r="AY393" s="194" t="str">
        <f>IFERROR(IF(PAC!$X393="F02 - LICITAÇÃO",1,""),"")</f>
        <v/>
      </c>
      <c r="AZ393" s="123" t="str">
        <f>IFERROR(IF(PAC!$X$6:$X$581="F03 - EXECUÇÃO DO OBJETO",1,""),"")</f>
        <v/>
      </c>
      <c r="BA393" s="123" t="str">
        <f>IFERROR(IF(PAC!$X$6:$X$581="F04 - CONCLUÍDA",1,""),"")</f>
        <v/>
      </c>
      <c r="BB393" s="191">
        <f>IF(PAC!$R393&gt;0,0,PAC!$Q393)</f>
        <v>37832089.469999999</v>
      </c>
    </row>
    <row r="394" spans="1:54" s="1" customFormat="1" ht="249.95" customHeight="1" thickBot="1">
      <c r="A394" s="88">
        <f t="shared" si="7"/>
        <v>389</v>
      </c>
      <c r="B394" s="88">
        <v>2025</v>
      </c>
      <c r="C394" s="88" t="s">
        <v>605</v>
      </c>
      <c r="D394" s="88" t="s">
        <v>1010</v>
      </c>
      <c r="E394" s="102" t="s">
        <v>565</v>
      </c>
      <c r="F394" s="88" t="s">
        <v>577</v>
      </c>
      <c r="G394" s="88" t="s">
        <v>541</v>
      </c>
      <c r="H394" s="40" t="s">
        <v>1243</v>
      </c>
      <c r="I394" s="88" t="s">
        <v>600</v>
      </c>
      <c r="J394" s="88" t="s">
        <v>361</v>
      </c>
      <c r="K394" s="18">
        <v>244348631.58000001</v>
      </c>
      <c r="L394" s="18"/>
      <c r="M394" s="18"/>
      <c r="N394" s="18">
        <f t="shared" si="6"/>
        <v>12217431.580000013</v>
      </c>
      <c r="O394" s="18"/>
      <c r="P394" s="18">
        <v>232131200</v>
      </c>
      <c r="Q394" s="20">
        <f>SUM(PAC!$M394:$P394)</f>
        <v>244348631.58000001</v>
      </c>
      <c r="R394" s="20"/>
      <c r="S394" s="20">
        <f>IF(PAC!$R394&gt;0,PAC!$R394,PAC!$Q394)</f>
        <v>244348631.58000001</v>
      </c>
      <c r="T394" s="20"/>
      <c r="U394" s="103" t="s">
        <v>594</v>
      </c>
      <c r="V394" s="103" t="s">
        <v>1764</v>
      </c>
      <c r="W394" s="104"/>
      <c r="X394" s="104" t="s">
        <v>1419</v>
      </c>
      <c r="Y394" s="101" t="s">
        <v>2476</v>
      </c>
      <c r="Z394" s="87"/>
      <c r="AA394" s="105"/>
      <c r="AB394" s="40" t="s">
        <v>1509</v>
      </c>
      <c r="AC394" s="40" t="s">
        <v>2404</v>
      </c>
      <c r="AD394" s="106">
        <v>46325</v>
      </c>
      <c r="AE394" s="102" t="s">
        <v>1946</v>
      </c>
      <c r="AF394" s="40" t="s">
        <v>866</v>
      </c>
      <c r="AG394" s="40"/>
      <c r="AH394" s="40"/>
      <c r="AI394" s="40"/>
      <c r="AJ394" s="87"/>
      <c r="AK394" s="40"/>
      <c r="AL394" s="40"/>
      <c r="AM394" s="40"/>
      <c r="AN394" s="87">
        <v>46631</v>
      </c>
      <c r="AO394" s="87"/>
      <c r="AP394" s="87"/>
      <c r="AQ394" s="87"/>
      <c r="AR394" s="107"/>
      <c r="AS394" s="107"/>
      <c r="AT394" s="102" t="s">
        <v>2403</v>
      </c>
      <c r="AU394" s="40" t="s">
        <v>1753</v>
      </c>
      <c r="AV394" s="106"/>
      <c r="AW394" s="129" t="s">
        <v>1610</v>
      </c>
      <c r="AX394" s="109">
        <f>IFERROR(IF(PAC!$X394="F01 - CAPTAÇÃO DE RECURSO",1,""),"")</f>
        <v>1</v>
      </c>
      <c r="AY394" s="109" t="str">
        <f>IFERROR(IF(PAC!$X394="F02 - LICITAÇÃO",1,""),"")</f>
        <v/>
      </c>
      <c r="AZ394" s="110" t="str">
        <f>IFERROR(IF(PAC!$X$6:$X$581="F03 - EXECUÇÃO DO OBJETO",1,""),"")</f>
        <v/>
      </c>
      <c r="BA394" s="110" t="str">
        <f>IFERROR(IF(PAC!$X$6:$X$581="F04 - CONCLUÍDA",1,""),"")</f>
        <v/>
      </c>
      <c r="BB394" s="111">
        <f>IF(PAC!$R394&gt;0,0,PAC!$Q394)</f>
        <v>244348631.58000001</v>
      </c>
    </row>
    <row r="395" spans="1:54" s="1" customFormat="1" ht="249.95" customHeight="1" thickBot="1">
      <c r="A395" s="112">
        <f t="shared" si="7"/>
        <v>390</v>
      </c>
      <c r="B395" s="112">
        <v>2025</v>
      </c>
      <c r="C395" s="112" t="s">
        <v>605</v>
      </c>
      <c r="D395" s="112" t="s">
        <v>1010</v>
      </c>
      <c r="E395" s="114" t="s">
        <v>560</v>
      </c>
      <c r="F395" s="112" t="s">
        <v>577</v>
      </c>
      <c r="G395" s="112" t="s">
        <v>541</v>
      </c>
      <c r="H395" s="115" t="s">
        <v>1243</v>
      </c>
      <c r="I395" s="112" t="s">
        <v>600</v>
      </c>
      <c r="J395" s="112" t="s">
        <v>397</v>
      </c>
      <c r="K395" s="31">
        <v>65977963.920000002</v>
      </c>
      <c r="L395" s="31"/>
      <c r="M395" s="31"/>
      <c r="N395" s="31">
        <f t="shared" si="6"/>
        <v>3298898.200000003</v>
      </c>
      <c r="O395" s="31"/>
      <c r="P395" s="31">
        <v>62679065.719999999</v>
      </c>
      <c r="Q395" s="33">
        <f>SUM(PAC!$M395:$P395)</f>
        <v>65977963.920000002</v>
      </c>
      <c r="R395" s="33"/>
      <c r="S395" s="33">
        <f>IF(PAC!$R395&gt;0,PAC!$R395,PAC!$Q395)</f>
        <v>65977963.920000002</v>
      </c>
      <c r="T395" s="33"/>
      <c r="U395" s="116" t="s">
        <v>594</v>
      </c>
      <c r="V395" s="116" t="s">
        <v>1764</v>
      </c>
      <c r="W395" s="117"/>
      <c r="X395" s="117" t="s">
        <v>1419</v>
      </c>
      <c r="Y395" s="113" t="s">
        <v>2476</v>
      </c>
      <c r="Z395" s="118"/>
      <c r="AA395" s="119"/>
      <c r="AB395" s="115" t="s">
        <v>1509</v>
      </c>
      <c r="AC395" s="115" t="s">
        <v>2406</v>
      </c>
      <c r="AD395" s="120">
        <v>46325</v>
      </c>
      <c r="AE395" s="114" t="s">
        <v>1946</v>
      </c>
      <c r="AF395" s="115" t="s">
        <v>867</v>
      </c>
      <c r="AG395" s="115"/>
      <c r="AH395" s="115"/>
      <c r="AI395" s="115"/>
      <c r="AJ395" s="118"/>
      <c r="AK395" s="115"/>
      <c r="AL395" s="115"/>
      <c r="AM395" s="115" t="s">
        <v>716</v>
      </c>
      <c r="AN395" s="118">
        <v>46569</v>
      </c>
      <c r="AO395" s="118"/>
      <c r="AP395" s="118"/>
      <c r="AQ395" s="118"/>
      <c r="AR395" s="121"/>
      <c r="AS395" s="121"/>
      <c r="AT395" s="114" t="s">
        <v>2405</v>
      </c>
      <c r="AU395" s="115" t="s">
        <v>1753</v>
      </c>
      <c r="AV395" s="120"/>
      <c r="AW395" s="131" t="s">
        <v>1610</v>
      </c>
      <c r="AX395" s="194">
        <f>IFERROR(IF(PAC!$X395="F01 - CAPTAÇÃO DE RECURSO",1,""),"")</f>
        <v>1</v>
      </c>
      <c r="AY395" s="194" t="str">
        <f>IFERROR(IF(PAC!$X395="F02 - LICITAÇÃO",1,""),"")</f>
        <v/>
      </c>
      <c r="AZ395" s="123" t="str">
        <f>IFERROR(IF(PAC!$X$6:$X$581="F03 - EXECUÇÃO DO OBJETO",1,""),"")</f>
        <v/>
      </c>
      <c r="BA395" s="123" t="str">
        <f>IFERROR(IF(PAC!$X$6:$X$581="F04 - CONCLUÍDA",1,""),"")</f>
        <v/>
      </c>
      <c r="BB395" s="191">
        <f>IF(PAC!$R395&gt;0,0,PAC!$Q395)</f>
        <v>65977963.920000002</v>
      </c>
    </row>
    <row r="396" spans="1:54" s="1" customFormat="1" ht="249.95" customHeight="1" thickBot="1">
      <c r="A396" s="88">
        <f t="shared" si="7"/>
        <v>391</v>
      </c>
      <c r="B396" s="88">
        <v>2025</v>
      </c>
      <c r="C396" s="88" t="s">
        <v>605</v>
      </c>
      <c r="D396" s="88" t="s">
        <v>1010</v>
      </c>
      <c r="E396" s="102" t="s">
        <v>891</v>
      </c>
      <c r="F396" s="88" t="s">
        <v>577</v>
      </c>
      <c r="G396" s="88" t="s">
        <v>541</v>
      </c>
      <c r="H396" s="40" t="s">
        <v>1243</v>
      </c>
      <c r="I396" s="88" t="s">
        <v>600</v>
      </c>
      <c r="J396" s="88" t="s">
        <v>361</v>
      </c>
      <c r="K396" s="18">
        <v>81014144.829999998</v>
      </c>
      <c r="L396" s="18"/>
      <c r="M396" s="18"/>
      <c r="N396" s="18">
        <f t="shared" si="6"/>
        <v>4050707.2399999946</v>
      </c>
      <c r="O396" s="18"/>
      <c r="P396" s="18">
        <v>76963437.590000004</v>
      </c>
      <c r="Q396" s="20">
        <f>SUM(PAC!$M396:$P396)</f>
        <v>81014144.829999998</v>
      </c>
      <c r="R396" s="20"/>
      <c r="S396" s="20">
        <f>IF(PAC!$R396&gt;0,PAC!$R396,PAC!$Q396)</f>
        <v>81014144.829999998</v>
      </c>
      <c r="T396" s="20"/>
      <c r="U396" s="103" t="s">
        <v>594</v>
      </c>
      <c r="V396" s="103" t="s">
        <v>1764</v>
      </c>
      <c r="W396" s="104"/>
      <c r="X396" s="104" t="s">
        <v>1419</v>
      </c>
      <c r="Y396" s="101" t="s">
        <v>2476</v>
      </c>
      <c r="Z396" s="87"/>
      <c r="AA396" s="105"/>
      <c r="AB396" s="40" t="s">
        <v>1509</v>
      </c>
      <c r="AC396" s="40" t="s">
        <v>2518</v>
      </c>
      <c r="AD396" s="106">
        <v>46325</v>
      </c>
      <c r="AE396" s="102" t="s">
        <v>1945</v>
      </c>
      <c r="AF396" s="40" t="s">
        <v>896</v>
      </c>
      <c r="AG396" s="40"/>
      <c r="AH396" s="40"/>
      <c r="AI396" s="40"/>
      <c r="AJ396" s="87"/>
      <c r="AK396" s="40"/>
      <c r="AL396" s="40"/>
      <c r="AM396" s="40"/>
      <c r="AN396" s="87">
        <v>46537</v>
      </c>
      <c r="AO396" s="87"/>
      <c r="AP396" s="87"/>
      <c r="AQ396" s="87"/>
      <c r="AR396" s="107"/>
      <c r="AS396" s="107"/>
      <c r="AT396" s="102" t="s">
        <v>2517</v>
      </c>
      <c r="AU396" s="40" t="s">
        <v>1753</v>
      </c>
      <c r="AV396" s="106"/>
      <c r="AW396" s="129" t="s">
        <v>1610</v>
      </c>
      <c r="AX396" s="109">
        <f>IFERROR(IF(PAC!$X396="F01 - CAPTAÇÃO DE RECURSO",1,""),"")</f>
        <v>1</v>
      </c>
      <c r="AY396" s="109" t="str">
        <f>IFERROR(IF(PAC!$X396="F02 - LICITAÇÃO",1,""),"")</f>
        <v/>
      </c>
      <c r="AZ396" s="110" t="str">
        <f>IFERROR(IF(PAC!$X$6:$X$581="F03 - EXECUÇÃO DO OBJETO",1,""),"")</f>
        <v/>
      </c>
      <c r="BA396" s="110" t="str">
        <f>IFERROR(IF(PAC!$X$6:$X$581="F04 - CONCLUÍDA",1,""),"")</f>
        <v/>
      </c>
      <c r="BB396" s="111">
        <f>IF(PAC!$R396&gt;0,0,PAC!$Q396)</f>
        <v>81014144.829999998</v>
      </c>
    </row>
    <row r="397" spans="1:54" s="1" customFormat="1" ht="350.1" customHeight="1" thickBot="1">
      <c r="A397" s="112">
        <f t="shared" si="7"/>
        <v>392</v>
      </c>
      <c r="B397" s="112">
        <v>2025</v>
      </c>
      <c r="C397" s="112" t="s">
        <v>605</v>
      </c>
      <c r="D397" s="112" t="s">
        <v>1010</v>
      </c>
      <c r="E397" s="114" t="s">
        <v>700</v>
      </c>
      <c r="F397" s="112" t="s">
        <v>577</v>
      </c>
      <c r="G397" s="112" t="s">
        <v>541</v>
      </c>
      <c r="H397" s="115" t="s">
        <v>1243</v>
      </c>
      <c r="I397" s="112" t="s">
        <v>600</v>
      </c>
      <c r="J397" s="112" t="s">
        <v>81</v>
      </c>
      <c r="K397" s="31">
        <v>200160000</v>
      </c>
      <c r="L397" s="31"/>
      <c r="M397" s="31"/>
      <c r="N397" s="31">
        <f t="shared" si="6"/>
        <v>10008000</v>
      </c>
      <c r="O397" s="31"/>
      <c r="P397" s="31">
        <v>190152000</v>
      </c>
      <c r="Q397" s="33">
        <f>SUM(PAC!$M397:$P397)</f>
        <v>200160000</v>
      </c>
      <c r="R397" s="33"/>
      <c r="S397" s="33">
        <f>IF(PAC!$R397&gt;0,PAC!$R397,PAC!$Q397)</f>
        <v>200160000</v>
      </c>
      <c r="T397" s="33"/>
      <c r="U397" s="116" t="s">
        <v>594</v>
      </c>
      <c r="V397" s="116" t="s">
        <v>1764</v>
      </c>
      <c r="W397" s="117"/>
      <c r="X397" s="117" t="s">
        <v>1419</v>
      </c>
      <c r="Y397" s="113" t="s">
        <v>2472</v>
      </c>
      <c r="Z397" s="118"/>
      <c r="AA397" s="119"/>
      <c r="AB397" s="115" t="s">
        <v>1509</v>
      </c>
      <c r="AC397" s="115" t="s">
        <v>2312</v>
      </c>
      <c r="AD397" s="120">
        <v>46325</v>
      </c>
      <c r="AE397" s="114" t="s">
        <v>2028</v>
      </c>
      <c r="AF397" s="115" t="s">
        <v>897</v>
      </c>
      <c r="AG397" s="115"/>
      <c r="AH397" s="115"/>
      <c r="AI397" s="115"/>
      <c r="AJ397" s="118"/>
      <c r="AK397" s="115"/>
      <c r="AL397" s="115"/>
      <c r="AM397" s="115"/>
      <c r="AN397" s="118">
        <v>46183</v>
      </c>
      <c r="AO397" s="118">
        <v>46261</v>
      </c>
      <c r="AP397" s="118"/>
      <c r="AQ397" s="118"/>
      <c r="AR397" s="121"/>
      <c r="AS397" s="121"/>
      <c r="AT397" s="114" t="s">
        <v>2407</v>
      </c>
      <c r="AU397" s="115" t="s">
        <v>2313</v>
      </c>
      <c r="AV397" s="120"/>
      <c r="AW397" s="131" t="s">
        <v>1610</v>
      </c>
      <c r="AX397" s="194">
        <f>IFERROR(IF(PAC!$X397="F01 - CAPTAÇÃO DE RECURSO",1,""),"")</f>
        <v>1</v>
      </c>
      <c r="AY397" s="194" t="str">
        <f>IFERROR(IF(PAC!$X397="F02 - LICITAÇÃO",1,""),"")</f>
        <v/>
      </c>
      <c r="AZ397" s="123" t="str">
        <f>IFERROR(IF(PAC!$X$6:$X$581="F03 - EXECUÇÃO DO OBJETO",1,""),"")</f>
        <v/>
      </c>
      <c r="BA397" s="123" t="str">
        <f>IFERROR(IF(PAC!$X$6:$X$581="F04 - CONCLUÍDA",1,""),"")</f>
        <v/>
      </c>
      <c r="BB397" s="191">
        <f>IF(PAC!$R397&gt;0,0,PAC!$Q397)</f>
        <v>200160000</v>
      </c>
    </row>
    <row r="398" spans="1:54" s="1" customFormat="1" ht="350.1" customHeight="1" thickBot="1">
      <c r="A398" s="88">
        <f t="shared" si="7"/>
        <v>393</v>
      </c>
      <c r="B398" s="88">
        <v>2025</v>
      </c>
      <c r="C398" s="88" t="s">
        <v>605</v>
      </c>
      <c r="D398" s="88" t="s">
        <v>1010</v>
      </c>
      <c r="E398" s="102" t="s">
        <v>892</v>
      </c>
      <c r="F398" s="88" t="s">
        <v>577</v>
      </c>
      <c r="G398" s="88" t="s">
        <v>541</v>
      </c>
      <c r="H398" s="40" t="s">
        <v>1243</v>
      </c>
      <c r="I398" s="88" t="s">
        <v>600</v>
      </c>
      <c r="J398" s="88" t="s">
        <v>45</v>
      </c>
      <c r="K398" s="18">
        <v>146424826.63</v>
      </c>
      <c r="L398" s="18"/>
      <c r="M398" s="18"/>
      <c r="N398" s="18">
        <f t="shared" si="6"/>
        <v>7321241.3299999833</v>
      </c>
      <c r="O398" s="18"/>
      <c r="P398" s="18">
        <v>139103585.30000001</v>
      </c>
      <c r="Q398" s="20">
        <f>SUM(PAC!$M398:$P398)</f>
        <v>146424826.63</v>
      </c>
      <c r="R398" s="20"/>
      <c r="S398" s="20">
        <f>IF(PAC!$R398&gt;0,PAC!$R398,PAC!$Q398)</f>
        <v>146424826.63</v>
      </c>
      <c r="T398" s="20"/>
      <c r="U398" s="103" t="s">
        <v>594</v>
      </c>
      <c r="V398" s="103" t="s">
        <v>1764</v>
      </c>
      <c r="W398" s="104"/>
      <c r="X398" s="104" t="s">
        <v>1419</v>
      </c>
      <c r="Y398" s="101" t="s">
        <v>2476</v>
      </c>
      <c r="Z398" s="87"/>
      <c r="AA398" s="105"/>
      <c r="AB398" s="40" t="s">
        <v>1509</v>
      </c>
      <c r="AC398" s="40" t="s">
        <v>2520</v>
      </c>
      <c r="AD398" s="106">
        <v>46325</v>
      </c>
      <c r="AE398" s="102" t="s">
        <v>2272</v>
      </c>
      <c r="AF398" s="40" t="s">
        <v>898</v>
      </c>
      <c r="AG398" s="40"/>
      <c r="AH398" s="40"/>
      <c r="AI398" s="40"/>
      <c r="AJ398" s="87"/>
      <c r="AK398" s="40"/>
      <c r="AL398" s="40"/>
      <c r="AM398" s="40"/>
      <c r="AN398" s="87">
        <v>46356</v>
      </c>
      <c r="AO398" s="87"/>
      <c r="AP398" s="87"/>
      <c r="AQ398" s="87"/>
      <c r="AR398" s="107"/>
      <c r="AS398" s="107"/>
      <c r="AT398" s="168" t="s">
        <v>2519</v>
      </c>
      <c r="AU398" s="40" t="s">
        <v>1753</v>
      </c>
      <c r="AV398" s="106"/>
      <c r="AW398" s="129" t="s">
        <v>1610</v>
      </c>
      <c r="AX398" s="109">
        <f>IFERROR(IF(PAC!$X398="F01 - CAPTAÇÃO DE RECURSO",1,""),"")</f>
        <v>1</v>
      </c>
      <c r="AY398" s="109" t="str">
        <f>IFERROR(IF(PAC!$X398="F02 - LICITAÇÃO",1,""),"")</f>
        <v/>
      </c>
      <c r="AZ398" s="110" t="str">
        <f>IFERROR(IF(PAC!$X$6:$X$581="F03 - EXECUÇÃO DO OBJETO",1,""),"")</f>
        <v/>
      </c>
      <c r="BA398" s="110" t="str">
        <f>IFERROR(IF(PAC!$X$6:$X$581="F04 - CONCLUÍDA",1,""),"")</f>
        <v/>
      </c>
      <c r="BB398" s="111">
        <f>IF(PAC!$R398&gt;0,0,PAC!$Q398)</f>
        <v>146424826.63</v>
      </c>
    </row>
    <row r="399" spans="1:54" s="1" customFormat="1" ht="350.1" customHeight="1" thickBot="1">
      <c r="A399" s="112">
        <f t="shared" si="7"/>
        <v>394</v>
      </c>
      <c r="B399" s="112">
        <v>2025</v>
      </c>
      <c r="C399" s="112" t="s">
        <v>605</v>
      </c>
      <c r="D399" s="112" t="s">
        <v>1010</v>
      </c>
      <c r="E399" s="114" t="s">
        <v>704</v>
      </c>
      <c r="F399" s="112" t="s">
        <v>577</v>
      </c>
      <c r="G399" s="112" t="s">
        <v>541</v>
      </c>
      <c r="H399" s="115" t="s">
        <v>1243</v>
      </c>
      <c r="I399" s="112" t="s">
        <v>600</v>
      </c>
      <c r="J399" s="112" t="s">
        <v>222</v>
      </c>
      <c r="K399" s="31">
        <v>37634690.399999999</v>
      </c>
      <c r="L399" s="31"/>
      <c r="M399" s="31"/>
      <c r="N399" s="31">
        <f t="shared" si="6"/>
        <v>1881734.5199999958</v>
      </c>
      <c r="O399" s="31"/>
      <c r="P399" s="31">
        <v>35752955.880000003</v>
      </c>
      <c r="Q399" s="33">
        <f>SUM(PAC!$M399:$P399)</f>
        <v>37634690.399999999</v>
      </c>
      <c r="R399" s="33"/>
      <c r="S399" s="33">
        <f>IF(PAC!$R399&gt;0,PAC!$R399,PAC!$Q399)</f>
        <v>37634690.399999999</v>
      </c>
      <c r="T399" s="33"/>
      <c r="U399" s="116" t="s">
        <v>594</v>
      </c>
      <c r="V399" s="116" t="s">
        <v>1764</v>
      </c>
      <c r="W399" s="117"/>
      <c r="X399" s="117" t="s">
        <v>1419</v>
      </c>
      <c r="Y399" s="113" t="s">
        <v>2476</v>
      </c>
      <c r="Z399" s="118"/>
      <c r="AA399" s="119"/>
      <c r="AB399" s="115" t="s">
        <v>1509</v>
      </c>
      <c r="AC399" s="119" t="s">
        <v>2409</v>
      </c>
      <c r="AD399" s="120">
        <v>46325</v>
      </c>
      <c r="AE399" s="172" t="s">
        <v>1945</v>
      </c>
      <c r="AF399" s="115" t="s">
        <v>899</v>
      </c>
      <c r="AG399" s="115"/>
      <c r="AH399" s="115"/>
      <c r="AI399" s="115"/>
      <c r="AJ399" s="118"/>
      <c r="AK399" s="115"/>
      <c r="AL399" s="115"/>
      <c r="AM399" s="115"/>
      <c r="AN399" s="118">
        <v>46419</v>
      </c>
      <c r="AO399" s="118"/>
      <c r="AP399" s="118"/>
      <c r="AQ399" s="118"/>
      <c r="AR399" s="121"/>
      <c r="AS399" s="121"/>
      <c r="AT399" s="114" t="s">
        <v>2408</v>
      </c>
      <c r="AU399" s="115" t="s">
        <v>1753</v>
      </c>
      <c r="AV399" s="120"/>
      <c r="AW399" s="131" t="s">
        <v>1610</v>
      </c>
      <c r="AX399" s="194">
        <f>IFERROR(IF(PAC!$X399="F01 - CAPTAÇÃO DE RECURSO",1,""),"")</f>
        <v>1</v>
      </c>
      <c r="AY399" s="194" t="str">
        <f>IFERROR(IF(PAC!$X399="F02 - LICITAÇÃO",1,""),"")</f>
        <v/>
      </c>
      <c r="AZ399" s="123" t="str">
        <f>IFERROR(IF(PAC!$X$6:$X$581="F03 - EXECUÇÃO DO OBJETO",1,""),"")</f>
        <v/>
      </c>
      <c r="BA399" s="123" t="str">
        <f>IFERROR(IF(PAC!$X$6:$X$581="F04 - CONCLUÍDA",1,""),"")</f>
        <v/>
      </c>
      <c r="BB399" s="191">
        <f>IF(PAC!$R399&gt;0,0,PAC!$Q399)</f>
        <v>37634690.399999999</v>
      </c>
    </row>
    <row r="400" spans="1:54" s="1" customFormat="1" ht="350.1" customHeight="1" thickBot="1">
      <c r="A400" s="88">
        <f t="shared" si="7"/>
        <v>395</v>
      </c>
      <c r="B400" s="88">
        <v>2025</v>
      </c>
      <c r="C400" s="88" t="s">
        <v>605</v>
      </c>
      <c r="D400" s="88" t="s">
        <v>1010</v>
      </c>
      <c r="E400" s="102" t="s">
        <v>893</v>
      </c>
      <c r="F400" s="88" t="s">
        <v>577</v>
      </c>
      <c r="G400" s="88" t="s">
        <v>541</v>
      </c>
      <c r="H400" s="40" t="s">
        <v>1243</v>
      </c>
      <c r="I400" s="88" t="s">
        <v>600</v>
      </c>
      <c r="J400" s="88" t="s">
        <v>257</v>
      </c>
      <c r="K400" s="18">
        <v>51472870.359999999</v>
      </c>
      <c r="L400" s="18"/>
      <c r="M400" s="18"/>
      <c r="N400" s="18">
        <f t="shared" si="6"/>
        <v>2573643.5199999958</v>
      </c>
      <c r="O400" s="18"/>
      <c r="P400" s="18">
        <v>48899226.840000004</v>
      </c>
      <c r="Q400" s="20">
        <f>SUM(PAC!$M400:$P400)</f>
        <v>51472870.359999999</v>
      </c>
      <c r="R400" s="20">
        <v>58574759.590000004</v>
      </c>
      <c r="S400" s="20">
        <f>IF(PAC!$R400&gt;0,PAC!$R400,PAC!$Q400)</f>
        <v>58574759.590000004</v>
      </c>
      <c r="T400" s="20" t="s">
        <v>2654</v>
      </c>
      <c r="U400" s="103" t="s">
        <v>594</v>
      </c>
      <c r="V400" s="103" t="s">
        <v>1764</v>
      </c>
      <c r="W400" s="104">
        <v>36</v>
      </c>
      <c r="X400" s="104" t="s">
        <v>1419</v>
      </c>
      <c r="Y400" s="101" t="s">
        <v>2472</v>
      </c>
      <c r="Z400" s="87"/>
      <c r="AA400" s="105"/>
      <c r="AB400" s="40" t="s">
        <v>1509</v>
      </c>
      <c r="AC400" s="40" t="s">
        <v>2653</v>
      </c>
      <c r="AD400" s="106">
        <v>46325</v>
      </c>
      <c r="AE400" s="102" t="s">
        <v>2028</v>
      </c>
      <c r="AF400" s="40" t="s">
        <v>900</v>
      </c>
      <c r="AG400" s="40"/>
      <c r="AH400" s="40"/>
      <c r="AI400" s="40"/>
      <c r="AJ400" s="87"/>
      <c r="AK400" s="40"/>
      <c r="AL400" s="40"/>
      <c r="AM400" s="40"/>
      <c r="AN400" s="87">
        <v>46037</v>
      </c>
      <c r="AO400" s="87">
        <v>46114</v>
      </c>
      <c r="AP400" s="87">
        <v>46245</v>
      </c>
      <c r="AQ400" s="87"/>
      <c r="AR400" s="107"/>
      <c r="AS400" s="107"/>
      <c r="AT400" s="102" t="s">
        <v>2655</v>
      </c>
      <c r="AU400" s="40" t="s">
        <v>2656</v>
      </c>
      <c r="AV400" s="106"/>
      <c r="AW400" s="129" t="s">
        <v>1610</v>
      </c>
      <c r="AX400" s="109">
        <f>IFERROR(IF(PAC!$X400="F01 - CAPTAÇÃO DE RECURSO",1,""),"")</f>
        <v>1</v>
      </c>
      <c r="AY400" s="109" t="str">
        <f>IFERROR(IF(PAC!$X400="F02 - LICITAÇÃO",1,""),"")</f>
        <v/>
      </c>
      <c r="AZ400" s="110" t="str">
        <f>IFERROR(IF(PAC!$X$6:$X$581="F03 - EXECUÇÃO DO OBJETO",1,""),"")</f>
        <v/>
      </c>
      <c r="BA400" s="110" t="str">
        <f>IFERROR(IF(PAC!$X$6:$X$581="F04 - CONCLUÍDA",1,""),"")</f>
        <v/>
      </c>
      <c r="BB400" s="111">
        <f>IF(PAC!$R400&gt;0,0,PAC!$Q400)</f>
        <v>0</v>
      </c>
    </row>
    <row r="401" spans="1:54" s="1" customFormat="1" ht="350.1" customHeight="1" thickBot="1">
      <c r="A401" s="112">
        <f t="shared" si="7"/>
        <v>396</v>
      </c>
      <c r="B401" s="112">
        <v>2025</v>
      </c>
      <c r="C401" s="112" t="s">
        <v>605</v>
      </c>
      <c r="D401" s="112" t="s">
        <v>1010</v>
      </c>
      <c r="E401" s="114" t="s">
        <v>894</v>
      </c>
      <c r="F401" s="112" t="s">
        <v>577</v>
      </c>
      <c r="G401" s="112" t="s">
        <v>541</v>
      </c>
      <c r="H401" s="115" t="s">
        <v>1243</v>
      </c>
      <c r="I401" s="112" t="s">
        <v>600</v>
      </c>
      <c r="J401" s="112" t="s">
        <v>181</v>
      </c>
      <c r="K401" s="31">
        <v>96110094.680000007</v>
      </c>
      <c r="L401" s="31"/>
      <c r="M401" s="31"/>
      <c r="N401" s="31">
        <f t="shared" si="6"/>
        <v>4805504.7300000042</v>
      </c>
      <c r="O401" s="31"/>
      <c r="P401" s="31">
        <v>91304589.950000003</v>
      </c>
      <c r="Q401" s="33">
        <f>SUM(PAC!$M401:$P401)</f>
        <v>96110094.680000007</v>
      </c>
      <c r="R401" s="33"/>
      <c r="S401" s="33">
        <f>IF(PAC!$R401&gt;0,PAC!$R401,PAC!$Q401)</f>
        <v>96110094.680000007</v>
      </c>
      <c r="T401" s="33"/>
      <c r="U401" s="116" t="s">
        <v>594</v>
      </c>
      <c r="V401" s="116" t="s">
        <v>1764</v>
      </c>
      <c r="W401" s="117"/>
      <c r="X401" s="117" t="s">
        <v>1419</v>
      </c>
      <c r="Y401" s="113" t="s">
        <v>2476</v>
      </c>
      <c r="Z401" s="118"/>
      <c r="AA401" s="119"/>
      <c r="AB401" s="115" t="s">
        <v>1509</v>
      </c>
      <c r="AC401" s="115" t="s">
        <v>2411</v>
      </c>
      <c r="AD401" s="120">
        <v>46325</v>
      </c>
      <c r="AE401" s="114" t="s">
        <v>1945</v>
      </c>
      <c r="AF401" s="115" t="s">
        <v>901</v>
      </c>
      <c r="AG401" s="115"/>
      <c r="AH401" s="115"/>
      <c r="AI401" s="115"/>
      <c r="AJ401" s="118"/>
      <c r="AK401" s="115"/>
      <c r="AL401" s="115"/>
      <c r="AM401" s="115"/>
      <c r="AN401" s="118">
        <v>46327</v>
      </c>
      <c r="AO401" s="118"/>
      <c r="AP401" s="118"/>
      <c r="AQ401" s="118"/>
      <c r="AR401" s="121"/>
      <c r="AS401" s="121"/>
      <c r="AT401" s="114" t="s">
        <v>2410</v>
      </c>
      <c r="AU401" s="115" t="s">
        <v>1753</v>
      </c>
      <c r="AV401" s="120"/>
      <c r="AW401" s="131" t="s">
        <v>1610</v>
      </c>
      <c r="AX401" s="194">
        <f>IFERROR(IF(PAC!$X401="F01 - CAPTAÇÃO DE RECURSO",1,""),"")</f>
        <v>1</v>
      </c>
      <c r="AY401" s="194" t="str">
        <f>IFERROR(IF(PAC!$X401="F02 - LICITAÇÃO",1,""),"")</f>
        <v/>
      </c>
      <c r="AZ401" s="123" t="str">
        <f>IFERROR(IF(PAC!$X$6:$X$581="F03 - EXECUÇÃO DO OBJETO",1,""),"")</f>
        <v/>
      </c>
      <c r="BA401" s="123" t="str">
        <f>IFERROR(IF(PAC!$X$6:$X$581="F04 - CONCLUÍDA",1,""),"")</f>
        <v/>
      </c>
      <c r="BB401" s="191">
        <f>IF(PAC!$R401&gt;0,0,PAC!$Q401)</f>
        <v>96110094.680000007</v>
      </c>
    </row>
    <row r="402" spans="1:54" s="1" customFormat="1" ht="350.1" customHeight="1" thickBot="1">
      <c r="A402" s="88">
        <f t="shared" si="7"/>
        <v>397</v>
      </c>
      <c r="B402" s="88">
        <v>2025</v>
      </c>
      <c r="C402" s="88" t="s">
        <v>605</v>
      </c>
      <c r="D402" s="88" t="s">
        <v>1010</v>
      </c>
      <c r="E402" s="102" t="s">
        <v>701</v>
      </c>
      <c r="F402" s="88" t="s">
        <v>577</v>
      </c>
      <c r="G402" s="88" t="s">
        <v>541</v>
      </c>
      <c r="H402" s="40" t="s">
        <v>1243</v>
      </c>
      <c r="I402" s="88" t="s">
        <v>600</v>
      </c>
      <c r="J402" s="88" t="s">
        <v>372</v>
      </c>
      <c r="K402" s="18">
        <v>78410545.959999993</v>
      </c>
      <c r="L402" s="18"/>
      <c r="M402" s="18"/>
      <c r="N402" s="18">
        <f t="shared" si="6"/>
        <v>3920527.2899999917</v>
      </c>
      <c r="O402" s="18"/>
      <c r="P402" s="18">
        <v>74490018.670000002</v>
      </c>
      <c r="Q402" s="20">
        <f>SUM(PAC!$M402:$P402)</f>
        <v>78410545.959999993</v>
      </c>
      <c r="R402" s="20"/>
      <c r="S402" s="20">
        <f>IF(PAC!$R402&gt;0,PAC!$R402,PAC!$Q402)</f>
        <v>78410545.959999993</v>
      </c>
      <c r="T402" s="20"/>
      <c r="U402" s="103" t="s">
        <v>594</v>
      </c>
      <c r="V402" s="103" t="s">
        <v>1764</v>
      </c>
      <c r="W402" s="104"/>
      <c r="X402" s="104" t="s">
        <v>1419</v>
      </c>
      <c r="Y402" s="101" t="s">
        <v>2476</v>
      </c>
      <c r="Z402" s="87"/>
      <c r="AA402" s="105"/>
      <c r="AB402" s="40" t="s">
        <v>1509</v>
      </c>
      <c r="AC402" s="40" t="s">
        <v>2406</v>
      </c>
      <c r="AD402" s="106">
        <v>46325</v>
      </c>
      <c r="AE402" s="102" t="s">
        <v>1945</v>
      </c>
      <c r="AF402" s="40" t="s">
        <v>902</v>
      </c>
      <c r="AG402" s="40"/>
      <c r="AH402" s="40"/>
      <c r="AI402" s="40"/>
      <c r="AJ402" s="87"/>
      <c r="AK402" s="40"/>
      <c r="AL402" s="40"/>
      <c r="AM402" s="40"/>
      <c r="AN402" s="87">
        <v>46569</v>
      </c>
      <c r="AO402" s="87"/>
      <c r="AP402" s="87"/>
      <c r="AQ402" s="87"/>
      <c r="AR402" s="107"/>
      <c r="AS402" s="107"/>
      <c r="AT402" s="102" t="s">
        <v>2412</v>
      </c>
      <c r="AU402" s="40" t="s">
        <v>1753</v>
      </c>
      <c r="AV402" s="106"/>
      <c r="AW402" s="129" t="s">
        <v>1610</v>
      </c>
      <c r="AX402" s="109">
        <f>IFERROR(IF(PAC!$X402="F01 - CAPTAÇÃO DE RECURSO",1,""),"")</f>
        <v>1</v>
      </c>
      <c r="AY402" s="109" t="str">
        <f>IFERROR(IF(PAC!$X402="F02 - LICITAÇÃO",1,""),"")</f>
        <v/>
      </c>
      <c r="AZ402" s="110" t="str">
        <f>IFERROR(IF(PAC!$X$6:$X$581="F03 - EXECUÇÃO DO OBJETO",1,""),"")</f>
        <v/>
      </c>
      <c r="BA402" s="110" t="str">
        <f>IFERROR(IF(PAC!$X$6:$X$581="F04 - CONCLUÍDA",1,""),"")</f>
        <v/>
      </c>
      <c r="BB402" s="111">
        <f>IF(PAC!$R402&gt;0,0,PAC!$Q402)</f>
        <v>78410545.959999993</v>
      </c>
    </row>
    <row r="403" spans="1:54" s="1" customFormat="1" ht="350.1" customHeight="1" thickBot="1">
      <c r="A403" s="112">
        <f t="shared" si="7"/>
        <v>398</v>
      </c>
      <c r="B403" s="112">
        <v>2025</v>
      </c>
      <c r="C403" s="112" t="s">
        <v>605</v>
      </c>
      <c r="D403" s="112" t="s">
        <v>1010</v>
      </c>
      <c r="E403" s="114" t="s">
        <v>703</v>
      </c>
      <c r="F403" s="112" t="s">
        <v>577</v>
      </c>
      <c r="G403" s="112" t="s">
        <v>541</v>
      </c>
      <c r="H403" s="115" t="s">
        <v>1243</v>
      </c>
      <c r="I403" s="112" t="s">
        <v>600</v>
      </c>
      <c r="J403" s="112" t="s">
        <v>25</v>
      </c>
      <c r="K403" s="31">
        <v>161338680.93000001</v>
      </c>
      <c r="L403" s="31"/>
      <c r="M403" s="31"/>
      <c r="N403" s="31">
        <f t="shared" si="6"/>
        <v>8066934.0500000119</v>
      </c>
      <c r="O403" s="31"/>
      <c r="P403" s="31">
        <v>153271746.88</v>
      </c>
      <c r="Q403" s="33">
        <f>SUM(PAC!$M403:$P403)</f>
        <v>161338680.93000001</v>
      </c>
      <c r="R403" s="33"/>
      <c r="S403" s="33">
        <f>IF(PAC!$R403&gt;0,PAC!$R403,PAC!$Q403)</f>
        <v>161338680.93000001</v>
      </c>
      <c r="T403" s="33"/>
      <c r="U403" s="116" t="s">
        <v>594</v>
      </c>
      <c r="V403" s="116" t="s">
        <v>1764</v>
      </c>
      <c r="W403" s="117"/>
      <c r="X403" s="117" t="s">
        <v>1419</v>
      </c>
      <c r="Y403" s="113" t="s">
        <v>2476</v>
      </c>
      <c r="Z403" s="118"/>
      <c r="AA403" s="119"/>
      <c r="AB403" s="115" t="s">
        <v>1509</v>
      </c>
      <c r="AC403" s="115" t="s">
        <v>2398</v>
      </c>
      <c r="AD403" s="120">
        <v>46325</v>
      </c>
      <c r="AE403" s="114" t="s">
        <v>1945</v>
      </c>
      <c r="AF403" s="115" t="s">
        <v>903</v>
      </c>
      <c r="AG403" s="115"/>
      <c r="AH403" s="115"/>
      <c r="AI403" s="115"/>
      <c r="AJ403" s="118"/>
      <c r="AK403" s="115"/>
      <c r="AL403" s="115"/>
      <c r="AM403" s="115"/>
      <c r="AN403" s="118">
        <v>46478</v>
      </c>
      <c r="AO403" s="118"/>
      <c r="AP403" s="118"/>
      <c r="AQ403" s="118"/>
      <c r="AR403" s="121"/>
      <c r="AS403" s="121"/>
      <c r="AT403" s="114" t="s">
        <v>2413</v>
      </c>
      <c r="AU403" s="115" t="s">
        <v>1753</v>
      </c>
      <c r="AV403" s="120"/>
      <c r="AW403" s="131" t="s">
        <v>1610</v>
      </c>
      <c r="AX403" s="194">
        <f>IFERROR(IF(PAC!$X403="F01 - CAPTAÇÃO DE RECURSO",1,""),"")</f>
        <v>1</v>
      </c>
      <c r="AY403" s="194" t="str">
        <f>IFERROR(IF(PAC!$X403="F02 - LICITAÇÃO",1,""),"")</f>
        <v/>
      </c>
      <c r="AZ403" s="123" t="str">
        <f>IFERROR(IF(PAC!$X$6:$X$581="F03 - EXECUÇÃO DO OBJETO",1,""),"")</f>
        <v/>
      </c>
      <c r="BA403" s="123" t="str">
        <f>IFERROR(IF(PAC!$X$6:$X$581="F04 - CONCLUÍDA",1,""),"")</f>
        <v/>
      </c>
      <c r="BB403" s="191">
        <f>IF(PAC!$R403&gt;0,0,PAC!$Q403)</f>
        <v>161338680.93000001</v>
      </c>
    </row>
    <row r="404" spans="1:54" s="1" customFormat="1" ht="350.1" customHeight="1" thickBot="1">
      <c r="A404" s="88">
        <f t="shared" si="7"/>
        <v>399</v>
      </c>
      <c r="B404" s="88">
        <v>2025</v>
      </c>
      <c r="C404" s="88" t="s">
        <v>605</v>
      </c>
      <c r="D404" s="88" t="s">
        <v>1010</v>
      </c>
      <c r="E404" s="102" t="s">
        <v>895</v>
      </c>
      <c r="F404" s="88" t="s">
        <v>577</v>
      </c>
      <c r="G404" s="88" t="s">
        <v>541</v>
      </c>
      <c r="H404" s="40" t="s">
        <v>1243</v>
      </c>
      <c r="I404" s="88" t="s">
        <v>600</v>
      </c>
      <c r="J404" s="88" t="s">
        <v>189</v>
      </c>
      <c r="K404" s="18">
        <v>297337006.62</v>
      </c>
      <c r="L404" s="18"/>
      <c r="M404" s="18"/>
      <c r="N404" s="18">
        <f t="shared" si="6"/>
        <v>14866850.329999983</v>
      </c>
      <c r="O404" s="18"/>
      <c r="P404" s="18">
        <v>282470156.29000002</v>
      </c>
      <c r="Q404" s="20">
        <f>SUM(PAC!$M404:$P404)</f>
        <v>297337006.62</v>
      </c>
      <c r="R404" s="20"/>
      <c r="S404" s="20">
        <f>IF(PAC!$R404&gt;0,PAC!$R404,PAC!$Q404)</f>
        <v>297337006.62</v>
      </c>
      <c r="T404" s="20"/>
      <c r="U404" s="103" t="s">
        <v>594</v>
      </c>
      <c r="V404" s="103" t="s">
        <v>1764</v>
      </c>
      <c r="W404" s="104"/>
      <c r="X404" s="104" t="s">
        <v>1419</v>
      </c>
      <c r="Y404" s="101" t="s">
        <v>2476</v>
      </c>
      <c r="Z404" s="87"/>
      <c r="AA404" s="105"/>
      <c r="AB404" s="40" t="s">
        <v>1509</v>
      </c>
      <c r="AC404" s="40" t="s">
        <v>2522</v>
      </c>
      <c r="AD404" s="106">
        <v>46325</v>
      </c>
      <c r="AE404" s="102" t="s">
        <v>1945</v>
      </c>
      <c r="AF404" s="40" t="s">
        <v>904</v>
      </c>
      <c r="AG404" s="40"/>
      <c r="AH404" s="40"/>
      <c r="AI404" s="40"/>
      <c r="AJ404" s="87"/>
      <c r="AK404" s="40"/>
      <c r="AL404" s="40"/>
      <c r="AM404" s="40"/>
      <c r="AN404" s="87">
        <v>46357</v>
      </c>
      <c r="AO404" s="87"/>
      <c r="AP404" s="87"/>
      <c r="AQ404" s="87"/>
      <c r="AR404" s="107"/>
      <c r="AS404" s="107"/>
      <c r="AT404" s="102" t="s">
        <v>2521</v>
      </c>
      <c r="AU404" s="40" t="s">
        <v>1753</v>
      </c>
      <c r="AV404" s="106"/>
      <c r="AW404" s="129" t="s">
        <v>1610</v>
      </c>
      <c r="AX404" s="109">
        <f>IFERROR(IF(PAC!$X404="F01 - CAPTAÇÃO DE RECURSO",1,""),"")</f>
        <v>1</v>
      </c>
      <c r="AY404" s="109" t="str">
        <f>IFERROR(IF(PAC!$X404="F02 - LICITAÇÃO",1,""),"")</f>
        <v/>
      </c>
      <c r="AZ404" s="110" t="str">
        <f>IFERROR(IF(PAC!$X$6:$X$581="F03 - EXECUÇÃO DO OBJETO",1,""),"")</f>
        <v/>
      </c>
      <c r="BA404" s="110" t="str">
        <f>IFERROR(IF(PAC!$X$6:$X$581="F04 - CONCLUÍDA",1,""),"")</f>
        <v/>
      </c>
      <c r="BB404" s="111">
        <f>IF(PAC!$R404&gt;0,0,PAC!$Q404)</f>
        <v>297337006.62</v>
      </c>
    </row>
    <row r="405" spans="1:54" s="1" customFormat="1" ht="350.1" customHeight="1" thickBot="1">
      <c r="A405" s="112">
        <f t="shared" si="7"/>
        <v>400</v>
      </c>
      <c r="B405" s="112">
        <v>2025</v>
      </c>
      <c r="C405" s="112" t="s">
        <v>605</v>
      </c>
      <c r="D405" s="112" t="s">
        <v>1010</v>
      </c>
      <c r="E405" s="114" t="s">
        <v>905</v>
      </c>
      <c r="F405" s="112" t="s">
        <v>577</v>
      </c>
      <c r="G405" s="112" t="s">
        <v>541</v>
      </c>
      <c r="H405" s="115" t="s">
        <v>1243</v>
      </c>
      <c r="I405" s="112" t="s">
        <v>600</v>
      </c>
      <c r="J405" s="112" t="s">
        <v>229</v>
      </c>
      <c r="K405" s="31">
        <v>140684669.16</v>
      </c>
      <c r="L405" s="31"/>
      <c r="M405" s="31"/>
      <c r="N405" s="31">
        <f t="shared" si="6"/>
        <v>7034233.4599999934</v>
      </c>
      <c r="O405" s="31"/>
      <c r="P405" s="31">
        <v>133650435.7</v>
      </c>
      <c r="Q405" s="33">
        <f>SUM(PAC!$M405:$P405)</f>
        <v>140684669.16</v>
      </c>
      <c r="R405" s="33"/>
      <c r="S405" s="33">
        <f>IF(PAC!$R405&gt;0,PAC!$R405,PAC!$Q405)</f>
        <v>140684669.16</v>
      </c>
      <c r="T405" s="33"/>
      <c r="U405" s="116" t="s">
        <v>594</v>
      </c>
      <c r="V405" s="116" t="s">
        <v>1764</v>
      </c>
      <c r="W405" s="117"/>
      <c r="X405" s="117" t="s">
        <v>1419</v>
      </c>
      <c r="Y405" s="113" t="s">
        <v>2476</v>
      </c>
      <c r="Z405" s="118"/>
      <c r="AA405" s="119"/>
      <c r="AB405" s="115" t="s">
        <v>1509</v>
      </c>
      <c r="AC405" s="113" t="s">
        <v>2415</v>
      </c>
      <c r="AD405" s="120">
        <v>46325</v>
      </c>
      <c r="AE405" s="113" t="s">
        <v>1945</v>
      </c>
      <c r="AF405" s="115" t="s">
        <v>911</v>
      </c>
      <c r="AG405" s="115"/>
      <c r="AH405" s="115"/>
      <c r="AI405" s="115"/>
      <c r="AJ405" s="118"/>
      <c r="AK405" s="115"/>
      <c r="AL405" s="115"/>
      <c r="AM405" s="115"/>
      <c r="AN405" s="118">
        <v>46539</v>
      </c>
      <c r="AO405" s="118"/>
      <c r="AP405" s="118"/>
      <c r="AQ405" s="118"/>
      <c r="AR405" s="121"/>
      <c r="AS405" s="121"/>
      <c r="AT405" s="114" t="s">
        <v>2414</v>
      </c>
      <c r="AU405" s="115" t="s">
        <v>1753</v>
      </c>
      <c r="AV405" s="120"/>
      <c r="AW405" s="131" t="s">
        <v>1610</v>
      </c>
      <c r="AX405" s="194">
        <f>IFERROR(IF(PAC!$X405="F01 - CAPTAÇÃO DE RECURSO",1,""),"")</f>
        <v>1</v>
      </c>
      <c r="AY405" s="194" t="str">
        <f>IFERROR(IF(PAC!$X405="F02 - LICITAÇÃO",1,""),"")</f>
        <v/>
      </c>
      <c r="AZ405" s="123" t="str">
        <f>IFERROR(IF(PAC!$X$6:$X$581="F03 - EXECUÇÃO DO OBJETO",1,""),"")</f>
        <v/>
      </c>
      <c r="BA405" s="123" t="str">
        <f>IFERROR(IF(PAC!$X$6:$X$581="F04 - CONCLUÍDA",1,""),"")</f>
        <v/>
      </c>
      <c r="BB405" s="191">
        <f>IF(PAC!$R405&gt;0,0,PAC!$Q405)</f>
        <v>140684669.16</v>
      </c>
    </row>
    <row r="406" spans="1:54" s="1" customFormat="1" ht="249.95" customHeight="1" thickBot="1">
      <c r="A406" s="88">
        <f t="shared" si="7"/>
        <v>401</v>
      </c>
      <c r="B406" s="88">
        <v>2025</v>
      </c>
      <c r="C406" s="88" t="s">
        <v>605</v>
      </c>
      <c r="D406" s="88" t="s">
        <v>1010</v>
      </c>
      <c r="E406" s="102" t="s">
        <v>906</v>
      </c>
      <c r="F406" s="88" t="s">
        <v>577</v>
      </c>
      <c r="G406" s="88" t="s">
        <v>541</v>
      </c>
      <c r="H406" s="40" t="s">
        <v>1243</v>
      </c>
      <c r="I406" s="88" t="s">
        <v>600</v>
      </c>
      <c r="J406" s="88" t="s">
        <v>159</v>
      </c>
      <c r="K406" s="18">
        <v>58016317.200000003</v>
      </c>
      <c r="L406" s="18"/>
      <c r="M406" s="18"/>
      <c r="N406" s="18">
        <f t="shared" si="6"/>
        <v>2900815.8599999994</v>
      </c>
      <c r="O406" s="18"/>
      <c r="P406" s="18">
        <v>55115501.340000004</v>
      </c>
      <c r="Q406" s="20">
        <f>SUM(PAC!$M406:$P406)</f>
        <v>58016317.200000003</v>
      </c>
      <c r="R406" s="20"/>
      <c r="S406" s="20">
        <f>IF(PAC!$R406&gt;0,PAC!$R406,PAC!$Q406)</f>
        <v>58016317.200000003</v>
      </c>
      <c r="T406" s="20"/>
      <c r="U406" s="103" t="s">
        <v>594</v>
      </c>
      <c r="V406" s="103" t="s">
        <v>1764</v>
      </c>
      <c r="W406" s="104"/>
      <c r="X406" s="104" t="s">
        <v>1419</v>
      </c>
      <c r="Y406" s="101" t="s">
        <v>2476</v>
      </c>
      <c r="Z406" s="87"/>
      <c r="AA406" s="105"/>
      <c r="AB406" s="40" t="s">
        <v>1509</v>
      </c>
      <c r="AC406" s="40" t="s">
        <v>2409</v>
      </c>
      <c r="AD406" s="106">
        <v>46325</v>
      </c>
      <c r="AE406" s="102" t="s">
        <v>1945</v>
      </c>
      <c r="AF406" s="40" t="s">
        <v>912</v>
      </c>
      <c r="AG406" s="40"/>
      <c r="AH406" s="40"/>
      <c r="AI406" s="40"/>
      <c r="AJ406" s="87"/>
      <c r="AK406" s="40"/>
      <c r="AL406" s="40"/>
      <c r="AM406" s="40"/>
      <c r="AN406" s="87">
        <v>46419</v>
      </c>
      <c r="AO406" s="87"/>
      <c r="AP406" s="87"/>
      <c r="AQ406" s="87"/>
      <c r="AR406" s="107"/>
      <c r="AS406" s="107"/>
      <c r="AT406" s="102" t="s">
        <v>2418</v>
      </c>
      <c r="AU406" s="40" t="s">
        <v>1753</v>
      </c>
      <c r="AV406" s="106"/>
      <c r="AW406" s="129" t="s">
        <v>1610</v>
      </c>
      <c r="AX406" s="109">
        <f>IFERROR(IF(PAC!$X406="F01 - CAPTAÇÃO DE RECURSO",1,""),"")</f>
        <v>1</v>
      </c>
      <c r="AY406" s="109" t="str">
        <f>IFERROR(IF(PAC!$X406="F02 - LICITAÇÃO",1,""),"")</f>
        <v/>
      </c>
      <c r="AZ406" s="110" t="str">
        <f>IFERROR(IF(PAC!$X$6:$X$581="F03 - EXECUÇÃO DO OBJETO",1,""),"")</f>
        <v/>
      </c>
      <c r="BA406" s="110" t="str">
        <f>IFERROR(IF(PAC!$X$6:$X$581="F04 - CONCLUÍDA",1,""),"")</f>
        <v/>
      </c>
      <c r="BB406" s="111">
        <f>IF(PAC!$R406&gt;0,0,PAC!$Q406)</f>
        <v>58016317.200000003</v>
      </c>
    </row>
    <row r="407" spans="1:54" s="1" customFormat="1" ht="249.95" customHeight="1" thickBot="1">
      <c r="A407" s="112">
        <f t="shared" si="7"/>
        <v>402</v>
      </c>
      <c r="B407" s="112">
        <v>2025</v>
      </c>
      <c r="C407" s="112" t="s">
        <v>605</v>
      </c>
      <c r="D407" s="112" t="s">
        <v>1010</v>
      </c>
      <c r="E407" s="114" t="s">
        <v>705</v>
      </c>
      <c r="F407" s="112" t="s">
        <v>577</v>
      </c>
      <c r="G407" s="112" t="s">
        <v>541</v>
      </c>
      <c r="H407" s="115" t="s">
        <v>1243</v>
      </c>
      <c r="I407" s="112" t="s">
        <v>600</v>
      </c>
      <c r="J407" s="112" t="s">
        <v>332</v>
      </c>
      <c r="K407" s="31">
        <v>93366307.420000002</v>
      </c>
      <c r="L407" s="31"/>
      <c r="M407" s="31"/>
      <c r="N407" s="31">
        <f t="shared" si="6"/>
        <v>4668315.3700000048</v>
      </c>
      <c r="O407" s="31"/>
      <c r="P407" s="31">
        <v>88697992.049999997</v>
      </c>
      <c r="Q407" s="33">
        <f>SUM(PAC!$M407:$P407)</f>
        <v>93366307.420000002</v>
      </c>
      <c r="R407" s="33"/>
      <c r="S407" s="33">
        <f>IF(PAC!$R407&gt;0,PAC!$R407,PAC!$Q407)</f>
        <v>93366307.420000002</v>
      </c>
      <c r="T407" s="33"/>
      <c r="U407" s="116" t="s">
        <v>594</v>
      </c>
      <c r="V407" s="116" t="s">
        <v>1764</v>
      </c>
      <c r="W407" s="117"/>
      <c r="X407" s="117" t="s">
        <v>1419</v>
      </c>
      <c r="Y407" s="113" t="s">
        <v>2476</v>
      </c>
      <c r="Z407" s="118"/>
      <c r="AA407" s="119"/>
      <c r="AB407" s="115" t="s">
        <v>1509</v>
      </c>
      <c r="AC407" s="117" t="s">
        <v>2420</v>
      </c>
      <c r="AD407" s="120">
        <v>46325</v>
      </c>
      <c r="AE407" s="173" t="s">
        <v>1945</v>
      </c>
      <c r="AF407" s="115" t="s">
        <v>913</v>
      </c>
      <c r="AG407" s="115"/>
      <c r="AH407" s="115"/>
      <c r="AI407" s="115"/>
      <c r="AJ407" s="118"/>
      <c r="AK407" s="115"/>
      <c r="AL407" s="115"/>
      <c r="AM407" s="115"/>
      <c r="AN407" s="118">
        <v>46447</v>
      </c>
      <c r="AO407" s="118"/>
      <c r="AP407" s="118"/>
      <c r="AQ407" s="118"/>
      <c r="AR407" s="121"/>
      <c r="AS407" s="121"/>
      <c r="AT407" s="114" t="s">
        <v>2419</v>
      </c>
      <c r="AU407" s="115" t="s">
        <v>1753</v>
      </c>
      <c r="AV407" s="120"/>
      <c r="AW407" s="131" t="s">
        <v>1610</v>
      </c>
      <c r="AX407" s="194">
        <f>IFERROR(IF(PAC!$X407="F01 - CAPTAÇÃO DE RECURSO",1,""),"")</f>
        <v>1</v>
      </c>
      <c r="AY407" s="194" t="str">
        <f>IFERROR(IF(PAC!$X407="F02 - LICITAÇÃO",1,""),"")</f>
        <v/>
      </c>
      <c r="AZ407" s="123" t="str">
        <f>IFERROR(IF(PAC!$X$6:$X$581="F03 - EXECUÇÃO DO OBJETO",1,""),"")</f>
        <v/>
      </c>
      <c r="BA407" s="123" t="str">
        <f>IFERROR(IF(PAC!$X$6:$X$581="F04 - CONCLUÍDA",1,""),"")</f>
        <v/>
      </c>
      <c r="BB407" s="191">
        <f>IF(PAC!$R407&gt;0,0,PAC!$Q407)</f>
        <v>93366307.420000002</v>
      </c>
    </row>
    <row r="408" spans="1:54" s="1" customFormat="1" ht="249.95" customHeight="1" thickBot="1">
      <c r="A408" s="88">
        <f t="shared" si="7"/>
        <v>403</v>
      </c>
      <c r="B408" s="88">
        <v>2025</v>
      </c>
      <c r="C408" s="88" t="s">
        <v>605</v>
      </c>
      <c r="D408" s="88" t="s">
        <v>1010</v>
      </c>
      <c r="E408" s="102" t="s">
        <v>907</v>
      </c>
      <c r="F408" s="88" t="s">
        <v>577</v>
      </c>
      <c r="G408" s="88" t="s">
        <v>541</v>
      </c>
      <c r="H408" s="40" t="s">
        <v>1243</v>
      </c>
      <c r="I408" s="88" t="s">
        <v>600</v>
      </c>
      <c r="J408" s="88" t="s">
        <v>168</v>
      </c>
      <c r="K408" s="18">
        <v>21052631.579999998</v>
      </c>
      <c r="L408" s="18"/>
      <c r="M408" s="18"/>
      <c r="N408" s="18"/>
      <c r="O408" s="18"/>
      <c r="P408" s="18"/>
      <c r="Q408" s="20">
        <f>SUM(PAC!$M408:$P408)</f>
        <v>0</v>
      </c>
      <c r="R408" s="20"/>
      <c r="S408" s="20">
        <f>IF(PAC!$R408&gt;0,PAC!$R408,PAC!$Q408)</f>
        <v>0</v>
      </c>
      <c r="T408" s="20"/>
      <c r="U408" s="103" t="s">
        <v>594</v>
      </c>
      <c r="V408" s="103" t="s">
        <v>1764</v>
      </c>
      <c r="W408" s="104"/>
      <c r="X408" s="104" t="s">
        <v>1419</v>
      </c>
      <c r="Y408" s="101" t="s">
        <v>2478</v>
      </c>
      <c r="Z408" s="87"/>
      <c r="AA408" s="105"/>
      <c r="AB408" s="40"/>
      <c r="AC408" s="40" t="s">
        <v>2084</v>
      </c>
      <c r="AD408" s="106"/>
      <c r="AE408" s="102"/>
      <c r="AF408" s="40" t="s">
        <v>914</v>
      </c>
      <c r="AG408" s="40"/>
      <c r="AH408" s="40"/>
      <c r="AI408" s="40"/>
      <c r="AJ408" s="87"/>
      <c r="AK408" s="40"/>
      <c r="AL408" s="40"/>
      <c r="AM408" s="40"/>
      <c r="AN408" s="87"/>
      <c r="AO408" s="87"/>
      <c r="AP408" s="87"/>
      <c r="AQ408" s="87"/>
      <c r="AR408" s="107"/>
      <c r="AS408" s="107"/>
      <c r="AT408" s="102" t="s">
        <v>1614</v>
      </c>
      <c r="AU408" s="40"/>
      <c r="AV408" s="106"/>
      <c r="AW408" s="88" t="s">
        <v>1879</v>
      </c>
      <c r="AX408" s="109">
        <f>IFERROR(IF(PAC!$X408="F01 - CAPTAÇÃO DE RECURSO",1,""),"")</f>
        <v>1</v>
      </c>
      <c r="AY408" s="109" t="str">
        <f>IFERROR(IF(PAC!$X408="F02 - LICITAÇÃO",1,""),"")</f>
        <v/>
      </c>
      <c r="AZ408" s="110" t="str">
        <f>IFERROR(IF(PAC!$X$6:$X$581="F03 - EXECUÇÃO DO OBJETO",1,""),"")</f>
        <v/>
      </c>
      <c r="BA408" s="110" t="str">
        <f>IFERROR(IF(PAC!$X$6:$X$581="F04 - CONCLUÍDA",1,""),"")</f>
        <v/>
      </c>
      <c r="BB408" s="111">
        <f>IF(PAC!$R408&gt;0,0,PAC!$Q408)</f>
        <v>0</v>
      </c>
    </row>
    <row r="409" spans="1:54" s="1" customFormat="1" ht="249.95" customHeight="1" thickBot="1">
      <c r="A409" s="112">
        <f t="shared" si="7"/>
        <v>404</v>
      </c>
      <c r="B409" s="112">
        <v>2025</v>
      </c>
      <c r="C409" s="112" t="s">
        <v>605</v>
      </c>
      <c r="D409" s="112" t="s">
        <v>1010</v>
      </c>
      <c r="E409" s="114" t="s">
        <v>908</v>
      </c>
      <c r="F409" s="112" t="s">
        <v>577</v>
      </c>
      <c r="G409" s="112" t="s">
        <v>541</v>
      </c>
      <c r="H409" s="115" t="s">
        <v>1243</v>
      </c>
      <c r="I409" s="112" t="s">
        <v>600</v>
      </c>
      <c r="J409" s="112" t="s">
        <v>233</v>
      </c>
      <c r="K409" s="31">
        <v>46315789.469999999</v>
      </c>
      <c r="L409" s="31"/>
      <c r="M409" s="31"/>
      <c r="N409" s="31"/>
      <c r="O409" s="31"/>
      <c r="P409" s="31"/>
      <c r="Q409" s="33">
        <f>SUM(PAC!$M409:$P409)</f>
        <v>0</v>
      </c>
      <c r="R409" s="33"/>
      <c r="S409" s="33">
        <f>IF(PAC!$R409&gt;0,PAC!$R409,PAC!$Q409)</f>
        <v>0</v>
      </c>
      <c r="T409" s="33"/>
      <c r="U409" s="116" t="s">
        <v>594</v>
      </c>
      <c r="V409" s="116" t="s">
        <v>1764</v>
      </c>
      <c r="W409" s="117"/>
      <c r="X409" s="117" t="s">
        <v>1419</v>
      </c>
      <c r="Y409" s="113" t="s">
        <v>2486</v>
      </c>
      <c r="Z409" s="118"/>
      <c r="AA409" s="119"/>
      <c r="AB409" s="115"/>
      <c r="AC409" s="115" t="s">
        <v>1896</v>
      </c>
      <c r="AD409" s="120"/>
      <c r="AE409" s="114"/>
      <c r="AF409" s="115" t="s">
        <v>915</v>
      </c>
      <c r="AG409" s="115"/>
      <c r="AH409" s="115"/>
      <c r="AI409" s="115"/>
      <c r="AJ409" s="118"/>
      <c r="AK409" s="115"/>
      <c r="AL409" s="115"/>
      <c r="AM409" s="115"/>
      <c r="AN409" s="118"/>
      <c r="AO409" s="118"/>
      <c r="AP409" s="118"/>
      <c r="AQ409" s="118"/>
      <c r="AR409" s="121"/>
      <c r="AS409" s="121"/>
      <c r="AT409" s="166"/>
      <c r="AU409" s="115" t="s">
        <v>1753</v>
      </c>
      <c r="AV409" s="120"/>
      <c r="AW409" s="112" t="s">
        <v>1880</v>
      </c>
      <c r="AX409" s="194">
        <f>IFERROR(IF(PAC!$X409="F01 - CAPTAÇÃO DE RECURSO",1,""),"")</f>
        <v>1</v>
      </c>
      <c r="AY409" s="194" t="str">
        <f>IFERROR(IF(PAC!$X409="F02 - LICITAÇÃO",1,""),"")</f>
        <v/>
      </c>
      <c r="AZ409" s="123" t="str">
        <f>IFERROR(IF(PAC!$X$6:$X$581="F03 - EXECUÇÃO DO OBJETO",1,""),"")</f>
        <v/>
      </c>
      <c r="BA409" s="123" t="str">
        <f>IFERROR(IF(PAC!$X$6:$X$581="F04 - CONCLUÍDA",1,""),"")</f>
        <v/>
      </c>
      <c r="BB409" s="191">
        <f>IF(PAC!$R409&gt;0,0,PAC!$Q409)</f>
        <v>0</v>
      </c>
    </row>
    <row r="410" spans="1:54" s="1" customFormat="1" ht="249.95" customHeight="1" thickBot="1">
      <c r="A410" s="88">
        <f t="shared" si="7"/>
        <v>405</v>
      </c>
      <c r="B410" s="88">
        <v>2025</v>
      </c>
      <c r="C410" s="88" t="s">
        <v>605</v>
      </c>
      <c r="D410" s="88" t="s">
        <v>1010</v>
      </c>
      <c r="E410" s="102" t="s">
        <v>706</v>
      </c>
      <c r="F410" s="88" t="s">
        <v>577</v>
      </c>
      <c r="G410" s="88" t="s">
        <v>541</v>
      </c>
      <c r="H410" s="40" t="s">
        <v>1243</v>
      </c>
      <c r="I410" s="88" t="s">
        <v>600</v>
      </c>
      <c r="J410" s="88" t="s">
        <v>149</v>
      </c>
      <c r="K410" s="18">
        <v>70904736.840000004</v>
      </c>
      <c r="L410" s="18"/>
      <c r="M410" s="18"/>
      <c r="N410" s="18"/>
      <c r="O410" s="18"/>
      <c r="P410" s="18"/>
      <c r="Q410" s="20">
        <f>SUM(PAC!$M410:$P410)</f>
        <v>0</v>
      </c>
      <c r="R410" s="20"/>
      <c r="S410" s="20">
        <f>IF(PAC!$R410&gt;0,PAC!$R410,PAC!$Q410)</f>
        <v>0</v>
      </c>
      <c r="T410" s="20"/>
      <c r="U410" s="103" t="s">
        <v>594</v>
      </c>
      <c r="V410" s="103" t="s">
        <v>1764</v>
      </c>
      <c r="W410" s="104"/>
      <c r="X410" s="104" t="s">
        <v>1419</v>
      </c>
      <c r="Y410" s="101" t="s">
        <v>2486</v>
      </c>
      <c r="Z410" s="87"/>
      <c r="AA410" s="105"/>
      <c r="AB410" s="40"/>
      <c r="AC410" s="40" t="s">
        <v>1895</v>
      </c>
      <c r="AD410" s="106"/>
      <c r="AE410" s="102"/>
      <c r="AF410" s="40" t="s">
        <v>916</v>
      </c>
      <c r="AG410" s="40"/>
      <c r="AH410" s="40"/>
      <c r="AI410" s="40"/>
      <c r="AJ410" s="87"/>
      <c r="AK410" s="40"/>
      <c r="AL410" s="40"/>
      <c r="AM410" s="40"/>
      <c r="AN410" s="87"/>
      <c r="AO410" s="87"/>
      <c r="AP410" s="87"/>
      <c r="AQ410" s="87"/>
      <c r="AR410" s="107"/>
      <c r="AS410" s="107"/>
      <c r="AT410" s="102" t="s">
        <v>1614</v>
      </c>
      <c r="AU410" s="40"/>
      <c r="AV410" s="106"/>
      <c r="AW410" s="88" t="s">
        <v>1881</v>
      </c>
      <c r="AX410" s="109">
        <f>IFERROR(IF(PAC!$X410="F01 - CAPTAÇÃO DE RECURSO",1,""),"")</f>
        <v>1</v>
      </c>
      <c r="AY410" s="109" t="str">
        <f>IFERROR(IF(PAC!$X410="F02 - LICITAÇÃO",1,""),"")</f>
        <v/>
      </c>
      <c r="AZ410" s="110" t="str">
        <f>IFERROR(IF(PAC!$X$6:$X$581="F03 - EXECUÇÃO DO OBJETO",1,""),"")</f>
        <v/>
      </c>
      <c r="BA410" s="110" t="str">
        <f>IFERROR(IF(PAC!$X$6:$X$581="F04 - CONCLUÍDA",1,""),"")</f>
        <v/>
      </c>
      <c r="BB410" s="111">
        <f>IF(PAC!$R410&gt;0,0,PAC!$Q410)</f>
        <v>0</v>
      </c>
    </row>
    <row r="411" spans="1:54" s="1" customFormat="1" ht="249.95" customHeight="1" thickBot="1">
      <c r="A411" s="112">
        <f t="shared" si="7"/>
        <v>406</v>
      </c>
      <c r="B411" s="112">
        <v>2025</v>
      </c>
      <c r="C411" s="112" t="s">
        <v>605</v>
      </c>
      <c r="D411" s="112" t="s">
        <v>1010</v>
      </c>
      <c r="E411" s="114" t="s">
        <v>909</v>
      </c>
      <c r="F411" s="112" t="s">
        <v>577</v>
      </c>
      <c r="G411" s="112" t="s">
        <v>541</v>
      </c>
      <c r="H411" s="115" t="s">
        <v>1243</v>
      </c>
      <c r="I411" s="112" t="s">
        <v>600</v>
      </c>
      <c r="J411" s="112" t="s">
        <v>360</v>
      </c>
      <c r="K411" s="31">
        <v>45815368.420000002</v>
      </c>
      <c r="L411" s="31"/>
      <c r="M411" s="31"/>
      <c r="N411" s="31">
        <f>K411-P411</f>
        <v>2290768.4200000018</v>
      </c>
      <c r="O411" s="31"/>
      <c r="P411" s="31">
        <v>43524600</v>
      </c>
      <c r="Q411" s="33">
        <f>SUM(PAC!$M411:$P411)</f>
        <v>45815368.420000002</v>
      </c>
      <c r="R411" s="33"/>
      <c r="S411" s="33">
        <f>IF(PAC!$R411&gt;0,PAC!$R411,PAC!$Q411)</f>
        <v>45815368.420000002</v>
      </c>
      <c r="T411" s="33"/>
      <c r="U411" s="116" t="s">
        <v>594</v>
      </c>
      <c r="V411" s="116" t="s">
        <v>1764</v>
      </c>
      <c r="W411" s="117"/>
      <c r="X411" s="117" t="s">
        <v>1419</v>
      </c>
      <c r="Y411" s="113" t="s">
        <v>2476</v>
      </c>
      <c r="Z411" s="118"/>
      <c r="AA411" s="119"/>
      <c r="AB411" s="115" t="s">
        <v>1509</v>
      </c>
      <c r="AC411" s="115" t="s">
        <v>2524</v>
      </c>
      <c r="AD411" s="120">
        <v>46325</v>
      </c>
      <c r="AE411" s="114" t="s">
        <v>1947</v>
      </c>
      <c r="AF411" s="115" t="s">
        <v>917</v>
      </c>
      <c r="AG411" s="115"/>
      <c r="AH411" s="115"/>
      <c r="AI411" s="115"/>
      <c r="AJ411" s="118"/>
      <c r="AK411" s="115"/>
      <c r="AL411" s="115"/>
      <c r="AM411" s="115"/>
      <c r="AN411" s="118">
        <v>46386</v>
      </c>
      <c r="AO411" s="118"/>
      <c r="AP411" s="118"/>
      <c r="AQ411" s="118"/>
      <c r="AR411" s="121"/>
      <c r="AS411" s="121"/>
      <c r="AT411" s="166" t="s">
        <v>2523</v>
      </c>
      <c r="AU411" s="115" t="s">
        <v>1753</v>
      </c>
      <c r="AV411" s="120"/>
      <c r="AW411" s="131" t="s">
        <v>1610</v>
      </c>
      <c r="AX411" s="194">
        <f>IFERROR(IF(PAC!$X411="F01 - CAPTAÇÃO DE RECURSO",1,""),"")</f>
        <v>1</v>
      </c>
      <c r="AY411" s="194" t="str">
        <f>IFERROR(IF(PAC!$X411="F02 - LICITAÇÃO",1,""),"")</f>
        <v/>
      </c>
      <c r="AZ411" s="123" t="str">
        <f>IFERROR(IF(PAC!$X$6:$X$581="F03 - EXECUÇÃO DO OBJETO",1,""),"")</f>
        <v/>
      </c>
      <c r="BA411" s="123" t="str">
        <f>IFERROR(IF(PAC!$X$6:$X$581="F04 - CONCLUÍDA",1,""),"")</f>
        <v/>
      </c>
      <c r="BB411" s="191">
        <f>IF(PAC!$R411&gt;0,0,PAC!$Q411)</f>
        <v>45815368.420000002</v>
      </c>
    </row>
    <row r="412" spans="1:54" s="1" customFormat="1" ht="249.95" customHeight="1" thickBot="1">
      <c r="A412" s="88">
        <f t="shared" si="7"/>
        <v>407</v>
      </c>
      <c r="B412" s="88">
        <v>2025</v>
      </c>
      <c r="C412" s="88" t="s">
        <v>605</v>
      </c>
      <c r="D412" s="88" t="s">
        <v>1010</v>
      </c>
      <c r="E412" s="89" t="s">
        <v>1530</v>
      </c>
      <c r="F412" s="88" t="s">
        <v>577</v>
      </c>
      <c r="G412" s="88" t="s">
        <v>541</v>
      </c>
      <c r="H412" s="40" t="s">
        <v>1243</v>
      </c>
      <c r="I412" s="88" t="s">
        <v>600</v>
      </c>
      <c r="J412" s="88" t="s">
        <v>256</v>
      </c>
      <c r="K412" s="18">
        <v>176395285.74000001</v>
      </c>
      <c r="L412" s="18"/>
      <c r="M412" s="18"/>
      <c r="N412" s="18">
        <f>K412-P412</f>
        <v>8819764.2900000215</v>
      </c>
      <c r="O412" s="18"/>
      <c r="P412" s="18">
        <v>167575521.44999999</v>
      </c>
      <c r="Q412" s="20">
        <f>SUM(PAC!$M412:$P412)</f>
        <v>176395285.74000001</v>
      </c>
      <c r="R412" s="20"/>
      <c r="S412" s="20">
        <f>IF(PAC!$R412&gt;0,PAC!$R412,PAC!$Q412)</f>
        <v>176395285.74000001</v>
      </c>
      <c r="T412" s="20"/>
      <c r="U412" s="103" t="s">
        <v>594</v>
      </c>
      <c r="V412" s="103" t="s">
        <v>1764</v>
      </c>
      <c r="W412" s="104"/>
      <c r="X412" s="104" t="s">
        <v>1418</v>
      </c>
      <c r="Y412" s="101" t="s">
        <v>2473</v>
      </c>
      <c r="Z412" s="87"/>
      <c r="AA412" s="105"/>
      <c r="AB412" s="40" t="s">
        <v>1463</v>
      </c>
      <c r="AC412" s="105" t="s">
        <v>2563</v>
      </c>
      <c r="AD412" s="106"/>
      <c r="AE412" s="105"/>
      <c r="AF412" s="40" t="s">
        <v>1533</v>
      </c>
      <c r="AG412" s="40" t="s">
        <v>2249</v>
      </c>
      <c r="AH412" s="40"/>
      <c r="AI412" s="40"/>
      <c r="AJ412" s="87"/>
      <c r="AK412" s="40"/>
      <c r="AL412" s="40"/>
      <c r="AM412" s="40"/>
      <c r="AN412" s="87">
        <v>46478</v>
      </c>
      <c r="AO412" s="87"/>
      <c r="AP412" s="87"/>
      <c r="AQ412" s="87"/>
      <c r="AR412" s="107"/>
      <c r="AS412" s="107"/>
      <c r="AT412" s="102" t="s">
        <v>1750</v>
      </c>
      <c r="AU412" s="40" t="s">
        <v>2546</v>
      </c>
      <c r="AV412" s="106"/>
      <c r="AW412" s="105" t="s">
        <v>2564</v>
      </c>
      <c r="AX412" s="109" t="str">
        <f>IFERROR(IF(PAC!$X412="F01 - CAPTAÇÃO DE RECURSO",1,""),"")</f>
        <v/>
      </c>
      <c r="AY412" s="109">
        <f>IFERROR(IF(PAC!$X412="F02 - LICITAÇÃO",1,""),"")</f>
        <v>1</v>
      </c>
      <c r="AZ412" s="110" t="str">
        <f>IFERROR(IF(PAC!$X$6:$X$581="F03 - EXECUÇÃO DO OBJETO",1,""),"")</f>
        <v/>
      </c>
      <c r="BA412" s="110" t="str">
        <f>IFERROR(IF(PAC!$X$6:$X$581="F04 - CONCLUÍDA",1,""),"")</f>
        <v/>
      </c>
      <c r="BB412" s="111">
        <f>IF(PAC!$R412&gt;0,0,PAC!$Q412)</f>
        <v>176395285.74000001</v>
      </c>
    </row>
    <row r="413" spans="1:54" s="1" customFormat="1" ht="249.95" customHeight="1" thickBot="1">
      <c r="A413" s="112">
        <f t="shared" si="7"/>
        <v>408</v>
      </c>
      <c r="B413" s="112">
        <v>2025</v>
      </c>
      <c r="C413" s="112" t="s">
        <v>605</v>
      </c>
      <c r="D413" s="112" t="s">
        <v>1010</v>
      </c>
      <c r="E413" s="130" t="s">
        <v>1531</v>
      </c>
      <c r="F413" s="112" t="s">
        <v>577</v>
      </c>
      <c r="G413" s="112" t="s">
        <v>541</v>
      </c>
      <c r="H413" s="115" t="s">
        <v>1243</v>
      </c>
      <c r="I413" s="112" t="s">
        <v>600</v>
      </c>
      <c r="J413" s="112" t="s">
        <v>278</v>
      </c>
      <c r="K413" s="31">
        <v>93880447.640000001</v>
      </c>
      <c r="L413" s="31"/>
      <c r="M413" s="31"/>
      <c r="N413" s="31">
        <f>K413-P413</f>
        <v>4694022.3799999952</v>
      </c>
      <c r="O413" s="31"/>
      <c r="P413" s="31">
        <v>89186425.260000005</v>
      </c>
      <c r="Q413" s="33">
        <f>SUM(PAC!$M413:$P413)</f>
        <v>93880447.640000001</v>
      </c>
      <c r="R413" s="33">
        <v>73015794.180000007</v>
      </c>
      <c r="S413" s="33">
        <f>IF(PAC!$R413&gt;0,PAC!$R413,PAC!$Q413)</f>
        <v>73015794.180000007</v>
      </c>
      <c r="T413" s="33" t="s">
        <v>1761</v>
      </c>
      <c r="U413" s="116" t="s">
        <v>594</v>
      </c>
      <c r="V413" s="116" t="s">
        <v>1764</v>
      </c>
      <c r="W413" s="117">
        <v>24</v>
      </c>
      <c r="X413" s="117" t="s">
        <v>1694</v>
      </c>
      <c r="Y413" s="113" t="s">
        <v>2470</v>
      </c>
      <c r="Z413" s="118">
        <v>46697</v>
      </c>
      <c r="AA413" s="119">
        <v>1</v>
      </c>
      <c r="AB413" s="115" t="s">
        <v>1472</v>
      </c>
      <c r="AC413" s="122" t="s">
        <v>2276</v>
      </c>
      <c r="AD413" s="120">
        <v>46697</v>
      </c>
      <c r="AE413" s="115" t="s">
        <v>1296</v>
      </c>
      <c r="AF413" s="115" t="s">
        <v>1534</v>
      </c>
      <c r="AG413" s="115" t="s">
        <v>2253</v>
      </c>
      <c r="AH413" s="115"/>
      <c r="AI413" s="115"/>
      <c r="AJ413" s="118"/>
      <c r="AK413" s="115"/>
      <c r="AL413" s="115"/>
      <c r="AM413" s="115"/>
      <c r="AN413" s="118">
        <v>44855</v>
      </c>
      <c r="AO413" s="118">
        <v>44924</v>
      </c>
      <c r="AP413" s="118">
        <v>45705</v>
      </c>
      <c r="AQ413" s="118">
        <v>45984</v>
      </c>
      <c r="AR413" s="121">
        <v>46697</v>
      </c>
      <c r="AS413" s="121">
        <v>46697</v>
      </c>
      <c r="AT413" s="114" t="s">
        <v>1747</v>
      </c>
      <c r="AU413" s="114" t="s">
        <v>2547</v>
      </c>
      <c r="AV413" s="120"/>
      <c r="AW413" s="119" t="s">
        <v>1610</v>
      </c>
      <c r="AX413" s="194" t="str">
        <f>IFERROR(IF(PAC!$X413="F01 - CAPTAÇÃO DE RECURSO",1,""),"")</f>
        <v/>
      </c>
      <c r="AY413" s="194" t="str">
        <f>IFERROR(IF(PAC!$X413="F02 - LICITAÇÃO",1,""),"")</f>
        <v/>
      </c>
      <c r="AZ413" s="123">
        <f>IFERROR(IF(PAC!$X$6:$X$581="F03 - EXECUÇÃO DO OBJETO",1,""),"")</f>
        <v>1</v>
      </c>
      <c r="BA413" s="123" t="str">
        <f>IFERROR(IF(PAC!$X$6:$X$581="F04 - CONCLUÍDA",1,""),"")</f>
        <v/>
      </c>
      <c r="BB413" s="191">
        <f>IF(PAC!$R413&gt;0,0,PAC!$Q413)</f>
        <v>0</v>
      </c>
    </row>
    <row r="414" spans="1:54" s="1" customFormat="1" ht="249.95" customHeight="1" thickBot="1">
      <c r="A414" s="88">
        <f t="shared" si="7"/>
        <v>409</v>
      </c>
      <c r="B414" s="88">
        <v>2025</v>
      </c>
      <c r="C414" s="88" t="s">
        <v>605</v>
      </c>
      <c r="D414" s="88" t="s">
        <v>1010</v>
      </c>
      <c r="E414" s="89" t="s">
        <v>1685</v>
      </c>
      <c r="F414" s="88" t="s">
        <v>577</v>
      </c>
      <c r="G414" s="88" t="s">
        <v>541</v>
      </c>
      <c r="H414" s="40" t="s">
        <v>1243</v>
      </c>
      <c r="I414" s="88" t="s">
        <v>600</v>
      </c>
      <c r="J414" s="88" t="s">
        <v>278</v>
      </c>
      <c r="K414" s="18">
        <v>52950804.170000002</v>
      </c>
      <c r="L414" s="18"/>
      <c r="M414" s="18"/>
      <c r="N414" s="18">
        <f>K414*0.05</f>
        <v>2647540.2085000002</v>
      </c>
      <c r="O414" s="18"/>
      <c r="P414" s="18">
        <f>K414*0.95</f>
        <v>50303263.961499996</v>
      </c>
      <c r="Q414" s="20">
        <f>SUM(PAC!$M414:$P414)</f>
        <v>52950804.169999994</v>
      </c>
      <c r="R414" s="18">
        <v>49455000</v>
      </c>
      <c r="S414" s="20">
        <f>IF(PAC!$R414&gt;0,PAC!$R414,PAC!$Q414)</f>
        <v>49455000</v>
      </c>
      <c r="T414" s="20" t="s">
        <v>1687</v>
      </c>
      <c r="U414" s="103" t="s">
        <v>594</v>
      </c>
      <c r="V414" s="103" t="s">
        <v>1764</v>
      </c>
      <c r="W414" s="104">
        <v>36</v>
      </c>
      <c r="X414" s="104" t="s">
        <v>1418</v>
      </c>
      <c r="Y414" s="101" t="s">
        <v>2471</v>
      </c>
      <c r="Z414" s="87"/>
      <c r="AA414" s="105">
        <v>0</v>
      </c>
      <c r="AB414" s="105" t="s">
        <v>1471</v>
      </c>
      <c r="AC414" s="40" t="s">
        <v>2548</v>
      </c>
      <c r="AD414" s="106"/>
      <c r="AE414" s="40" t="s">
        <v>1296</v>
      </c>
      <c r="AF414" s="40" t="s">
        <v>1535</v>
      </c>
      <c r="AG414" s="40" t="s">
        <v>2250</v>
      </c>
      <c r="AH414" s="40"/>
      <c r="AI414" s="40"/>
      <c r="AJ414" s="87"/>
      <c r="AK414" s="40"/>
      <c r="AL414" s="40"/>
      <c r="AM414" s="40"/>
      <c r="AN414" s="87">
        <v>45813</v>
      </c>
      <c r="AO414" s="87">
        <v>45883</v>
      </c>
      <c r="AP414" s="87">
        <v>45993</v>
      </c>
      <c r="AQ414" s="87"/>
      <c r="AR414" s="107"/>
      <c r="AS414" s="107"/>
      <c r="AT414" s="126" t="s">
        <v>2550</v>
      </c>
      <c r="AU414" s="108" t="s">
        <v>1754</v>
      </c>
      <c r="AV414" s="106"/>
      <c r="AW414" s="105" t="s">
        <v>1610</v>
      </c>
      <c r="AX414" s="109" t="str">
        <f>IFERROR(IF(PAC!$X414="F01 - CAPTAÇÃO DE RECURSO",1,""),"")</f>
        <v/>
      </c>
      <c r="AY414" s="109">
        <f>IFERROR(IF(PAC!$X414="F02 - LICITAÇÃO",1,""),"")</f>
        <v>1</v>
      </c>
      <c r="AZ414" s="110" t="str">
        <f>IFERROR(IF(PAC!$X$6:$X$581="F03 - EXECUÇÃO DO OBJETO",1,""),"")</f>
        <v/>
      </c>
      <c r="BA414" s="110" t="str">
        <f>IFERROR(IF(PAC!$X$6:$X$581="F04 - CONCLUÍDA",1,""),"")</f>
        <v/>
      </c>
      <c r="BB414" s="111">
        <f>IF(PAC!$R414&gt;0,0,PAC!$Q414)</f>
        <v>0</v>
      </c>
    </row>
    <row r="415" spans="1:54" s="1" customFormat="1" ht="249.95" customHeight="1" thickBot="1">
      <c r="A415" s="112">
        <f t="shared" si="7"/>
        <v>410</v>
      </c>
      <c r="B415" s="112">
        <v>2025</v>
      </c>
      <c r="C415" s="112" t="s">
        <v>605</v>
      </c>
      <c r="D415" s="112" t="s">
        <v>1010</v>
      </c>
      <c r="E415" s="130" t="s">
        <v>1532</v>
      </c>
      <c r="F415" s="112" t="s">
        <v>577</v>
      </c>
      <c r="G415" s="112" t="s">
        <v>541</v>
      </c>
      <c r="H415" s="115" t="s">
        <v>1243</v>
      </c>
      <c r="I415" s="112" t="s">
        <v>600</v>
      </c>
      <c r="J415" s="112" t="s">
        <v>334</v>
      </c>
      <c r="K415" s="31">
        <v>140751524.96000001</v>
      </c>
      <c r="L415" s="31"/>
      <c r="M415" s="31"/>
      <c r="N415" s="31">
        <f>K415-P415</f>
        <v>7037576.2500000149</v>
      </c>
      <c r="O415" s="31"/>
      <c r="P415" s="31">
        <v>133713948.70999999</v>
      </c>
      <c r="Q415" s="33">
        <f>SUM(PAC!$M415:$P415)</f>
        <v>140751524.96000001</v>
      </c>
      <c r="R415" s="33"/>
      <c r="S415" s="33">
        <f>IF(PAC!$R415&gt;0,PAC!$R415,PAC!$Q415)</f>
        <v>140751524.96000001</v>
      </c>
      <c r="T415" s="33"/>
      <c r="U415" s="116" t="s">
        <v>594</v>
      </c>
      <c r="V415" s="116" t="s">
        <v>1764</v>
      </c>
      <c r="W415" s="117"/>
      <c r="X415" s="117" t="s">
        <v>1418</v>
      </c>
      <c r="Y415" s="113" t="s">
        <v>2473</v>
      </c>
      <c r="Z415" s="118"/>
      <c r="AA415" s="119"/>
      <c r="AB415" s="115" t="s">
        <v>1463</v>
      </c>
      <c r="AC415" s="122" t="s">
        <v>2530</v>
      </c>
      <c r="AD415" s="120">
        <v>46266</v>
      </c>
      <c r="AE415" s="115" t="s">
        <v>2274</v>
      </c>
      <c r="AF415" s="115" t="s">
        <v>1536</v>
      </c>
      <c r="AG415" s="115" t="s">
        <v>2252</v>
      </c>
      <c r="AH415" s="115"/>
      <c r="AI415" s="115"/>
      <c r="AJ415" s="118"/>
      <c r="AK415" s="115"/>
      <c r="AL415" s="115"/>
      <c r="AM415" s="115"/>
      <c r="AN415" s="118">
        <v>46356</v>
      </c>
      <c r="AO415" s="118"/>
      <c r="AP415" s="118"/>
      <c r="AQ415" s="118"/>
      <c r="AR415" s="121"/>
      <c r="AS415" s="121"/>
      <c r="AT415" s="114" t="s">
        <v>1741</v>
      </c>
      <c r="AU415" s="115" t="s">
        <v>2529</v>
      </c>
      <c r="AV415" s="120"/>
      <c r="AW415" s="119" t="s">
        <v>1610</v>
      </c>
      <c r="AX415" s="194" t="str">
        <f>IFERROR(IF(PAC!$X415="F01 - CAPTAÇÃO DE RECURSO",1,""),"")</f>
        <v/>
      </c>
      <c r="AY415" s="194">
        <f>IFERROR(IF(PAC!$X415="F02 - LICITAÇÃO",1,""),"")</f>
        <v>1</v>
      </c>
      <c r="AZ415" s="123" t="str">
        <f>IFERROR(IF(PAC!$X$6:$X$581="F03 - EXECUÇÃO DO OBJETO",1,""),"")</f>
        <v/>
      </c>
      <c r="BA415" s="123" t="str">
        <f>IFERROR(IF(PAC!$X$6:$X$581="F04 - CONCLUÍDA",1,""),"")</f>
        <v/>
      </c>
      <c r="BB415" s="191">
        <f>IF(PAC!$R415&gt;0,0,PAC!$Q415)</f>
        <v>140751524.96000001</v>
      </c>
    </row>
    <row r="416" spans="1:54" s="1" customFormat="1" ht="249.95" customHeight="1" thickBot="1">
      <c r="A416" s="88">
        <f t="shared" si="7"/>
        <v>411</v>
      </c>
      <c r="B416" s="88">
        <v>2025</v>
      </c>
      <c r="C416" s="88" t="s">
        <v>605</v>
      </c>
      <c r="D416" s="88" t="s">
        <v>1010</v>
      </c>
      <c r="E416" s="89" t="s">
        <v>1542</v>
      </c>
      <c r="F416" s="88" t="s">
        <v>577</v>
      </c>
      <c r="G416" s="88" t="s">
        <v>541</v>
      </c>
      <c r="H416" s="40" t="s">
        <v>1243</v>
      </c>
      <c r="I416" s="88" t="s">
        <v>600</v>
      </c>
      <c r="J416" s="88" t="s">
        <v>28</v>
      </c>
      <c r="K416" s="18">
        <v>81835289.530000001</v>
      </c>
      <c r="L416" s="18"/>
      <c r="M416" s="18"/>
      <c r="N416" s="18"/>
      <c r="O416" s="18"/>
      <c r="P416" s="18"/>
      <c r="Q416" s="20">
        <f>SUM(PAC!$M416:$P416)</f>
        <v>0</v>
      </c>
      <c r="R416" s="20"/>
      <c r="S416" s="20">
        <f>IF(PAC!$R416&gt;0,PAC!$R416,PAC!$Q416)</f>
        <v>0</v>
      </c>
      <c r="T416" s="20"/>
      <c r="U416" s="103" t="s">
        <v>594</v>
      </c>
      <c r="V416" s="103" t="s">
        <v>1764</v>
      </c>
      <c r="W416" s="104"/>
      <c r="X416" s="104" t="s">
        <v>1419</v>
      </c>
      <c r="Y416" s="101" t="s">
        <v>2486</v>
      </c>
      <c r="Z416" s="87"/>
      <c r="AA416" s="105"/>
      <c r="AB416" s="40"/>
      <c r="AC416" s="40" t="s">
        <v>2049</v>
      </c>
      <c r="AD416" s="106"/>
      <c r="AE416" s="102"/>
      <c r="AF416" s="40" t="s">
        <v>1545</v>
      </c>
      <c r="AG416" s="40"/>
      <c r="AH416" s="40"/>
      <c r="AI416" s="40"/>
      <c r="AJ416" s="87"/>
      <c r="AK416" s="40"/>
      <c r="AL416" s="40"/>
      <c r="AM416" s="40"/>
      <c r="AN416" s="87"/>
      <c r="AO416" s="87"/>
      <c r="AP416" s="87"/>
      <c r="AQ416" s="87"/>
      <c r="AR416" s="107"/>
      <c r="AS416" s="107"/>
      <c r="AT416" s="102" t="s">
        <v>1614</v>
      </c>
      <c r="AU416" s="108"/>
      <c r="AV416" s="106"/>
      <c r="AW416" s="129" t="s">
        <v>1612</v>
      </c>
      <c r="AX416" s="109">
        <f>IFERROR(IF(PAC!$X416="F01 - CAPTAÇÃO DE RECURSO",1,""),"")</f>
        <v>1</v>
      </c>
      <c r="AY416" s="109" t="str">
        <f>IFERROR(IF(PAC!$X416="F02 - LICITAÇÃO",1,""),"")</f>
        <v/>
      </c>
      <c r="AZ416" s="110" t="str">
        <f>IFERROR(IF(PAC!$X$6:$X$581="F03 - EXECUÇÃO DO OBJETO",1,""),"")</f>
        <v/>
      </c>
      <c r="BA416" s="110" t="str">
        <f>IFERROR(IF(PAC!$X$6:$X$581="F04 - CONCLUÍDA",1,""),"")</f>
        <v/>
      </c>
      <c r="BB416" s="111">
        <f>IF(PAC!$R416&gt;0,0,PAC!$Q416)</f>
        <v>0</v>
      </c>
    </row>
    <row r="417" spans="1:54" s="1" customFormat="1" ht="350.1" customHeight="1" thickBot="1">
      <c r="A417" s="112">
        <f t="shared" si="7"/>
        <v>412</v>
      </c>
      <c r="B417" s="112">
        <v>2025</v>
      </c>
      <c r="C417" s="112" t="s">
        <v>605</v>
      </c>
      <c r="D417" s="112" t="s">
        <v>1010</v>
      </c>
      <c r="E417" s="130" t="s">
        <v>1887</v>
      </c>
      <c r="F417" s="112" t="s">
        <v>577</v>
      </c>
      <c r="G417" s="112" t="s">
        <v>541</v>
      </c>
      <c r="H417" s="115" t="s">
        <v>1243</v>
      </c>
      <c r="I417" s="112" t="s">
        <v>600</v>
      </c>
      <c r="J417" s="112" t="s">
        <v>156</v>
      </c>
      <c r="K417" s="31">
        <v>73212470.810000002</v>
      </c>
      <c r="L417" s="31"/>
      <c r="M417" s="31"/>
      <c r="N417" s="31"/>
      <c r="O417" s="31"/>
      <c r="P417" s="31"/>
      <c r="Q417" s="33">
        <f>SUM(PAC!$M417:$P417)</f>
        <v>0</v>
      </c>
      <c r="R417" s="33"/>
      <c r="S417" s="33">
        <f>IF(PAC!$R417&gt;0,PAC!$R417,PAC!$Q417)</f>
        <v>0</v>
      </c>
      <c r="T417" s="33"/>
      <c r="U417" s="116" t="s">
        <v>594</v>
      </c>
      <c r="V417" s="116" t="s">
        <v>1764</v>
      </c>
      <c r="W417" s="117"/>
      <c r="X417" s="117" t="s">
        <v>1419</v>
      </c>
      <c r="Y417" s="113" t="s">
        <v>2486</v>
      </c>
      <c r="Z417" s="118"/>
      <c r="AA417" s="119"/>
      <c r="AB417" s="115"/>
      <c r="AC417" s="115" t="s">
        <v>2048</v>
      </c>
      <c r="AD417" s="120"/>
      <c r="AE417" s="114"/>
      <c r="AF417" s="115" t="s">
        <v>1546</v>
      </c>
      <c r="AG417" s="115"/>
      <c r="AH417" s="115"/>
      <c r="AI417" s="115"/>
      <c r="AJ417" s="118"/>
      <c r="AK417" s="115"/>
      <c r="AL417" s="115"/>
      <c r="AM417" s="115"/>
      <c r="AN417" s="118"/>
      <c r="AO417" s="118"/>
      <c r="AP417" s="118"/>
      <c r="AQ417" s="118"/>
      <c r="AR417" s="121"/>
      <c r="AS417" s="121"/>
      <c r="AT417" s="114" t="s">
        <v>1614</v>
      </c>
      <c r="AU417" s="122"/>
      <c r="AV417" s="120"/>
      <c r="AW417" s="131" t="s">
        <v>1888</v>
      </c>
      <c r="AX417" s="194">
        <f>IFERROR(IF(PAC!$X417="F01 - CAPTAÇÃO DE RECURSO",1,""),"")</f>
        <v>1</v>
      </c>
      <c r="AY417" s="194" t="str">
        <f>IFERROR(IF(PAC!$X417="F02 - LICITAÇÃO",1,""),"")</f>
        <v/>
      </c>
      <c r="AZ417" s="123" t="str">
        <f>IFERROR(IF(PAC!$X$6:$X$581="F03 - EXECUÇÃO DO OBJETO",1,""),"")</f>
        <v/>
      </c>
      <c r="BA417" s="123" t="str">
        <f>IFERROR(IF(PAC!$X$6:$X$581="F04 - CONCLUÍDA",1,""),"")</f>
        <v/>
      </c>
      <c r="BB417" s="191">
        <f>IF(PAC!$R417&gt;0,0,PAC!$Q417)</f>
        <v>0</v>
      </c>
    </row>
    <row r="418" spans="1:54" s="1" customFormat="1" ht="249.95" customHeight="1" thickBot="1">
      <c r="A418" s="88">
        <f t="shared" si="7"/>
        <v>413</v>
      </c>
      <c r="B418" s="88">
        <v>2025</v>
      </c>
      <c r="C418" s="88" t="s">
        <v>605</v>
      </c>
      <c r="D418" s="88" t="s">
        <v>1010</v>
      </c>
      <c r="E418" s="89" t="s">
        <v>1543</v>
      </c>
      <c r="F418" s="88" t="s">
        <v>577</v>
      </c>
      <c r="G418" s="88" t="s">
        <v>541</v>
      </c>
      <c r="H418" s="40" t="s">
        <v>1243</v>
      </c>
      <c r="I418" s="88" t="s">
        <v>600</v>
      </c>
      <c r="J418" s="88" t="s">
        <v>374</v>
      </c>
      <c r="K418" s="18">
        <v>107460120.09</v>
      </c>
      <c r="L418" s="18"/>
      <c r="M418" s="18"/>
      <c r="N418" s="18"/>
      <c r="O418" s="18"/>
      <c r="P418" s="18"/>
      <c r="Q418" s="20">
        <f>SUM(PAC!$M418:$P418)</f>
        <v>0</v>
      </c>
      <c r="R418" s="20"/>
      <c r="S418" s="20">
        <f>IF(PAC!$R418&gt;0,PAC!$R418,PAC!$Q418)</f>
        <v>0</v>
      </c>
      <c r="T418" s="20"/>
      <c r="U418" s="103" t="s">
        <v>594</v>
      </c>
      <c r="V418" s="103" t="s">
        <v>1764</v>
      </c>
      <c r="W418" s="104"/>
      <c r="X418" s="104" t="s">
        <v>1419</v>
      </c>
      <c r="Y418" s="101" t="s">
        <v>2486</v>
      </c>
      <c r="Z418" s="87"/>
      <c r="AA418" s="105"/>
      <c r="AB418" s="40"/>
      <c r="AC418" s="40" t="s">
        <v>2049</v>
      </c>
      <c r="AD418" s="106"/>
      <c r="AE418" s="102"/>
      <c r="AF418" s="40" t="s">
        <v>1547</v>
      </c>
      <c r="AG418" s="40"/>
      <c r="AH418" s="40"/>
      <c r="AI418" s="40"/>
      <c r="AJ418" s="87"/>
      <c r="AK418" s="40"/>
      <c r="AL418" s="40"/>
      <c r="AM418" s="40"/>
      <c r="AN418" s="87"/>
      <c r="AO418" s="87"/>
      <c r="AP418" s="87"/>
      <c r="AQ418" s="87"/>
      <c r="AR418" s="107"/>
      <c r="AS418" s="107"/>
      <c r="AT418" s="102" t="s">
        <v>1614</v>
      </c>
      <c r="AU418" s="108"/>
      <c r="AV418" s="106"/>
      <c r="AW418" s="129" t="s">
        <v>1612</v>
      </c>
      <c r="AX418" s="109">
        <f>IFERROR(IF(PAC!$X418="F01 - CAPTAÇÃO DE RECURSO",1,""),"")</f>
        <v>1</v>
      </c>
      <c r="AY418" s="109" t="str">
        <f>IFERROR(IF(PAC!$X418="F02 - LICITAÇÃO",1,""),"")</f>
        <v/>
      </c>
      <c r="AZ418" s="110" t="str">
        <f>IFERROR(IF(PAC!$X$6:$X$581="F03 - EXECUÇÃO DO OBJETO",1,""),"")</f>
        <v/>
      </c>
      <c r="BA418" s="110" t="str">
        <f>IFERROR(IF(PAC!$X$6:$X$581="F04 - CONCLUÍDA",1,""),"")</f>
        <v/>
      </c>
      <c r="BB418" s="111">
        <f>IF(PAC!$R418&gt;0,0,PAC!$Q418)</f>
        <v>0</v>
      </c>
    </row>
    <row r="419" spans="1:54" s="1" customFormat="1" ht="350.1" customHeight="1" thickBot="1">
      <c r="A419" s="112">
        <f t="shared" si="7"/>
        <v>414</v>
      </c>
      <c r="B419" s="112">
        <v>2025</v>
      </c>
      <c r="C419" s="112" t="s">
        <v>605</v>
      </c>
      <c r="D419" s="112" t="s">
        <v>1010</v>
      </c>
      <c r="E419" s="130" t="s">
        <v>1889</v>
      </c>
      <c r="F419" s="112" t="s">
        <v>577</v>
      </c>
      <c r="G419" s="112" t="s">
        <v>541</v>
      </c>
      <c r="H419" s="115" t="s">
        <v>1243</v>
      </c>
      <c r="I419" s="112" t="s">
        <v>600</v>
      </c>
      <c r="J419" s="112" t="s">
        <v>384</v>
      </c>
      <c r="K419" s="31">
        <v>92234636.480000004</v>
      </c>
      <c r="L419" s="31"/>
      <c r="M419" s="31"/>
      <c r="N419" s="31"/>
      <c r="O419" s="31"/>
      <c r="P419" s="31"/>
      <c r="Q419" s="33">
        <f>SUM(PAC!$M419:$P419)</f>
        <v>0</v>
      </c>
      <c r="R419" s="33"/>
      <c r="S419" s="33">
        <f>IF(PAC!$R419&gt;0,PAC!$R419,PAC!$Q419)</f>
        <v>0</v>
      </c>
      <c r="T419" s="33"/>
      <c r="U419" s="116" t="s">
        <v>594</v>
      </c>
      <c r="V419" s="116" t="s">
        <v>1764</v>
      </c>
      <c r="W419" s="117"/>
      <c r="X419" s="117" t="s">
        <v>1419</v>
      </c>
      <c r="Y419" s="113" t="s">
        <v>2486</v>
      </c>
      <c r="Z419" s="118"/>
      <c r="AA419" s="119"/>
      <c r="AB419" s="115"/>
      <c r="AC419" s="115" t="s">
        <v>1897</v>
      </c>
      <c r="AD419" s="120"/>
      <c r="AE419" s="114"/>
      <c r="AF419" s="115" t="s">
        <v>1548</v>
      </c>
      <c r="AG419" s="115"/>
      <c r="AH419" s="115"/>
      <c r="AI419" s="115"/>
      <c r="AJ419" s="118"/>
      <c r="AK419" s="115"/>
      <c r="AL419" s="115"/>
      <c r="AM419" s="115"/>
      <c r="AN419" s="118"/>
      <c r="AO419" s="118"/>
      <c r="AP419" s="118"/>
      <c r="AQ419" s="118"/>
      <c r="AR419" s="121"/>
      <c r="AS419" s="121"/>
      <c r="AT419" s="114"/>
      <c r="AU419" s="122"/>
      <c r="AV419" s="120"/>
      <c r="AW419" s="112" t="s">
        <v>1877</v>
      </c>
      <c r="AX419" s="194">
        <f>IFERROR(IF(PAC!$X419="F01 - CAPTAÇÃO DE RECURSO",1,""),"")</f>
        <v>1</v>
      </c>
      <c r="AY419" s="194" t="str">
        <f>IFERROR(IF(PAC!$X419="F02 - LICITAÇÃO",1,""),"")</f>
        <v/>
      </c>
      <c r="AZ419" s="123" t="str">
        <f>IFERROR(IF(PAC!$X$6:$X$581="F03 - EXECUÇÃO DO OBJETO",1,""),"")</f>
        <v/>
      </c>
      <c r="BA419" s="123" t="str">
        <f>IFERROR(IF(PAC!$X$6:$X$581="F04 - CONCLUÍDA",1,""),"")</f>
        <v/>
      </c>
      <c r="BB419" s="191">
        <f>IF(PAC!$R419&gt;0,0,PAC!$Q419)</f>
        <v>0</v>
      </c>
    </row>
    <row r="420" spans="1:54" s="1" customFormat="1" ht="350.1" customHeight="1" thickBot="1">
      <c r="A420" s="88">
        <f t="shared" si="7"/>
        <v>415</v>
      </c>
      <c r="B420" s="88">
        <v>2025</v>
      </c>
      <c r="C420" s="88" t="s">
        <v>605</v>
      </c>
      <c r="D420" s="88" t="s">
        <v>1010</v>
      </c>
      <c r="E420" s="89" t="s">
        <v>1544</v>
      </c>
      <c r="F420" s="88" t="s">
        <v>577</v>
      </c>
      <c r="G420" s="88" t="s">
        <v>541</v>
      </c>
      <c r="H420" s="40" t="s">
        <v>1243</v>
      </c>
      <c r="I420" s="88" t="s">
        <v>600</v>
      </c>
      <c r="J420" s="88" t="s">
        <v>382</v>
      </c>
      <c r="K420" s="18">
        <v>157967451.53</v>
      </c>
      <c r="L420" s="18"/>
      <c r="M420" s="18"/>
      <c r="N420" s="18"/>
      <c r="O420" s="18"/>
      <c r="P420" s="18"/>
      <c r="Q420" s="20">
        <f>SUM(PAC!$M420:$P420)</f>
        <v>0</v>
      </c>
      <c r="R420" s="20"/>
      <c r="S420" s="20">
        <f>IF(PAC!$R420&gt;0,PAC!$R420,PAC!$Q420)</f>
        <v>0</v>
      </c>
      <c r="T420" s="20"/>
      <c r="U420" s="103" t="s">
        <v>594</v>
      </c>
      <c r="V420" s="103" t="s">
        <v>1764</v>
      </c>
      <c r="W420" s="104"/>
      <c r="X420" s="104" t="s">
        <v>1419</v>
      </c>
      <c r="Y420" s="101" t="s">
        <v>2486</v>
      </c>
      <c r="Z420" s="87"/>
      <c r="AA420" s="105"/>
      <c r="AB420" s="40"/>
      <c r="AC420" s="40" t="s">
        <v>2049</v>
      </c>
      <c r="AD420" s="106"/>
      <c r="AE420" s="40"/>
      <c r="AF420" s="40" t="s">
        <v>1549</v>
      </c>
      <c r="AG420" s="40"/>
      <c r="AH420" s="40"/>
      <c r="AI420" s="40"/>
      <c r="AJ420" s="87"/>
      <c r="AK420" s="40"/>
      <c r="AL420" s="40"/>
      <c r="AM420" s="40"/>
      <c r="AN420" s="87"/>
      <c r="AO420" s="87"/>
      <c r="AP420" s="87"/>
      <c r="AQ420" s="87"/>
      <c r="AR420" s="107"/>
      <c r="AS420" s="107"/>
      <c r="AT420" s="102" t="s">
        <v>1614</v>
      </c>
      <c r="AU420" s="108"/>
      <c r="AV420" s="106"/>
      <c r="AW420" s="129" t="s">
        <v>1612</v>
      </c>
      <c r="AX420" s="109">
        <f>IFERROR(IF(PAC!$X420="F01 - CAPTAÇÃO DE RECURSO",1,""),"")</f>
        <v>1</v>
      </c>
      <c r="AY420" s="109" t="str">
        <f>IFERROR(IF(PAC!$X420="F02 - LICITAÇÃO",1,""),"")</f>
        <v/>
      </c>
      <c r="AZ420" s="110" t="str">
        <f>IFERROR(IF(PAC!$X$6:$X$581="F03 - EXECUÇÃO DO OBJETO",1,""),"")</f>
        <v/>
      </c>
      <c r="BA420" s="110" t="str">
        <f>IFERROR(IF(PAC!$X$6:$X$581="F04 - CONCLUÍDA",1,""),"")</f>
        <v/>
      </c>
      <c r="BB420" s="111">
        <f>IF(PAC!$R420&gt;0,0,PAC!$Q420)</f>
        <v>0</v>
      </c>
    </row>
    <row r="421" spans="1:54" s="1" customFormat="1" ht="408.95" customHeight="1" thickBot="1">
      <c r="A421" s="112">
        <f t="shared" si="7"/>
        <v>416</v>
      </c>
      <c r="B421" s="112">
        <v>2025</v>
      </c>
      <c r="C421" s="112" t="s">
        <v>605</v>
      </c>
      <c r="D421" s="112" t="s">
        <v>1010</v>
      </c>
      <c r="E421" s="130" t="s">
        <v>1686</v>
      </c>
      <c r="F421" s="115" t="s">
        <v>577</v>
      </c>
      <c r="G421" s="115" t="s">
        <v>541</v>
      </c>
      <c r="H421" s="112" t="s">
        <v>1243</v>
      </c>
      <c r="I421" s="112" t="s">
        <v>600</v>
      </c>
      <c r="J421" s="112" t="s">
        <v>278</v>
      </c>
      <c r="K421" s="31">
        <v>47430504.019999996</v>
      </c>
      <c r="L421" s="31"/>
      <c r="M421" s="31"/>
      <c r="N421" s="31">
        <f>K421*0.05</f>
        <v>2371525.2009999999</v>
      </c>
      <c r="O421" s="31"/>
      <c r="P421" s="31">
        <f>K421*0.95</f>
        <v>45058978.818999991</v>
      </c>
      <c r="Q421" s="33">
        <f>SUM(PAC!$M421:$P421)</f>
        <v>47430504.019999988</v>
      </c>
      <c r="R421" s="33"/>
      <c r="S421" s="33">
        <f>IF(PAC!$R421&gt;0,PAC!$R421,PAC!$Q421)</f>
        <v>47430504.019999988</v>
      </c>
      <c r="T421" s="33"/>
      <c r="U421" s="116" t="s">
        <v>594</v>
      </c>
      <c r="V421" s="116" t="s">
        <v>1764</v>
      </c>
      <c r="W421" s="117"/>
      <c r="X421" s="117" t="s">
        <v>1418</v>
      </c>
      <c r="Y421" s="113" t="s">
        <v>2473</v>
      </c>
      <c r="Z421" s="117"/>
      <c r="AA421" s="117"/>
      <c r="AB421" s="117" t="s">
        <v>1463</v>
      </c>
      <c r="AC421" s="115" t="s">
        <v>2319</v>
      </c>
      <c r="AD421" s="120"/>
      <c r="AE421" s="115" t="s">
        <v>1883</v>
      </c>
      <c r="AF421" s="115" t="s">
        <v>1535</v>
      </c>
      <c r="AG421" s="115" t="s">
        <v>2250</v>
      </c>
      <c r="AH421" s="115"/>
      <c r="AI421" s="115"/>
      <c r="AJ421" s="118"/>
      <c r="AK421" s="115"/>
      <c r="AL421" s="115"/>
      <c r="AM421" s="115"/>
      <c r="AN421" s="118">
        <v>46447</v>
      </c>
      <c r="AO421" s="118"/>
      <c r="AP421" s="118"/>
      <c r="AQ421" s="118"/>
      <c r="AR421" s="121"/>
      <c r="AS421" s="121"/>
      <c r="AT421" s="114" t="s">
        <v>1740</v>
      </c>
      <c r="AU421" s="115" t="s">
        <v>2421</v>
      </c>
      <c r="AV421" s="120"/>
      <c r="AW421" s="112" t="s">
        <v>1884</v>
      </c>
      <c r="AX421" s="194" t="str">
        <f>IFERROR(IF(PAC!$X421="F01 - CAPTAÇÃO DE RECURSO",1,""),"")</f>
        <v/>
      </c>
      <c r="AY421" s="194">
        <f>IFERROR(IF(PAC!$X421="F02 - LICITAÇÃO",1,""),"")</f>
        <v>1</v>
      </c>
      <c r="AZ421" s="123" t="str">
        <f>IFERROR(IF(PAC!$X$6:$X$581="F03 - EXECUÇÃO DO OBJETO",1,""),"")</f>
        <v/>
      </c>
      <c r="BA421" s="123" t="str">
        <f>IFERROR(IF(PAC!$X$6:$X$581="F04 - CONCLUÍDA",1,""),"")</f>
        <v/>
      </c>
      <c r="BB421" s="191">
        <f>IF(PAC!$R421&gt;0,0,PAC!$Q421)</f>
        <v>47430504.019999988</v>
      </c>
    </row>
    <row r="422" spans="1:54" s="1" customFormat="1" ht="408.95" customHeight="1" thickBot="1">
      <c r="A422" s="88">
        <f t="shared" si="7"/>
        <v>417</v>
      </c>
      <c r="B422" s="88">
        <v>2026</v>
      </c>
      <c r="C422" s="88" t="s">
        <v>605</v>
      </c>
      <c r="D422" s="88" t="s">
        <v>1010</v>
      </c>
      <c r="E422" s="89" t="s">
        <v>2456</v>
      </c>
      <c r="F422" s="40" t="s">
        <v>577</v>
      </c>
      <c r="G422" s="40" t="s">
        <v>541</v>
      </c>
      <c r="H422" s="88" t="s">
        <v>1243</v>
      </c>
      <c r="I422" s="88" t="s">
        <v>600</v>
      </c>
      <c r="J422" s="88" t="s">
        <v>361</v>
      </c>
      <c r="K422" s="18">
        <v>169778963.59999999</v>
      </c>
      <c r="L422" s="18"/>
      <c r="M422" s="18"/>
      <c r="N422" s="18"/>
      <c r="O422" s="18"/>
      <c r="P422" s="18"/>
      <c r="Q422" s="20">
        <f>SUM(PAC!$M422:$P422)</f>
        <v>0</v>
      </c>
      <c r="R422" s="20"/>
      <c r="S422" s="20">
        <f>IF(PAC!$R422&gt;0,PAC!$R422,PAC!$Q422)</f>
        <v>0</v>
      </c>
      <c r="T422" s="20"/>
      <c r="U422" s="103" t="s">
        <v>594</v>
      </c>
      <c r="V422" s="103"/>
      <c r="W422" s="104"/>
      <c r="X422" s="104" t="s">
        <v>1419</v>
      </c>
      <c r="Y422" s="101" t="s">
        <v>2480</v>
      </c>
      <c r="Z422" s="87"/>
      <c r="AA422" s="105"/>
      <c r="AB422" s="40"/>
      <c r="AC422" s="40" t="s">
        <v>2457</v>
      </c>
      <c r="AD422" s="106"/>
      <c r="AE422" s="102" t="s">
        <v>1288</v>
      </c>
      <c r="AF422" s="40" t="s">
        <v>2453</v>
      </c>
      <c r="AG422" s="40"/>
      <c r="AH422" s="40"/>
      <c r="AI422" s="40"/>
      <c r="AJ422" s="87"/>
      <c r="AK422" s="40"/>
      <c r="AL422" s="40"/>
      <c r="AM422" s="40"/>
      <c r="AN422" s="87"/>
      <c r="AO422" s="87"/>
      <c r="AP422" s="87"/>
      <c r="AQ422" s="87"/>
      <c r="AR422" s="107"/>
      <c r="AS422" s="107"/>
      <c r="AT422" s="102"/>
      <c r="AU422" s="108"/>
      <c r="AV422" s="106"/>
      <c r="AW422" s="129"/>
      <c r="AX422" s="109">
        <f>IFERROR(IF(PAC!$X422="F01 - CAPTAÇÃO DE RECURSO",1,""),"")</f>
        <v>1</v>
      </c>
      <c r="AY422" s="109" t="str">
        <f>IFERROR(IF(PAC!$X422="F02 - LICITAÇÃO",1,""),"")</f>
        <v/>
      </c>
      <c r="AZ422" s="110" t="str">
        <f>IFERROR(IF(PAC!$X$6:$X$581="F03 - EXECUÇÃO DO OBJETO",1,""),"")</f>
        <v/>
      </c>
      <c r="BA422" s="110" t="str">
        <f>IFERROR(IF(PAC!$X$6:$X$581="F04 - CONCLUÍDA",1,""),"")</f>
        <v/>
      </c>
      <c r="BB422" s="111">
        <f>IF(PAC!$R422&gt;0,0,PAC!$Q422)</f>
        <v>0</v>
      </c>
    </row>
    <row r="423" spans="1:54" s="1" customFormat="1" ht="249.95" customHeight="1" thickBot="1">
      <c r="A423" s="112">
        <f t="shared" si="7"/>
        <v>418</v>
      </c>
      <c r="B423" s="112">
        <v>2026</v>
      </c>
      <c r="C423" s="112" t="s">
        <v>605</v>
      </c>
      <c r="D423" s="112" t="s">
        <v>1010</v>
      </c>
      <c r="E423" s="130" t="s">
        <v>2458</v>
      </c>
      <c r="F423" s="112" t="s">
        <v>577</v>
      </c>
      <c r="G423" s="112" t="s">
        <v>541</v>
      </c>
      <c r="H423" s="112" t="s">
        <v>1243</v>
      </c>
      <c r="I423" s="112" t="s">
        <v>600</v>
      </c>
      <c r="J423" s="112" t="s">
        <v>233</v>
      </c>
      <c r="K423" s="31">
        <v>77184794.239999995</v>
      </c>
      <c r="L423" s="31"/>
      <c r="M423" s="31"/>
      <c r="N423" s="31"/>
      <c r="O423" s="31"/>
      <c r="P423" s="31"/>
      <c r="Q423" s="33">
        <f>SUM(PAC!$M423:$P423)</f>
        <v>0</v>
      </c>
      <c r="R423" s="33"/>
      <c r="S423" s="33">
        <f>IF(PAC!$R423&gt;0,PAC!$R423,PAC!$Q423)</f>
        <v>0</v>
      </c>
      <c r="T423" s="33"/>
      <c r="U423" s="116" t="s">
        <v>594</v>
      </c>
      <c r="V423" s="116"/>
      <c r="W423" s="117"/>
      <c r="X423" s="117" t="s">
        <v>1419</v>
      </c>
      <c r="Y423" s="113" t="s">
        <v>2479</v>
      </c>
      <c r="Z423" s="118"/>
      <c r="AA423" s="119"/>
      <c r="AB423" s="115"/>
      <c r="AC423" s="115" t="s">
        <v>2533</v>
      </c>
      <c r="AD423" s="120"/>
      <c r="AE423" s="114" t="s">
        <v>1288</v>
      </c>
      <c r="AF423" s="115" t="s">
        <v>2454</v>
      </c>
      <c r="AG423" s="115"/>
      <c r="AH423" s="115"/>
      <c r="AI423" s="115"/>
      <c r="AJ423" s="118"/>
      <c r="AK423" s="115"/>
      <c r="AL423" s="115"/>
      <c r="AM423" s="115"/>
      <c r="AN423" s="118"/>
      <c r="AO423" s="118"/>
      <c r="AP423" s="118"/>
      <c r="AQ423" s="118"/>
      <c r="AR423" s="121"/>
      <c r="AS423" s="121"/>
      <c r="AT423" s="114"/>
      <c r="AU423" s="122"/>
      <c r="AV423" s="120"/>
      <c r="AW423" s="131"/>
      <c r="AX423" s="194">
        <f>IFERROR(IF(PAC!$X423="F01 - CAPTAÇÃO DE RECURSO",1,""),"")</f>
        <v>1</v>
      </c>
      <c r="AY423" s="194" t="str">
        <f>IFERROR(IF(PAC!$X423="F02 - LICITAÇÃO",1,""),"")</f>
        <v/>
      </c>
      <c r="AZ423" s="123" t="str">
        <f>IFERROR(IF(PAC!$X$6:$X$581="F03 - EXECUÇÃO DO OBJETO",1,""),"")</f>
        <v/>
      </c>
      <c r="BA423" s="123" t="str">
        <f>IFERROR(IF(PAC!$X$6:$X$581="F04 - CONCLUÍDA",1,""),"")</f>
        <v/>
      </c>
      <c r="BB423" s="191">
        <f>IF(PAC!$R423&gt;0,0,PAC!$Q423)</f>
        <v>0</v>
      </c>
    </row>
    <row r="424" spans="1:54" s="1" customFormat="1" ht="249.95" customHeight="1" thickBot="1">
      <c r="A424" s="88">
        <f t="shared" si="7"/>
        <v>419</v>
      </c>
      <c r="B424" s="88">
        <v>2026</v>
      </c>
      <c r="C424" s="88" t="s">
        <v>605</v>
      </c>
      <c r="D424" s="88" t="s">
        <v>1010</v>
      </c>
      <c r="E424" s="89" t="s">
        <v>706</v>
      </c>
      <c r="F424" s="40" t="s">
        <v>577</v>
      </c>
      <c r="G424" s="40" t="s">
        <v>541</v>
      </c>
      <c r="H424" s="88" t="s">
        <v>1243</v>
      </c>
      <c r="I424" s="88" t="s">
        <v>600</v>
      </c>
      <c r="J424" s="88" t="s">
        <v>149</v>
      </c>
      <c r="K424" s="18">
        <v>98890411.239999995</v>
      </c>
      <c r="L424" s="18"/>
      <c r="M424" s="18"/>
      <c r="N424" s="18"/>
      <c r="O424" s="18"/>
      <c r="P424" s="18"/>
      <c r="Q424" s="20">
        <f>SUM(PAC!$M424:$P424)</f>
        <v>0</v>
      </c>
      <c r="R424" s="20"/>
      <c r="S424" s="20">
        <f>IF(PAC!$R424&gt;0,PAC!$R424,PAC!$Q424)</f>
        <v>0</v>
      </c>
      <c r="T424" s="20"/>
      <c r="U424" s="103" t="s">
        <v>594</v>
      </c>
      <c r="V424" s="103"/>
      <c r="W424" s="104"/>
      <c r="X424" s="104" t="s">
        <v>1419</v>
      </c>
      <c r="Y424" s="101" t="s">
        <v>2479</v>
      </c>
      <c r="Z424" s="87"/>
      <c r="AA424" s="105"/>
      <c r="AB424" s="40"/>
      <c r="AC424" s="40" t="s">
        <v>2533</v>
      </c>
      <c r="AD424" s="106"/>
      <c r="AE424" s="102" t="s">
        <v>1288</v>
      </c>
      <c r="AF424" s="40" t="s">
        <v>2455</v>
      </c>
      <c r="AG424" s="40"/>
      <c r="AH424" s="40"/>
      <c r="AI424" s="40"/>
      <c r="AJ424" s="87"/>
      <c r="AK424" s="40"/>
      <c r="AL424" s="40"/>
      <c r="AM424" s="40"/>
      <c r="AN424" s="87"/>
      <c r="AO424" s="87"/>
      <c r="AP424" s="87"/>
      <c r="AQ424" s="87"/>
      <c r="AR424" s="107"/>
      <c r="AS424" s="107"/>
      <c r="AT424" s="102"/>
      <c r="AU424" s="108"/>
      <c r="AV424" s="106"/>
      <c r="AW424" s="129"/>
      <c r="AX424" s="109">
        <f>IFERROR(IF(PAC!$X424="F01 - CAPTAÇÃO DE RECURSO",1,""),"")</f>
        <v>1</v>
      </c>
      <c r="AY424" s="109" t="str">
        <f>IFERROR(IF(PAC!$X424="F02 - LICITAÇÃO",1,""),"")</f>
        <v/>
      </c>
      <c r="AZ424" s="110" t="str">
        <f>IFERROR(IF(PAC!$X$6:$X$581="F03 - EXECUÇÃO DO OBJETO",1,""),"")</f>
        <v/>
      </c>
      <c r="BA424" s="110" t="str">
        <f>IFERROR(IF(PAC!$X$6:$X$581="F04 - CONCLUÍDA",1,""),"")</f>
        <v/>
      </c>
      <c r="BB424" s="111">
        <f>IF(PAC!$R424&gt;0,0,PAC!$Q424)</f>
        <v>0</v>
      </c>
    </row>
    <row r="425" spans="1:54" s="1" customFormat="1" ht="249.95" customHeight="1" thickBot="1">
      <c r="A425" s="112">
        <f t="shared" si="7"/>
        <v>420</v>
      </c>
      <c r="B425" s="113">
        <v>2023</v>
      </c>
      <c r="C425" s="112" t="s">
        <v>605</v>
      </c>
      <c r="D425" s="112" t="s">
        <v>1010</v>
      </c>
      <c r="E425" s="114" t="s">
        <v>1297</v>
      </c>
      <c r="F425" s="112" t="s">
        <v>576</v>
      </c>
      <c r="G425" s="112" t="s">
        <v>595</v>
      </c>
      <c r="H425" s="115" t="s">
        <v>1243</v>
      </c>
      <c r="I425" s="112" t="s">
        <v>601</v>
      </c>
      <c r="J425" s="112" t="s">
        <v>113</v>
      </c>
      <c r="K425" s="31"/>
      <c r="L425" s="31">
        <v>36888433.670000002</v>
      </c>
      <c r="M425" s="31">
        <v>27876586.690000001</v>
      </c>
      <c r="N425" s="31">
        <v>5959749.75</v>
      </c>
      <c r="O425" s="31"/>
      <c r="P425" s="31"/>
      <c r="Q425" s="33">
        <f>SUM(PAC!$M425:$P425)</f>
        <v>33836336.439999998</v>
      </c>
      <c r="R425" s="33">
        <v>33595853.840000004</v>
      </c>
      <c r="S425" s="33">
        <f>IF(PAC!$R425&gt;0,PAC!$R425,PAC!$Q425)</f>
        <v>33595853.840000004</v>
      </c>
      <c r="T425" s="33" t="s">
        <v>1622</v>
      </c>
      <c r="U425" s="116" t="s">
        <v>1570</v>
      </c>
      <c r="V425" s="116"/>
      <c r="W425" s="117">
        <v>12</v>
      </c>
      <c r="X425" s="117" t="s">
        <v>1694</v>
      </c>
      <c r="Y425" s="113" t="s">
        <v>2470</v>
      </c>
      <c r="Z425" s="118">
        <v>46495</v>
      </c>
      <c r="AA425" s="119">
        <v>17.84</v>
      </c>
      <c r="AB425" s="115" t="s">
        <v>1472</v>
      </c>
      <c r="AC425" s="114" t="s">
        <v>1296</v>
      </c>
      <c r="AD425" s="120">
        <v>46495</v>
      </c>
      <c r="AE425" s="127" t="s">
        <v>1296</v>
      </c>
      <c r="AF425" s="115" t="s">
        <v>522</v>
      </c>
      <c r="AG425" s="115" t="s">
        <v>2614</v>
      </c>
      <c r="AH425" s="115" t="s">
        <v>977</v>
      </c>
      <c r="AI425" s="115"/>
      <c r="AJ425" s="118">
        <v>46739</v>
      </c>
      <c r="AK425" s="115"/>
      <c r="AL425" s="115"/>
      <c r="AM425" s="115"/>
      <c r="AN425" s="118">
        <v>45813</v>
      </c>
      <c r="AO425" s="118">
        <v>45839</v>
      </c>
      <c r="AP425" s="118">
        <v>45939</v>
      </c>
      <c r="AQ425" s="118">
        <v>46128</v>
      </c>
      <c r="AR425" s="121">
        <v>46495</v>
      </c>
      <c r="AS425" s="121">
        <v>46495</v>
      </c>
      <c r="AT425" s="125" t="s">
        <v>2204</v>
      </c>
      <c r="AU425" s="114" t="s">
        <v>2205</v>
      </c>
      <c r="AV425" s="120"/>
      <c r="AW425" s="131" t="s">
        <v>1610</v>
      </c>
      <c r="AX425" s="194" t="str">
        <f>IFERROR(IF(PAC!$X425="F01 - CAPTAÇÃO DE RECURSO",1,""),"")</f>
        <v/>
      </c>
      <c r="AY425" s="194" t="str">
        <f>IFERROR(IF(PAC!$X425="F02 - LICITAÇÃO",1,""),"")</f>
        <v/>
      </c>
      <c r="AZ425" s="123">
        <f>IFERROR(IF(PAC!$X$6:$X$581="F03 - EXECUÇÃO DO OBJETO",1,""),"")</f>
        <v>1</v>
      </c>
      <c r="BA425" s="123" t="str">
        <f>IFERROR(IF(PAC!$X$6:$X$581="F04 - CONCLUÍDA",1,""),"")</f>
        <v/>
      </c>
      <c r="BB425" s="191">
        <f>IF(PAC!$R425&gt;0,0,PAC!$Q425)</f>
        <v>0</v>
      </c>
    </row>
    <row r="426" spans="1:54" s="1" customFormat="1" ht="249.95" customHeight="1" thickBot="1">
      <c r="A426" s="88">
        <f t="shared" si="7"/>
        <v>421</v>
      </c>
      <c r="B426" s="101">
        <v>2023</v>
      </c>
      <c r="C426" s="88" t="s">
        <v>605</v>
      </c>
      <c r="D426" s="88" t="s">
        <v>1010</v>
      </c>
      <c r="E426" s="102" t="s">
        <v>1298</v>
      </c>
      <c r="F426" s="88" t="s">
        <v>576</v>
      </c>
      <c r="G426" s="88" t="s">
        <v>595</v>
      </c>
      <c r="H426" s="40" t="s">
        <v>1243</v>
      </c>
      <c r="I426" s="88" t="s">
        <v>601</v>
      </c>
      <c r="J426" s="88" t="s">
        <v>149</v>
      </c>
      <c r="K426" s="18"/>
      <c r="L426" s="18">
        <v>15786814.890000001</v>
      </c>
      <c r="M426" s="18">
        <v>5262271.63</v>
      </c>
      <c r="N426" s="18">
        <v>10508096.59</v>
      </c>
      <c r="O426" s="18"/>
      <c r="P426" s="18"/>
      <c r="Q426" s="20">
        <f>SUM(PAC!$M426:$P426)</f>
        <v>15770368.219999999</v>
      </c>
      <c r="R426" s="20">
        <v>15564213.23</v>
      </c>
      <c r="S426" s="20">
        <f>IF(PAC!$R426&gt;0,PAC!$R426,PAC!$Q426)</f>
        <v>15564213.23</v>
      </c>
      <c r="T426" s="20" t="s">
        <v>1620</v>
      </c>
      <c r="U426" s="103" t="s">
        <v>1570</v>
      </c>
      <c r="V426" s="103"/>
      <c r="W426" s="104">
        <v>12</v>
      </c>
      <c r="X426" s="104" t="s">
        <v>1418</v>
      </c>
      <c r="Y426" s="101" t="s">
        <v>2472</v>
      </c>
      <c r="Z426" s="87"/>
      <c r="AA426" s="105"/>
      <c r="AB426" s="40" t="s">
        <v>1468</v>
      </c>
      <c r="AC426" s="126" t="s">
        <v>2671</v>
      </c>
      <c r="AD426" s="106"/>
      <c r="AE426" s="128" t="s">
        <v>2561</v>
      </c>
      <c r="AF426" s="40" t="s">
        <v>523</v>
      </c>
      <c r="AG426" s="40" t="s">
        <v>2615</v>
      </c>
      <c r="AH426" s="40" t="s">
        <v>977</v>
      </c>
      <c r="AI426" s="40"/>
      <c r="AJ426" s="87">
        <v>46739</v>
      </c>
      <c r="AK426" s="40"/>
      <c r="AL426" s="40"/>
      <c r="AM426" s="40"/>
      <c r="AN426" s="87">
        <v>45734</v>
      </c>
      <c r="AO426" s="87">
        <v>45789</v>
      </c>
      <c r="AP426" s="87">
        <v>46170</v>
      </c>
      <c r="AQ426" s="87"/>
      <c r="AR426" s="107"/>
      <c r="AS426" s="107"/>
      <c r="AT426" s="124" t="s">
        <v>2206</v>
      </c>
      <c r="AU426" s="102" t="s">
        <v>2139</v>
      </c>
      <c r="AV426" s="106"/>
      <c r="AW426" s="88" t="s">
        <v>1611</v>
      </c>
      <c r="AX426" s="109" t="str">
        <f>IFERROR(IF(PAC!$X426="F01 - CAPTAÇÃO DE RECURSO",1,""),"")</f>
        <v/>
      </c>
      <c r="AY426" s="109">
        <f>IFERROR(IF(PAC!$X426="F02 - LICITAÇÃO",1,""),"")</f>
        <v>1</v>
      </c>
      <c r="AZ426" s="110" t="str">
        <f>IFERROR(IF(PAC!$X$6:$X$581="F03 - EXECUÇÃO DO OBJETO",1,""),"")</f>
        <v/>
      </c>
      <c r="BA426" s="110" t="str">
        <f>IFERROR(IF(PAC!$X$6:$X$581="F04 - CONCLUÍDA",1,""),"")</f>
        <v/>
      </c>
      <c r="BB426" s="111">
        <f>IF(PAC!$R426&gt;0,0,PAC!$Q426)</f>
        <v>0</v>
      </c>
    </row>
    <row r="427" spans="1:54" s="1" customFormat="1" ht="249.95" customHeight="1" thickBot="1">
      <c r="A427" s="112">
        <f t="shared" si="7"/>
        <v>422</v>
      </c>
      <c r="B427" s="113">
        <v>2023</v>
      </c>
      <c r="C427" s="112" t="s">
        <v>605</v>
      </c>
      <c r="D427" s="112" t="s">
        <v>1010</v>
      </c>
      <c r="E427" s="114" t="s">
        <v>1299</v>
      </c>
      <c r="F427" s="112" t="s">
        <v>576</v>
      </c>
      <c r="G427" s="112" t="s">
        <v>595</v>
      </c>
      <c r="H427" s="115" t="s">
        <v>1243</v>
      </c>
      <c r="I427" s="112" t="s">
        <v>601</v>
      </c>
      <c r="J427" s="112" t="s">
        <v>155</v>
      </c>
      <c r="K427" s="31"/>
      <c r="L427" s="31">
        <v>9777401.3800000008</v>
      </c>
      <c r="M427" s="31">
        <v>5998858.1200000001</v>
      </c>
      <c r="N427" s="31">
        <v>1952531.31</v>
      </c>
      <c r="O427" s="31"/>
      <c r="P427" s="31"/>
      <c r="Q427" s="33">
        <f>SUM(PAC!$M427:$P427)</f>
        <v>7951389.4299999997</v>
      </c>
      <c r="R427" s="33">
        <v>7759066.0700000003</v>
      </c>
      <c r="S427" s="33">
        <f>IF(PAC!$R427&gt;0,PAC!$R427,PAC!$Q427)</f>
        <v>7759066.0700000003</v>
      </c>
      <c r="T427" s="33" t="s">
        <v>1627</v>
      </c>
      <c r="U427" s="116" t="s">
        <v>1570</v>
      </c>
      <c r="V427" s="116"/>
      <c r="W427" s="117">
        <v>12</v>
      </c>
      <c r="X427" s="117" t="s">
        <v>1694</v>
      </c>
      <c r="Y427" s="113" t="s">
        <v>2470</v>
      </c>
      <c r="Z427" s="118">
        <v>46419</v>
      </c>
      <c r="AA427" s="119">
        <v>27.47</v>
      </c>
      <c r="AB427" s="119" t="s">
        <v>1472</v>
      </c>
      <c r="AC427" s="133" t="s">
        <v>1296</v>
      </c>
      <c r="AD427" s="120">
        <v>46419</v>
      </c>
      <c r="AE427" s="174" t="s">
        <v>1472</v>
      </c>
      <c r="AF427" s="115" t="s">
        <v>524</v>
      </c>
      <c r="AG427" s="115" t="s">
        <v>2616</v>
      </c>
      <c r="AH427" s="115" t="s">
        <v>977</v>
      </c>
      <c r="AI427" s="115"/>
      <c r="AJ427" s="118">
        <v>46739</v>
      </c>
      <c r="AK427" s="115"/>
      <c r="AL427" s="115"/>
      <c r="AM427" s="115"/>
      <c r="AN427" s="118">
        <v>45807</v>
      </c>
      <c r="AO427" s="118">
        <v>45841</v>
      </c>
      <c r="AP427" s="118">
        <v>45903</v>
      </c>
      <c r="AQ427" s="118">
        <v>46050</v>
      </c>
      <c r="AR427" s="121">
        <v>46419</v>
      </c>
      <c r="AS427" s="121">
        <v>46419</v>
      </c>
      <c r="AT427" s="125" t="s">
        <v>2207</v>
      </c>
      <c r="AU427" s="114" t="s">
        <v>2208</v>
      </c>
      <c r="AV427" s="120"/>
      <c r="AW427" s="131" t="s">
        <v>1611</v>
      </c>
      <c r="AX427" s="194" t="str">
        <f>IFERROR(IF(PAC!$X427="F01 - CAPTAÇÃO DE RECURSO",1,""),"")</f>
        <v/>
      </c>
      <c r="AY427" s="194" t="str">
        <f>IFERROR(IF(PAC!$X427="F02 - LICITAÇÃO",1,""),"")</f>
        <v/>
      </c>
      <c r="AZ427" s="123">
        <f>IFERROR(IF(PAC!$X$6:$X$581="F03 - EXECUÇÃO DO OBJETO",1,""),"")</f>
        <v>1</v>
      </c>
      <c r="BA427" s="123" t="str">
        <f>IFERROR(IF(PAC!$X$6:$X$581="F04 - CONCLUÍDA",1,""),"")</f>
        <v/>
      </c>
      <c r="BB427" s="191">
        <f>IF(PAC!$R427&gt;0,0,PAC!$Q427)</f>
        <v>0</v>
      </c>
    </row>
    <row r="428" spans="1:54" s="1" customFormat="1" ht="249.95" customHeight="1" thickBot="1">
      <c r="A428" s="88">
        <f t="shared" si="7"/>
        <v>423</v>
      </c>
      <c r="B428" s="101">
        <v>2023</v>
      </c>
      <c r="C428" s="88" t="s">
        <v>605</v>
      </c>
      <c r="D428" s="88" t="s">
        <v>1010</v>
      </c>
      <c r="E428" s="102" t="s">
        <v>1300</v>
      </c>
      <c r="F428" s="88" t="s">
        <v>576</v>
      </c>
      <c r="G428" s="88" t="s">
        <v>595</v>
      </c>
      <c r="H428" s="40" t="s">
        <v>1243</v>
      </c>
      <c r="I428" s="88" t="s">
        <v>601</v>
      </c>
      <c r="J428" s="88" t="s">
        <v>259</v>
      </c>
      <c r="K428" s="18"/>
      <c r="L428" s="18">
        <v>5162942.84</v>
      </c>
      <c r="M428" s="18">
        <v>5162942.84</v>
      </c>
      <c r="N428" s="18">
        <v>2167722.54</v>
      </c>
      <c r="O428" s="18"/>
      <c r="P428" s="18"/>
      <c r="Q428" s="20">
        <f>SUM(PAC!$M428:$P428)</f>
        <v>7330665.3799999999</v>
      </c>
      <c r="R428" s="20">
        <v>7330665.3799999999</v>
      </c>
      <c r="S428" s="20">
        <f>IF(PAC!$R428&gt;0,PAC!$R428,PAC!$Q428)</f>
        <v>7330665.3799999999</v>
      </c>
      <c r="T428" s="20" t="s">
        <v>1628</v>
      </c>
      <c r="U428" s="103" t="s">
        <v>1563</v>
      </c>
      <c r="V428" s="103"/>
      <c r="W428" s="104">
        <v>7</v>
      </c>
      <c r="X428" s="87" t="s">
        <v>1694</v>
      </c>
      <c r="Y428" s="101" t="s">
        <v>2470</v>
      </c>
      <c r="Z428" s="87">
        <v>46333</v>
      </c>
      <c r="AA428" s="105">
        <v>29.08</v>
      </c>
      <c r="AB428" s="40" t="s">
        <v>1472</v>
      </c>
      <c r="AC428" s="124" t="s">
        <v>1296</v>
      </c>
      <c r="AD428" s="106">
        <v>46333</v>
      </c>
      <c r="AE428" s="128" t="s">
        <v>1492</v>
      </c>
      <c r="AF428" s="40" t="s">
        <v>526</v>
      </c>
      <c r="AG428" s="40" t="s">
        <v>2617</v>
      </c>
      <c r="AH428" s="40" t="s">
        <v>977</v>
      </c>
      <c r="AI428" s="40"/>
      <c r="AJ428" s="87">
        <v>46739</v>
      </c>
      <c r="AK428" s="40"/>
      <c r="AL428" s="40"/>
      <c r="AM428" s="40"/>
      <c r="AN428" s="87">
        <v>45734</v>
      </c>
      <c r="AO428" s="87">
        <v>45784</v>
      </c>
      <c r="AP428" s="87">
        <v>45882</v>
      </c>
      <c r="AQ428" s="87">
        <v>45996</v>
      </c>
      <c r="AR428" s="107">
        <v>46213</v>
      </c>
      <c r="AS428" s="107">
        <v>46333</v>
      </c>
      <c r="AT428" s="124" t="s">
        <v>2209</v>
      </c>
      <c r="AU428" s="102" t="s">
        <v>2210</v>
      </c>
      <c r="AV428" s="106"/>
      <c r="AW428" s="129" t="s">
        <v>1610</v>
      </c>
      <c r="AX428" s="109" t="str">
        <f>IFERROR(IF(PAC!$X428="F01 - CAPTAÇÃO DE RECURSO",1,""),"")</f>
        <v/>
      </c>
      <c r="AY428" s="109" t="str">
        <f>IFERROR(IF(PAC!$X428="F02 - LICITAÇÃO",1,""),"")</f>
        <v/>
      </c>
      <c r="AZ428" s="110">
        <f>IFERROR(IF(PAC!$X$6:$X$581="F03 - EXECUÇÃO DO OBJETO",1,""),"")</f>
        <v>1</v>
      </c>
      <c r="BA428" s="110" t="str">
        <f>IFERROR(IF(PAC!$X$6:$X$581="F04 - CONCLUÍDA",1,""),"")</f>
        <v/>
      </c>
      <c r="BB428" s="111">
        <f>IF(PAC!$R428&gt;0,0,PAC!$Q428)</f>
        <v>0</v>
      </c>
    </row>
    <row r="429" spans="1:54" s="1" customFormat="1" ht="249.95" customHeight="1" thickBot="1">
      <c r="A429" s="112">
        <f t="shared" si="7"/>
        <v>424</v>
      </c>
      <c r="B429" s="113">
        <v>2023</v>
      </c>
      <c r="C429" s="112" t="s">
        <v>605</v>
      </c>
      <c r="D429" s="112" t="s">
        <v>1010</v>
      </c>
      <c r="E429" s="114" t="s">
        <v>1301</v>
      </c>
      <c r="F429" s="112" t="s">
        <v>576</v>
      </c>
      <c r="G429" s="112" t="s">
        <v>595</v>
      </c>
      <c r="H429" s="115" t="s">
        <v>1243</v>
      </c>
      <c r="I429" s="112" t="s">
        <v>601</v>
      </c>
      <c r="J429" s="112" t="s">
        <v>368</v>
      </c>
      <c r="K429" s="31"/>
      <c r="L429" s="31">
        <v>14135208.17</v>
      </c>
      <c r="M429" s="31">
        <v>6554604.0899999999</v>
      </c>
      <c r="N429" s="31">
        <v>4126171.38</v>
      </c>
      <c r="O429" s="31"/>
      <c r="P429" s="31"/>
      <c r="Q429" s="33">
        <f>SUM(PAC!$M429:$P429)</f>
        <v>10680775.469999999</v>
      </c>
      <c r="R429" s="33">
        <v>10680775.470000001</v>
      </c>
      <c r="S429" s="33">
        <f>IF(PAC!$R429&gt;0,PAC!$R429,PAC!$Q429)</f>
        <v>10680775.470000001</v>
      </c>
      <c r="T429" s="33" t="s">
        <v>1629</v>
      </c>
      <c r="U429" s="116" t="s">
        <v>1570</v>
      </c>
      <c r="V429" s="116"/>
      <c r="W429" s="117">
        <v>8</v>
      </c>
      <c r="X429" s="117" t="s">
        <v>1694</v>
      </c>
      <c r="Y429" s="113" t="s">
        <v>2470</v>
      </c>
      <c r="Z429" s="121">
        <v>46297</v>
      </c>
      <c r="AA429" s="119">
        <v>12.21</v>
      </c>
      <c r="AB429" s="115" t="s">
        <v>1472</v>
      </c>
      <c r="AC429" s="114" t="s">
        <v>2119</v>
      </c>
      <c r="AD429" s="120">
        <v>46297</v>
      </c>
      <c r="AE429" s="127" t="s">
        <v>1472</v>
      </c>
      <c r="AF429" s="115" t="s">
        <v>527</v>
      </c>
      <c r="AG429" s="115" t="s">
        <v>2618</v>
      </c>
      <c r="AH429" s="115" t="s">
        <v>977</v>
      </c>
      <c r="AI429" s="115"/>
      <c r="AJ429" s="118">
        <v>46739</v>
      </c>
      <c r="AK429" s="115"/>
      <c r="AL429" s="115"/>
      <c r="AM429" s="115"/>
      <c r="AN429" s="118">
        <v>45737</v>
      </c>
      <c r="AO429" s="118">
        <v>45789</v>
      </c>
      <c r="AP429" s="118">
        <v>45903</v>
      </c>
      <c r="AQ429" s="118">
        <v>46050</v>
      </c>
      <c r="AR429" s="121">
        <v>46297</v>
      </c>
      <c r="AS429" s="121">
        <v>46297</v>
      </c>
      <c r="AT429" s="125" t="s">
        <v>2211</v>
      </c>
      <c r="AU429" s="114" t="s">
        <v>2212</v>
      </c>
      <c r="AV429" s="120"/>
      <c r="AW429" s="131" t="s">
        <v>1610</v>
      </c>
      <c r="AX429" s="194" t="str">
        <f>IFERROR(IF(PAC!$X429="F01 - CAPTAÇÃO DE RECURSO",1,""),"")</f>
        <v/>
      </c>
      <c r="AY429" s="194" t="str">
        <f>IFERROR(IF(PAC!$X429="F02 - LICITAÇÃO",1,""),"")</f>
        <v/>
      </c>
      <c r="AZ429" s="123">
        <f>IFERROR(IF(PAC!$X$6:$X$581="F03 - EXECUÇÃO DO OBJETO",1,""),"")</f>
        <v>1</v>
      </c>
      <c r="BA429" s="123" t="str">
        <f>IFERROR(IF(PAC!$X$6:$X$581="F04 - CONCLUÍDA",1,""),"")</f>
        <v/>
      </c>
      <c r="BB429" s="191">
        <f>IF(PAC!$R429&gt;0,0,PAC!$Q429)</f>
        <v>0</v>
      </c>
    </row>
    <row r="430" spans="1:54" s="1" customFormat="1" ht="249.95" customHeight="1" thickBot="1">
      <c r="A430" s="88">
        <f t="shared" si="7"/>
        <v>425</v>
      </c>
      <c r="B430" s="101">
        <v>2023</v>
      </c>
      <c r="C430" s="88" t="s">
        <v>605</v>
      </c>
      <c r="D430" s="88" t="s">
        <v>1010</v>
      </c>
      <c r="E430" s="102" t="s">
        <v>1302</v>
      </c>
      <c r="F430" s="88" t="s">
        <v>576</v>
      </c>
      <c r="G430" s="88" t="s">
        <v>595</v>
      </c>
      <c r="H430" s="40" t="s">
        <v>1243</v>
      </c>
      <c r="I430" s="88" t="s">
        <v>601</v>
      </c>
      <c r="J430" s="88" t="s">
        <v>72</v>
      </c>
      <c r="K430" s="18"/>
      <c r="L430" s="18">
        <v>6635057.1699999999</v>
      </c>
      <c r="M430" s="18">
        <v>6635057.1699999999</v>
      </c>
      <c r="N430" s="18">
        <v>133622.56</v>
      </c>
      <c r="O430" s="18"/>
      <c r="P430" s="18"/>
      <c r="Q430" s="20">
        <f>SUM(PAC!$M430:$P430)</f>
        <v>6768679.7299999995</v>
      </c>
      <c r="R430" s="20">
        <v>6646269.2599999998</v>
      </c>
      <c r="S430" s="20">
        <f>IF(PAC!$R430&gt;0,PAC!$R430,PAC!$Q430)</f>
        <v>6646269.2599999998</v>
      </c>
      <c r="T430" s="20" t="s">
        <v>1630</v>
      </c>
      <c r="U430" s="103" t="s">
        <v>1570</v>
      </c>
      <c r="V430" s="103"/>
      <c r="W430" s="104">
        <v>8</v>
      </c>
      <c r="X430" s="104" t="s">
        <v>1694</v>
      </c>
      <c r="Y430" s="101" t="s">
        <v>2470</v>
      </c>
      <c r="Z430" s="107">
        <v>46297</v>
      </c>
      <c r="AA430" s="105">
        <v>65.03</v>
      </c>
      <c r="AB430" s="105" t="s">
        <v>1472</v>
      </c>
      <c r="AC430" s="175" t="s">
        <v>1296</v>
      </c>
      <c r="AD430" s="106">
        <v>46297</v>
      </c>
      <c r="AE430" s="175" t="s">
        <v>1472</v>
      </c>
      <c r="AF430" s="40" t="s">
        <v>519</v>
      </c>
      <c r="AG430" s="40" t="s">
        <v>2619</v>
      </c>
      <c r="AH430" s="40" t="s">
        <v>977</v>
      </c>
      <c r="AI430" s="40"/>
      <c r="AJ430" s="87">
        <v>46739</v>
      </c>
      <c r="AK430" s="40"/>
      <c r="AL430" s="40"/>
      <c r="AM430" s="40"/>
      <c r="AN430" s="87">
        <v>45737</v>
      </c>
      <c r="AO430" s="87">
        <v>45784</v>
      </c>
      <c r="AP430" s="87">
        <v>45876</v>
      </c>
      <c r="AQ430" s="87">
        <v>46050</v>
      </c>
      <c r="AR430" s="107">
        <v>46297</v>
      </c>
      <c r="AS430" s="107">
        <v>46297</v>
      </c>
      <c r="AT430" s="124" t="s">
        <v>1802</v>
      </c>
      <c r="AU430" s="102" t="s">
        <v>2213</v>
      </c>
      <c r="AV430" s="106"/>
      <c r="AW430" s="129" t="s">
        <v>1610</v>
      </c>
      <c r="AX430" s="109" t="str">
        <f>IFERROR(IF(PAC!$X430="F01 - CAPTAÇÃO DE RECURSO",1,""),"")</f>
        <v/>
      </c>
      <c r="AY430" s="109" t="str">
        <f>IFERROR(IF(PAC!$X430="F02 - LICITAÇÃO",1,""),"")</f>
        <v/>
      </c>
      <c r="AZ430" s="110">
        <f>IFERROR(IF(PAC!$X$6:$X$581="F03 - EXECUÇÃO DO OBJETO",1,""),"")</f>
        <v>1</v>
      </c>
      <c r="BA430" s="110" t="str">
        <f>IFERROR(IF(PAC!$X$6:$X$581="F04 - CONCLUÍDA",1,""),"")</f>
        <v/>
      </c>
      <c r="BB430" s="111">
        <f>IF(PAC!$R430&gt;0,0,PAC!$Q430)</f>
        <v>0</v>
      </c>
    </row>
    <row r="431" spans="1:54" s="1" customFormat="1" ht="249.95" customHeight="1" thickBot="1">
      <c r="A431" s="112">
        <f t="shared" si="7"/>
        <v>426</v>
      </c>
      <c r="B431" s="113">
        <v>2023</v>
      </c>
      <c r="C431" s="112" t="s">
        <v>605</v>
      </c>
      <c r="D431" s="112" t="s">
        <v>1010</v>
      </c>
      <c r="E431" s="114" t="s">
        <v>1303</v>
      </c>
      <c r="F431" s="112" t="s">
        <v>576</v>
      </c>
      <c r="G431" s="112" t="s">
        <v>595</v>
      </c>
      <c r="H431" s="115" t="s">
        <v>1243</v>
      </c>
      <c r="I431" s="112" t="s">
        <v>601</v>
      </c>
      <c r="J431" s="112" t="s">
        <v>145</v>
      </c>
      <c r="K431" s="31"/>
      <c r="L431" s="31">
        <v>9556927.9299999997</v>
      </c>
      <c r="M431" s="31">
        <v>9556927.9299999997</v>
      </c>
      <c r="N431" s="31"/>
      <c r="O431" s="31"/>
      <c r="P431" s="31"/>
      <c r="Q431" s="33">
        <f>SUM(PAC!$M431:$P431)</f>
        <v>9556927.9299999997</v>
      </c>
      <c r="R431" s="33">
        <v>9319252.0899999999</v>
      </c>
      <c r="S431" s="33">
        <f>IF(PAC!$R431&gt;0,PAC!$R431,PAC!$Q431)</f>
        <v>9319252.0899999999</v>
      </c>
      <c r="T431" s="33" t="s">
        <v>1631</v>
      </c>
      <c r="U431" s="116" t="s">
        <v>1570</v>
      </c>
      <c r="V431" s="116"/>
      <c r="W431" s="117">
        <v>8</v>
      </c>
      <c r="X431" s="117" t="s">
        <v>1694</v>
      </c>
      <c r="Y431" s="113" t="s">
        <v>2470</v>
      </c>
      <c r="Z431" s="118">
        <v>46414</v>
      </c>
      <c r="AA431" s="119">
        <v>16.23</v>
      </c>
      <c r="AB431" s="115" t="s">
        <v>1472</v>
      </c>
      <c r="AC431" s="122" t="s">
        <v>1296</v>
      </c>
      <c r="AD431" s="118">
        <v>46414</v>
      </c>
      <c r="AE431" s="127" t="s">
        <v>1296</v>
      </c>
      <c r="AF431" s="115" t="s">
        <v>520</v>
      </c>
      <c r="AG431" s="115" t="s">
        <v>2620</v>
      </c>
      <c r="AH431" s="115" t="s">
        <v>977</v>
      </c>
      <c r="AI431" s="115"/>
      <c r="AJ431" s="118">
        <v>46739</v>
      </c>
      <c r="AK431" s="115"/>
      <c r="AL431" s="115"/>
      <c r="AM431" s="115"/>
      <c r="AN431" s="118">
        <v>45734</v>
      </c>
      <c r="AO431" s="118">
        <v>45785</v>
      </c>
      <c r="AP431" s="118">
        <v>45860</v>
      </c>
      <c r="AQ431" s="118">
        <v>45987</v>
      </c>
      <c r="AR431" s="121">
        <v>46234</v>
      </c>
      <c r="AS431" s="118">
        <v>46414</v>
      </c>
      <c r="AT431" s="125" t="s">
        <v>2214</v>
      </c>
      <c r="AU431" s="114" t="s">
        <v>2215</v>
      </c>
      <c r="AV431" s="120"/>
      <c r="AW431" s="131" t="s">
        <v>1610</v>
      </c>
      <c r="AX431" s="194" t="str">
        <f>IFERROR(IF(PAC!$X431="F01 - CAPTAÇÃO DE RECURSO",1,""),"")</f>
        <v/>
      </c>
      <c r="AY431" s="194" t="str">
        <f>IFERROR(IF(PAC!$X431="F02 - LICITAÇÃO",1,""),"")</f>
        <v/>
      </c>
      <c r="AZ431" s="123">
        <f>IFERROR(IF(PAC!$X$6:$X$581="F03 - EXECUÇÃO DO OBJETO",1,""),"")</f>
        <v>1</v>
      </c>
      <c r="BA431" s="123" t="str">
        <f>IFERROR(IF(PAC!$X$6:$X$581="F04 - CONCLUÍDA",1,""),"")</f>
        <v/>
      </c>
      <c r="BB431" s="191">
        <f>IF(PAC!$R431&gt;0,0,PAC!$Q431)</f>
        <v>0</v>
      </c>
    </row>
    <row r="432" spans="1:54" s="1" customFormat="1" ht="249.95" customHeight="1" thickBot="1">
      <c r="A432" s="88">
        <f t="shared" si="7"/>
        <v>427</v>
      </c>
      <c r="B432" s="101">
        <v>2023</v>
      </c>
      <c r="C432" s="88" t="s">
        <v>605</v>
      </c>
      <c r="D432" s="88" t="s">
        <v>1010</v>
      </c>
      <c r="E432" s="102" t="s">
        <v>1304</v>
      </c>
      <c r="F432" s="88" t="s">
        <v>576</v>
      </c>
      <c r="G432" s="88" t="s">
        <v>595</v>
      </c>
      <c r="H432" s="40" t="s">
        <v>1243</v>
      </c>
      <c r="I432" s="88" t="s">
        <v>601</v>
      </c>
      <c r="J432" s="88" t="s">
        <v>235</v>
      </c>
      <c r="K432" s="18"/>
      <c r="L432" s="18">
        <v>9664285.5500000007</v>
      </c>
      <c r="M432" s="18">
        <v>9664285.5500000007</v>
      </c>
      <c r="N432" s="18">
        <v>245044.17</v>
      </c>
      <c r="O432" s="18"/>
      <c r="P432" s="18"/>
      <c r="Q432" s="20">
        <f>SUM(PAC!$M432:$P432)</f>
        <v>9909329.7200000007</v>
      </c>
      <c r="R432" s="20">
        <v>9569730.0500000007</v>
      </c>
      <c r="S432" s="20">
        <f>IF(PAC!$R432&gt;0,PAC!$R432,PAC!$Q432)</f>
        <v>9569730.0500000007</v>
      </c>
      <c r="T432" s="20" t="s">
        <v>1632</v>
      </c>
      <c r="U432" s="103" t="s">
        <v>1570</v>
      </c>
      <c r="V432" s="103"/>
      <c r="W432" s="104">
        <v>8</v>
      </c>
      <c r="X432" s="87" t="s">
        <v>1694</v>
      </c>
      <c r="Y432" s="101" t="s">
        <v>2470</v>
      </c>
      <c r="Z432" s="87">
        <v>46393</v>
      </c>
      <c r="AA432" s="105">
        <v>67.88</v>
      </c>
      <c r="AB432" s="40" t="s">
        <v>1472</v>
      </c>
      <c r="AC432" s="108" t="s">
        <v>1296</v>
      </c>
      <c r="AD432" s="87">
        <v>46393</v>
      </c>
      <c r="AE432" s="128" t="s">
        <v>1492</v>
      </c>
      <c r="AF432" s="40" t="s">
        <v>521</v>
      </c>
      <c r="AG432" s="40" t="s">
        <v>2621</v>
      </c>
      <c r="AH432" s="40" t="s">
        <v>977</v>
      </c>
      <c r="AI432" s="40"/>
      <c r="AJ432" s="87">
        <v>46739</v>
      </c>
      <c r="AK432" s="40"/>
      <c r="AL432" s="40"/>
      <c r="AM432" s="40"/>
      <c r="AN432" s="87">
        <v>45757</v>
      </c>
      <c r="AO432" s="87">
        <v>45841</v>
      </c>
      <c r="AP432" s="87">
        <v>45903</v>
      </c>
      <c r="AQ432" s="87">
        <v>45996</v>
      </c>
      <c r="AR432" s="107">
        <v>46243</v>
      </c>
      <c r="AS432" s="87">
        <v>46393</v>
      </c>
      <c r="AT432" s="124" t="s">
        <v>2216</v>
      </c>
      <c r="AU432" s="102" t="s">
        <v>2217</v>
      </c>
      <c r="AV432" s="106"/>
      <c r="AW432" s="129" t="s">
        <v>1610</v>
      </c>
      <c r="AX432" s="109" t="str">
        <f>IFERROR(IF(PAC!$X432="F01 - CAPTAÇÃO DE RECURSO",1,""),"")</f>
        <v/>
      </c>
      <c r="AY432" s="109" t="str">
        <f>IFERROR(IF(PAC!$X432="F02 - LICITAÇÃO",1,""),"")</f>
        <v/>
      </c>
      <c r="AZ432" s="110">
        <f>IFERROR(IF(PAC!$X$6:$X$581="F03 - EXECUÇÃO DO OBJETO",1,""),"")</f>
        <v>1</v>
      </c>
      <c r="BA432" s="110" t="str">
        <f>IFERROR(IF(PAC!$X$6:$X$581="F04 - CONCLUÍDA",1,""),"")</f>
        <v/>
      </c>
      <c r="BB432" s="111">
        <f>IF(PAC!$R432&gt;0,0,PAC!$Q432)</f>
        <v>0</v>
      </c>
    </row>
    <row r="433" spans="1:54" s="1" customFormat="1" ht="249.95" customHeight="1" thickBot="1">
      <c r="A433" s="112">
        <f t="shared" si="7"/>
        <v>428</v>
      </c>
      <c r="B433" s="113">
        <v>2023</v>
      </c>
      <c r="C433" s="112" t="s">
        <v>605</v>
      </c>
      <c r="D433" s="112" t="s">
        <v>1010</v>
      </c>
      <c r="E433" s="114" t="s">
        <v>1305</v>
      </c>
      <c r="F433" s="112" t="s">
        <v>576</v>
      </c>
      <c r="G433" s="112" t="s">
        <v>595</v>
      </c>
      <c r="H433" s="115" t="s">
        <v>1243</v>
      </c>
      <c r="I433" s="112" t="s">
        <v>601</v>
      </c>
      <c r="J433" s="112" t="s">
        <v>243</v>
      </c>
      <c r="K433" s="31"/>
      <c r="L433" s="31">
        <v>25152453.699999999</v>
      </c>
      <c r="M433" s="31">
        <v>6145358.2599999998</v>
      </c>
      <c r="N433" s="31">
        <v>15784911.439999999</v>
      </c>
      <c r="O433" s="31"/>
      <c r="P433" s="31"/>
      <c r="Q433" s="33">
        <f>SUM(PAC!$M433:$P433)</f>
        <v>21930269.699999999</v>
      </c>
      <c r="R433" s="33">
        <v>21930269.699999999</v>
      </c>
      <c r="S433" s="33">
        <f>IF(PAC!$R433&gt;0,PAC!$R433,PAC!$Q433)</f>
        <v>21930269.699999999</v>
      </c>
      <c r="T433" s="33" t="s">
        <v>1633</v>
      </c>
      <c r="U433" s="116" t="s">
        <v>1563</v>
      </c>
      <c r="V433" s="116"/>
      <c r="W433" s="117">
        <v>8</v>
      </c>
      <c r="X433" s="117" t="s">
        <v>1694</v>
      </c>
      <c r="Y433" s="113" t="s">
        <v>2470</v>
      </c>
      <c r="Z433" s="121">
        <v>46393</v>
      </c>
      <c r="AA433" s="119">
        <v>55.92</v>
      </c>
      <c r="AB433" s="115" t="s">
        <v>1472</v>
      </c>
      <c r="AC433" s="122" t="s">
        <v>1296</v>
      </c>
      <c r="AD433" s="121">
        <v>46393</v>
      </c>
      <c r="AE433" s="127" t="s">
        <v>1492</v>
      </c>
      <c r="AF433" s="115" t="s">
        <v>525</v>
      </c>
      <c r="AG433" s="115" t="s">
        <v>2622</v>
      </c>
      <c r="AH433" s="115" t="s">
        <v>977</v>
      </c>
      <c r="AI433" s="115"/>
      <c r="AJ433" s="118">
        <v>46739</v>
      </c>
      <c r="AK433" s="115"/>
      <c r="AL433" s="115"/>
      <c r="AM433" s="115"/>
      <c r="AN433" s="118">
        <v>45807</v>
      </c>
      <c r="AO433" s="118">
        <v>45838</v>
      </c>
      <c r="AP433" s="118">
        <v>45903</v>
      </c>
      <c r="AQ433" s="118">
        <v>45996</v>
      </c>
      <c r="AR433" s="121">
        <v>46243</v>
      </c>
      <c r="AS433" s="121">
        <v>46393</v>
      </c>
      <c r="AT433" s="125" t="s">
        <v>2218</v>
      </c>
      <c r="AU433" s="114" t="s">
        <v>2219</v>
      </c>
      <c r="AV433" s="120"/>
      <c r="AW433" s="131" t="s">
        <v>1610</v>
      </c>
      <c r="AX433" s="194" t="str">
        <f>IFERROR(IF(PAC!$X433="F01 - CAPTAÇÃO DE RECURSO",1,""),"")</f>
        <v/>
      </c>
      <c r="AY433" s="194" t="str">
        <f>IFERROR(IF(PAC!$X433="F02 - LICITAÇÃO",1,""),"")</f>
        <v/>
      </c>
      <c r="AZ433" s="123">
        <f>IFERROR(IF(PAC!$X$6:$X$581="F03 - EXECUÇÃO DO OBJETO",1,""),"")</f>
        <v>1</v>
      </c>
      <c r="BA433" s="123" t="str">
        <f>IFERROR(IF(PAC!$X$6:$X$581="F04 - CONCLUÍDA",1,""),"")</f>
        <v/>
      </c>
      <c r="BB433" s="191">
        <f>IF(PAC!$R433&gt;0,0,PAC!$Q433)</f>
        <v>0</v>
      </c>
    </row>
    <row r="434" spans="1:54" s="1" customFormat="1" ht="249.95" customHeight="1" thickBot="1">
      <c r="A434" s="88">
        <f t="shared" si="7"/>
        <v>429</v>
      </c>
      <c r="B434" s="88">
        <v>2025</v>
      </c>
      <c r="C434" s="88" t="s">
        <v>605</v>
      </c>
      <c r="D434" s="88" t="s">
        <v>1010</v>
      </c>
      <c r="E434" s="89" t="s">
        <v>1291</v>
      </c>
      <c r="F434" s="88" t="s">
        <v>576</v>
      </c>
      <c r="G434" s="88" t="s">
        <v>595</v>
      </c>
      <c r="H434" s="88" t="s">
        <v>1243</v>
      </c>
      <c r="I434" s="88" t="s">
        <v>601</v>
      </c>
      <c r="J434" s="88" t="s">
        <v>243</v>
      </c>
      <c r="K434" s="18"/>
      <c r="L434" s="18">
        <v>14996254.9</v>
      </c>
      <c r="M434" s="18">
        <v>13496629.41</v>
      </c>
      <c r="N434" s="18">
        <v>1707265.43</v>
      </c>
      <c r="O434" s="18"/>
      <c r="P434" s="18"/>
      <c r="Q434" s="20">
        <f>SUM(PAC!$M434:$P434)</f>
        <v>15203894.84</v>
      </c>
      <c r="R434" s="20"/>
      <c r="S434" s="20">
        <f>IF(PAC!$R434&gt;0,PAC!$R434,PAC!$Q434)</f>
        <v>15203894.84</v>
      </c>
      <c r="T434" s="20"/>
      <c r="U434" s="103" t="s">
        <v>1562</v>
      </c>
      <c r="V434" s="103"/>
      <c r="W434" s="104"/>
      <c r="X434" s="104" t="s">
        <v>1419</v>
      </c>
      <c r="Y434" s="101" t="s">
        <v>2473</v>
      </c>
      <c r="Z434" s="87"/>
      <c r="AA434" s="105"/>
      <c r="AB434" s="40" t="s">
        <v>1463</v>
      </c>
      <c r="AC434" s="40" t="s">
        <v>2578</v>
      </c>
      <c r="AD434" s="106"/>
      <c r="AE434" s="102" t="s">
        <v>2274</v>
      </c>
      <c r="AF434" s="40" t="s">
        <v>1793</v>
      </c>
      <c r="AG434" s="40" t="s">
        <v>1965</v>
      </c>
      <c r="AH434" s="40" t="s">
        <v>977</v>
      </c>
      <c r="AI434" s="40"/>
      <c r="AJ434" s="87"/>
      <c r="AK434" s="40"/>
      <c r="AL434" s="40"/>
      <c r="AM434" s="40"/>
      <c r="AN434" s="87"/>
      <c r="AO434" s="87"/>
      <c r="AP434" s="87"/>
      <c r="AQ434" s="87"/>
      <c r="AR434" s="107"/>
      <c r="AS434" s="107"/>
      <c r="AT434" s="102"/>
      <c r="AU434" s="124"/>
      <c r="AV434" s="106"/>
      <c r="AW434" s="88" t="s">
        <v>1616</v>
      </c>
      <c r="AX434" s="109">
        <f>IFERROR(IF(PAC!$X434="F01 - CAPTAÇÃO DE RECURSO",1,""),"")</f>
        <v>1</v>
      </c>
      <c r="AY434" s="109" t="str">
        <f>IFERROR(IF(PAC!$X434="F02 - LICITAÇÃO",1,""),"")</f>
        <v/>
      </c>
      <c r="AZ434" s="110" t="str">
        <f>IFERROR(IF(PAC!$X$6:$X$581="F03 - EXECUÇÃO DO OBJETO",1,""),"")</f>
        <v/>
      </c>
      <c r="BA434" s="110" t="str">
        <f>IFERROR(IF(PAC!$X$6:$X$581="F04 - CONCLUÍDA",1,""),"")</f>
        <v/>
      </c>
      <c r="BB434" s="111">
        <f>IF(PAC!$R434&gt;0,0,PAC!$Q434)</f>
        <v>15203894.84</v>
      </c>
    </row>
    <row r="435" spans="1:54" s="1" customFormat="1" ht="249.95" customHeight="1" thickBot="1">
      <c r="A435" s="112">
        <f t="shared" si="7"/>
        <v>430</v>
      </c>
      <c r="B435" s="112">
        <v>2025</v>
      </c>
      <c r="C435" s="112" t="s">
        <v>605</v>
      </c>
      <c r="D435" s="112" t="s">
        <v>1010</v>
      </c>
      <c r="E435" s="130" t="s">
        <v>1279</v>
      </c>
      <c r="F435" s="112" t="s">
        <v>576</v>
      </c>
      <c r="G435" s="112" t="s">
        <v>595</v>
      </c>
      <c r="H435" s="112" t="s">
        <v>1243</v>
      </c>
      <c r="I435" s="112" t="s">
        <v>601</v>
      </c>
      <c r="J435" s="112" t="s">
        <v>243</v>
      </c>
      <c r="K435" s="31"/>
      <c r="L435" s="31">
        <v>8396471.1199999992</v>
      </c>
      <c r="M435" s="31"/>
      <c r="N435" s="31"/>
      <c r="O435" s="31"/>
      <c r="P435" s="31"/>
      <c r="Q435" s="33">
        <f>SUM(PAC!$M435:$P435)</f>
        <v>0</v>
      </c>
      <c r="R435" s="33"/>
      <c r="S435" s="33">
        <f>IF(PAC!$R435&gt;0,PAC!$R435,PAC!$Q435)</f>
        <v>0</v>
      </c>
      <c r="T435" s="33"/>
      <c r="U435" s="116" t="s">
        <v>1562</v>
      </c>
      <c r="V435" s="116"/>
      <c r="W435" s="117"/>
      <c r="X435" s="117" t="s">
        <v>1419</v>
      </c>
      <c r="Y435" s="113" t="s">
        <v>2476</v>
      </c>
      <c r="Z435" s="118"/>
      <c r="AA435" s="119"/>
      <c r="AB435" s="115"/>
      <c r="AC435" s="115"/>
      <c r="AD435" s="120"/>
      <c r="AE435" s="114"/>
      <c r="AF435" s="115" t="s">
        <v>1284</v>
      </c>
      <c r="AG435" s="115"/>
      <c r="AH435" s="115"/>
      <c r="AI435" s="115"/>
      <c r="AJ435" s="118"/>
      <c r="AK435" s="115"/>
      <c r="AL435" s="115"/>
      <c r="AM435" s="115"/>
      <c r="AN435" s="118"/>
      <c r="AO435" s="118"/>
      <c r="AP435" s="118"/>
      <c r="AQ435" s="118"/>
      <c r="AR435" s="121"/>
      <c r="AS435" s="121"/>
      <c r="AT435" s="114"/>
      <c r="AU435" s="125" t="s">
        <v>1939</v>
      </c>
      <c r="AV435" s="120"/>
      <c r="AW435" s="112" t="s">
        <v>1616</v>
      </c>
      <c r="AX435" s="194">
        <f>IFERROR(IF(PAC!$X435="F01 - CAPTAÇÃO DE RECURSO",1,""),"")</f>
        <v>1</v>
      </c>
      <c r="AY435" s="194" t="str">
        <f>IFERROR(IF(PAC!$X435="F02 - LICITAÇÃO",1,""),"")</f>
        <v/>
      </c>
      <c r="AZ435" s="123" t="str">
        <f>IFERROR(IF(PAC!$X$6:$X$581="F03 - EXECUÇÃO DO OBJETO",1,""),"")</f>
        <v/>
      </c>
      <c r="BA435" s="123" t="str">
        <f>IFERROR(IF(PAC!$X$6:$X$581="F04 - CONCLUÍDA",1,""),"")</f>
        <v/>
      </c>
      <c r="BB435" s="191">
        <f>IF(PAC!$R435&gt;0,0,PAC!$Q435)</f>
        <v>0</v>
      </c>
    </row>
    <row r="436" spans="1:54" s="1" customFormat="1" ht="249.95" customHeight="1" thickBot="1">
      <c r="A436" s="88">
        <f t="shared" si="7"/>
        <v>431</v>
      </c>
      <c r="B436" s="88">
        <v>2025</v>
      </c>
      <c r="C436" s="88" t="s">
        <v>605</v>
      </c>
      <c r="D436" s="88" t="s">
        <v>1010</v>
      </c>
      <c r="E436" s="124" t="s">
        <v>1280</v>
      </c>
      <c r="F436" s="88" t="s">
        <v>576</v>
      </c>
      <c r="G436" s="88" t="s">
        <v>595</v>
      </c>
      <c r="H436" s="88" t="s">
        <v>1243</v>
      </c>
      <c r="I436" s="88" t="s">
        <v>601</v>
      </c>
      <c r="J436" s="88" t="s">
        <v>30</v>
      </c>
      <c r="K436" s="18"/>
      <c r="L436" s="18">
        <v>3514983.04</v>
      </c>
      <c r="M436" s="18">
        <v>3163484.74</v>
      </c>
      <c r="N436" s="18">
        <v>372272.1</v>
      </c>
      <c r="O436" s="18"/>
      <c r="P436" s="18"/>
      <c r="Q436" s="20">
        <f>SUM(PAC!$M436:$P436)</f>
        <v>3535756.8400000003</v>
      </c>
      <c r="R436" s="20"/>
      <c r="S436" s="20">
        <f>IF(PAC!$R436&gt;0,PAC!$R436,PAC!$Q436)</f>
        <v>3535756.8400000003</v>
      </c>
      <c r="T436" s="20"/>
      <c r="U436" s="103" t="s">
        <v>1562</v>
      </c>
      <c r="V436" s="103"/>
      <c r="W436" s="104"/>
      <c r="X436" s="104" t="s">
        <v>1419</v>
      </c>
      <c r="Y436" s="101" t="s">
        <v>2473</v>
      </c>
      <c r="Z436" s="87"/>
      <c r="AA436" s="105"/>
      <c r="AB436" s="40" t="s">
        <v>1457</v>
      </c>
      <c r="AC436" s="40" t="s">
        <v>1931</v>
      </c>
      <c r="AD436" s="106">
        <v>46265</v>
      </c>
      <c r="AE436" s="102" t="s">
        <v>2127</v>
      </c>
      <c r="AF436" s="40" t="s">
        <v>1794</v>
      </c>
      <c r="AG436" s="40" t="s">
        <v>1966</v>
      </c>
      <c r="AH436" s="40" t="s">
        <v>1974</v>
      </c>
      <c r="AI436" s="40" t="s">
        <v>2664</v>
      </c>
      <c r="AJ436" s="87">
        <v>46335</v>
      </c>
      <c r="AK436" s="40"/>
      <c r="AL436" s="40"/>
      <c r="AM436" s="40"/>
      <c r="AN436" s="87"/>
      <c r="AO436" s="87"/>
      <c r="AP436" s="87"/>
      <c r="AQ436" s="87"/>
      <c r="AR436" s="107"/>
      <c r="AS436" s="107"/>
      <c r="AT436" s="102"/>
      <c r="AU436" s="124"/>
      <c r="AV436" s="106"/>
      <c r="AW436" s="129" t="s">
        <v>1616</v>
      </c>
      <c r="AX436" s="109">
        <f>IFERROR(IF(PAC!$X436="F01 - CAPTAÇÃO DE RECURSO",1,""),"")</f>
        <v>1</v>
      </c>
      <c r="AY436" s="109" t="str">
        <f>IFERROR(IF(PAC!$X436="F02 - LICITAÇÃO",1,""),"")</f>
        <v/>
      </c>
      <c r="AZ436" s="110" t="str">
        <f>IFERROR(IF(PAC!$X$6:$X$581="F03 - EXECUÇÃO DO OBJETO",1,""),"")</f>
        <v/>
      </c>
      <c r="BA436" s="110" t="str">
        <f>IFERROR(IF(PAC!$X$6:$X$581="F04 - CONCLUÍDA",1,""),"")</f>
        <v/>
      </c>
      <c r="BB436" s="111">
        <f>IF(PAC!$R436&gt;0,0,PAC!$Q436)</f>
        <v>3535756.8400000003</v>
      </c>
    </row>
    <row r="437" spans="1:54" s="1" customFormat="1" ht="249.95" customHeight="1" thickBot="1">
      <c r="A437" s="112">
        <f t="shared" si="7"/>
        <v>432</v>
      </c>
      <c r="B437" s="112">
        <v>2025</v>
      </c>
      <c r="C437" s="112" t="s">
        <v>605</v>
      </c>
      <c r="D437" s="112" t="s">
        <v>1010</v>
      </c>
      <c r="E437" s="130" t="s">
        <v>1281</v>
      </c>
      <c r="F437" s="112" t="s">
        <v>576</v>
      </c>
      <c r="G437" s="112" t="s">
        <v>595</v>
      </c>
      <c r="H437" s="112" t="s">
        <v>1243</v>
      </c>
      <c r="I437" s="112" t="s">
        <v>601</v>
      </c>
      <c r="J437" s="112" t="s">
        <v>285</v>
      </c>
      <c r="K437" s="31"/>
      <c r="L437" s="31">
        <v>32981004.170000002</v>
      </c>
      <c r="M437" s="31">
        <v>29682903.75</v>
      </c>
      <c r="N437" s="31">
        <v>3298100.42</v>
      </c>
      <c r="O437" s="31"/>
      <c r="P437" s="31"/>
      <c r="Q437" s="33">
        <f>SUM(PAC!$M437:$P437)</f>
        <v>32981004.170000002</v>
      </c>
      <c r="R437" s="33"/>
      <c r="S437" s="33">
        <f>IF(PAC!$R437&gt;0,PAC!$R437,PAC!$Q437)</f>
        <v>32981004.170000002</v>
      </c>
      <c r="T437" s="33"/>
      <c r="U437" s="116" t="s">
        <v>1562</v>
      </c>
      <c r="V437" s="116"/>
      <c r="W437" s="117"/>
      <c r="X437" s="117" t="s">
        <v>1419</v>
      </c>
      <c r="Y437" s="113" t="s">
        <v>2473</v>
      </c>
      <c r="Z437" s="118"/>
      <c r="AA437" s="119"/>
      <c r="AB437" s="115" t="s">
        <v>1457</v>
      </c>
      <c r="AC437" s="115" t="s">
        <v>2667</v>
      </c>
      <c r="AD437" s="120">
        <v>46265</v>
      </c>
      <c r="AE437" s="114" t="s">
        <v>2127</v>
      </c>
      <c r="AF437" s="115" t="s">
        <v>1795</v>
      </c>
      <c r="AG437" s="115" t="s">
        <v>1967</v>
      </c>
      <c r="AH437" s="115" t="s">
        <v>1974</v>
      </c>
      <c r="AI437" s="115" t="s">
        <v>2761</v>
      </c>
      <c r="AJ437" s="118">
        <v>46335</v>
      </c>
      <c r="AK437" s="115"/>
      <c r="AL437" s="115"/>
      <c r="AM437" s="115"/>
      <c r="AN437" s="118"/>
      <c r="AO437" s="118"/>
      <c r="AP437" s="118"/>
      <c r="AQ437" s="118"/>
      <c r="AR437" s="121"/>
      <c r="AS437" s="121"/>
      <c r="AT437" s="114"/>
      <c r="AU437" s="125"/>
      <c r="AV437" s="120"/>
      <c r="AW437" s="131" t="s">
        <v>1613</v>
      </c>
      <c r="AX437" s="194">
        <f>IFERROR(IF(PAC!$X437="F01 - CAPTAÇÃO DE RECURSO",1,""),"")</f>
        <v>1</v>
      </c>
      <c r="AY437" s="194" t="str">
        <f>IFERROR(IF(PAC!$X437="F02 - LICITAÇÃO",1,""),"")</f>
        <v/>
      </c>
      <c r="AZ437" s="123" t="str">
        <f>IFERROR(IF(PAC!$X$6:$X$581="F03 - EXECUÇÃO DO OBJETO",1,""),"")</f>
        <v/>
      </c>
      <c r="BA437" s="123" t="str">
        <f>IFERROR(IF(PAC!$X$6:$X$581="F04 - CONCLUÍDA",1,""),"")</f>
        <v/>
      </c>
      <c r="BB437" s="191">
        <f>IF(PAC!$R437&gt;0,0,PAC!$Q437)</f>
        <v>32981004.170000002</v>
      </c>
    </row>
    <row r="438" spans="1:54" s="1" customFormat="1" ht="249.95" customHeight="1" thickBot="1">
      <c r="A438" s="88">
        <f t="shared" si="7"/>
        <v>433</v>
      </c>
      <c r="B438" s="88">
        <v>2025</v>
      </c>
      <c r="C438" s="88" t="s">
        <v>605</v>
      </c>
      <c r="D438" s="88" t="s">
        <v>1010</v>
      </c>
      <c r="E438" s="124" t="s">
        <v>1282</v>
      </c>
      <c r="F438" s="88" t="s">
        <v>576</v>
      </c>
      <c r="G438" s="88" t="s">
        <v>595</v>
      </c>
      <c r="H438" s="88" t="s">
        <v>1243</v>
      </c>
      <c r="I438" s="88" t="s">
        <v>601</v>
      </c>
      <c r="J438" s="88" t="s">
        <v>72</v>
      </c>
      <c r="K438" s="18"/>
      <c r="L438" s="18">
        <v>24166501.059999999</v>
      </c>
      <c r="M438" s="18">
        <v>21749850.949999999</v>
      </c>
      <c r="N438" s="18">
        <v>3930020.78</v>
      </c>
      <c r="O438" s="18"/>
      <c r="P438" s="18"/>
      <c r="Q438" s="20">
        <f>SUM(PAC!$M438:$P438)</f>
        <v>25679871.73</v>
      </c>
      <c r="R438" s="20"/>
      <c r="S438" s="20">
        <f>IF(PAC!$R438&gt;0,PAC!$R438,PAC!$Q438)</f>
        <v>25679871.73</v>
      </c>
      <c r="T438" s="20"/>
      <c r="U438" s="103" t="s">
        <v>1562</v>
      </c>
      <c r="V438" s="103"/>
      <c r="W438" s="104"/>
      <c r="X438" s="104" t="s">
        <v>1419</v>
      </c>
      <c r="Y438" s="101" t="s">
        <v>2473</v>
      </c>
      <c r="Z438" s="87"/>
      <c r="AA438" s="105"/>
      <c r="AB438" s="40" t="s">
        <v>1457</v>
      </c>
      <c r="AC438" s="40" t="s">
        <v>1931</v>
      </c>
      <c r="AD438" s="106">
        <v>46265</v>
      </c>
      <c r="AE438" s="102" t="s">
        <v>2127</v>
      </c>
      <c r="AF438" s="40" t="s">
        <v>1796</v>
      </c>
      <c r="AG438" s="40" t="s">
        <v>1968</v>
      </c>
      <c r="AH438" s="40" t="s">
        <v>1974</v>
      </c>
      <c r="AI438" s="40" t="s">
        <v>2665</v>
      </c>
      <c r="AJ438" s="87">
        <v>46335</v>
      </c>
      <c r="AK438" s="40"/>
      <c r="AL438" s="40"/>
      <c r="AM438" s="40"/>
      <c r="AN438" s="87"/>
      <c r="AO438" s="87"/>
      <c r="AP438" s="87"/>
      <c r="AQ438" s="87"/>
      <c r="AR438" s="107"/>
      <c r="AS438" s="107"/>
      <c r="AT438" s="102"/>
      <c r="AU438" s="124"/>
      <c r="AV438" s="106"/>
      <c r="AW438" s="105" t="s">
        <v>1616</v>
      </c>
      <c r="AX438" s="109">
        <f>IFERROR(IF(PAC!$X438="F01 - CAPTAÇÃO DE RECURSO",1,""),"")</f>
        <v>1</v>
      </c>
      <c r="AY438" s="109" t="str">
        <f>IFERROR(IF(PAC!$X438="F02 - LICITAÇÃO",1,""),"")</f>
        <v/>
      </c>
      <c r="AZ438" s="110" t="str">
        <f>IFERROR(IF(PAC!$X$6:$X$581="F03 - EXECUÇÃO DO OBJETO",1,""),"")</f>
        <v/>
      </c>
      <c r="BA438" s="110" t="str">
        <f>IFERROR(IF(PAC!$X$6:$X$581="F04 - CONCLUÍDA",1,""),"")</f>
        <v/>
      </c>
      <c r="BB438" s="111">
        <f>IF(PAC!$R438&gt;0,0,PAC!$Q438)</f>
        <v>25679871.73</v>
      </c>
    </row>
    <row r="439" spans="1:54" s="1" customFormat="1" ht="249.95" customHeight="1" thickBot="1">
      <c r="A439" s="112">
        <f t="shared" si="7"/>
        <v>434</v>
      </c>
      <c r="B439" s="112">
        <v>2025</v>
      </c>
      <c r="C439" s="112" t="s">
        <v>605</v>
      </c>
      <c r="D439" s="112" t="s">
        <v>1010</v>
      </c>
      <c r="E439" s="130" t="s">
        <v>1283</v>
      </c>
      <c r="F439" s="112" t="s">
        <v>576</v>
      </c>
      <c r="G439" s="112" t="s">
        <v>595</v>
      </c>
      <c r="H439" s="112" t="s">
        <v>1243</v>
      </c>
      <c r="I439" s="112" t="s">
        <v>601</v>
      </c>
      <c r="J439" s="112" t="s">
        <v>417</v>
      </c>
      <c r="K439" s="31"/>
      <c r="L439" s="31">
        <v>48986963.390000001</v>
      </c>
      <c r="M439" s="31">
        <v>44088267.049999997</v>
      </c>
      <c r="N439" s="31">
        <v>4898696.34</v>
      </c>
      <c r="O439" s="31"/>
      <c r="P439" s="31"/>
      <c r="Q439" s="33">
        <f>SUM(PAC!$M439:$P439)</f>
        <v>48986963.390000001</v>
      </c>
      <c r="R439" s="33"/>
      <c r="S439" s="33">
        <f>IF(PAC!$R439&gt;0,PAC!$R439,PAC!$Q439)</f>
        <v>48986963.390000001</v>
      </c>
      <c r="T439" s="33"/>
      <c r="U439" s="116" t="s">
        <v>1562</v>
      </c>
      <c r="V439" s="116"/>
      <c r="W439" s="117"/>
      <c r="X439" s="117" t="s">
        <v>1419</v>
      </c>
      <c r="Y439" s="113" t="s">
        <v>2473</v>
      </c>
      <c r="Z439" s="118"/>
      <c r="AA439" s="119"/>
      <c r="AB439" s="115" t="s">
        <v>1457</v>
      </c>
      <c r="AC439" s="115" t="s">
        <v>2667</v>
      </c>
      <c r="AD439" s="120">
        <v>46265</v>
      </c>
      <c r="AE439" s="114" t="s">
        <v>2127</v>
      </c>
      <c r="AF439" s="115" t="s">
        <v>1797</v>
      </c>
      <c r="AG439" s="115" t="s">
        <v>1969</v>
      </c>
      <c r="AH439" s="115" t="s">
        <v>1974</v>
      </c>
      <c r="AI439" s="115" t="s">
        <v>2668</v>
      </c>
      <c r="AJ439" s="118">
        <v>46265</v>
      </c>
      <c r="AK439" s="115"/>
      <c r="AL439" s="115"/>
      <c r="AM439" s="115"/>
      <c r="AN439" s="118"/>
      <c r="AO439" s="118"/>
      <c r="AP439" s="118"/>
      <c r="AQ439" s="118"/>
      <c r="AR439" s="121"/>
      <c r="AS439" s="121"/>
      <c r="AT439" s="114"/>
      <c r="AU439" s="125"/>
      <c r="AV439" s="120"/>
      <c r="AW439" s="119" t="s">
        <v>1613</v>
      </c>
      <c r="AX439" s="194">
        <f>IFERROR(IF(PAC!$X439="F01 - CAPTAÇÃO DE RECURSO",1,""),"")</f>
        <v>1</v>
      </c>
      <c r="AY439" s="194" t="str">
        <f>IFERROR(IF(PAC!$X439="F02 - LICITAÇÃO",1,""),"")</f>
        <v/>
      </c>
      <c r="AZ439" s="123" t="str">
        <f>IFERROR(IF(PAC!$X$6:$X$581="F03 - EXECUÇÃO DO OBJETO",1,""),"")</f>
        <v/>
      </c>
      <c r="BA439" s="123" t="str">
        <f>IFERROR(IF(PAC!$X$6:$X$581="F04 - CONCLUÍDA",1,""),"")</f>
        <v/>
      </c>
      <c r="BB439" s="191">
        <f>IF(PAC!$R439&gt;0,0,PAC!$Q439)</f>
        <v>48986963.390000001</v>
      </c>
    </row>
    <row r="440" spans="1:54" s="1" customFormat="1" ht="249.95" customHeight="1" thickBot="1">
      <c r="A440" s="88">
        <f t="shared" si="7"/>
        <v>435</v>
      </c>
      <c r="B440" s="88">
        <v>2025</v>
      </c>
      <c r="C440" s="88" t="s">
        <v>605</v>
      </c>
      <c r="D440" s="88" t="s">
        <v>1010</v>
      </c>
      <c r="E440" s="89" t="s">
        <v>1289</v>
      </c>
      <c r="F440" s="88" t="s">
        <v>576</v>
      </c>
      <c r="G440" s="88" t="s">
        <v>595</v>
      </c>
      <c r="H440" s="88" t="s">
        <v>1243</v>
      </c>
      <c r="I440" s="88" t="s">
        <v>601</v>
      </c>
      <c r="J440" s="88" t="s">
        <v>120</v>
      </c>
      <c r="K440" s="18"/>
      <c r="L440" s="18">
        <v>17171770.260000002</v>
      </c>
      <c r="M440" s="18">
        <v>15454593.23</v>
      </c>
      <c r="N440" s="18">
        <v>1303016.55</v>
      </c>
      <c r="O440" s="18"/>
      <c r="P440" s="18"/>
      <c r="Q440" s="20">
        <f>SUM(PAC!$M440:$P440)</f>
        <v>16757609.780000001</v>
      </c>
      <c r="R440" s="20"/>
      <c r="S440" s="20">
        <f>IF(PAC!$R440&gt;0,PAC!$R440,PAC!$Q440)</f>
        <v>16757609.780000001</v>
      </c>
      <c r="T440" s="20"/>
      <c r="U440" s="103" t="s">
        <v>1562</v>
      </c>
      <c r="V440" s="103"/>
      <c r="W440" s="104"/>
      <c r="X440" s="104" t="s">
        <v>1419</v>
      </c>
      <c r="Y440" s="101" t="s">
        <v>2473</v>
      </c>
      <c r="Z440" s="87"/>
      <c r="AA440" s="105"/>
      <c r="AB440" s="40" t="s">
        <v>1501</v>
      </c>
      <c r="AC440" s="40" t="s">
        <v>2126</v>
      </c>
      <c r="AD440" s="106">
        <v>46265</v>
      </c>
      <c r="AE440" s="102" t="s">
        <v>2127</v>
      </c>
      <c r="AF440" s="40" t="s">
        <v>1798</v>
      </c>
      <c r="AG440" s="40" t="s">
        <v>1970</v>
      </c>
      <c r="AH440" s="40" t="s">
        <v>1974</v>
      </c>
      <c r="AI440" s="108" t="s">
        <v>2663</v>
      </c>
      <c r="AJ440" s="87">
        <v>46265</v>
      </c>
      <c r="AK440" s="40"/>
      <c r="AL440" s="40"/>
      <c r="AM440" s="40"/>
      <c r="AN440" s="87"/>
      <c r="AO440" s="87"/>
      <c r="AP440" s="87"/>
      <c r="AQ440" s="87"/>
      <c r="AR440" s="107"/>
      <c r="AS440" s="107"/>
      <c r="AT440" s="102"/>
      <c r="AU440" s="124"/>
      <c r="AV440" s="106"/>
      <c r="AW440" s="105" t="s">
        <v>1616</v>
      </c>
      <c r="AX440" s="109">
        <f>IFERROR(IF(PAC!$X440="F01 - CAPTAÇÃO DE RECURSO",1,""),"")</f>
        <v>1</v>
      </c>
      <c r="AY440" s="109" t="str">
        <f>IFERROR(IF(PAC!$X440="F02 - LICITAÇÃO",1,""),"")</f>
        <v/>
      </c>
      <c r="AZ440" s="110" t="str">
        <f>IFERROR(IF(PAC!$X$6:$X$581="F03 - EXECUÇÃO DO OBJETO",1,""),"")</f>
        <v/>
      </c>
      <c r="BA440" s="110" t="str">
        <f>IFERROR(IF(PAC!$X$6:$X$581="F04 - CONCLUÍDA",1,""),"")</f>
        <v/>
      </c>
      <c r="BB440" s="111">
        <f>IF(PAC!$R440&gt;0,0,PAC!$Q440)</f>
        <v>16757609.780000001</v>
      </c>
    </row>
    <row r="441" spans="1:54" s="1" customFormat="1" ht="249.95" customHeight="1" thickBot="1">
      <c r="A441" s="112">
        <f t="shared" si="7"/>
        <v>436</v>
      </c>
      <c r="B441" s="112">
        <v>2025</v>
      </c>
      <c r="C441" s="112" t="s">
        <v>605</v>
      </c>
      <c r="D441" s="112" t="s">
        <v>1010</v>
      </c>
      <c r="E441" s="130" t="s">
        <v>1393</v>
      </c>
      <c r="F441" s="112" t="s">
        <v>576</v>
      </c>
      <c r="G441" s="112" t="s">
        <v>595</v>
      </c>
      <c r="H441" s="112" t="s">
        <v>1243</v>
      </c>
      <c r="I441" s="112" t="s">
        <v>601</v>
      </c>
      <c r="J441" s="112" t="s">
        <v>266</v>
      </c>
      <c r="K441" s="31"/>
      <c r="L441" s="31">
        <v>5820095.7800000003</v>
      </c>
      <c r="M441" s="31">
        <v>5238086.2</v>
      </c>
      <c r="N441" s="31">
        <v>582009.57999999996</v>
      </c>
      <c r="O441" s="31"/>
      <c r="P441" s="31"/>
      <c r="Q441" s="33">
        <f>SUM(PAC!$M441:$P441)</f>
        <v>5820095.7800000003</v>
      </c>
      <c r="R441" s="33"/>
      <c r="S441" s="33">
        <f>IF(PAC!$R441&gt;0,PAC!$R441,PAC!$Q441)</f>
        <v>5820095.7800000003</v>
      </c>
      <c r="T441" s="33"/>
      <c r="U441" s="116" t="s">
        <v>1562</v>
      </c>
      <c r="V441" s="116"/>
      <c r="W441" s="117"/>
      <c r="X441" s="117" t="s">
        <v>1419</v>
      </c>
      <c r="Y441" s="113" t="s">
        <v>2473</v>
      </c>
      <c r="Z441" s="118"/>
      <c r="AA441" s="119"/>
      <c r="AB441" s="115" t="s">
        <v>1457</v>
      </c>
      <c r="AC441" s="115" t="s">
        <v>1931</v>
      </c>
      <c r="AD441" s="120">
        <v>46265</v>
      </c>
      <c r="AE441" s="114" t="s">
        <v>2127</v>
      </c>
      <c r="AF441" s="115" t="s">
        <v>1799</v>
      </c>
      <c r="AG441" s="115" t="s">
        <v>1971</v>
      </c>
      <c r="AH441" s="115" t="s">
        <v>1974</v>
      </c>
      <c r="AI441" s="122" t="s">
        <v>2663</v>
      </c>
      <c r="AJ441" s="118">
        <v>46335</v>
      </c>
      <c r="AK441" s="115"/>
      <c r="AL441" s="115"/>
      <c r="AM441" s="115"/>
      <c r="AN441" s="118"/>
      <c r="AO441" s="118"/>
      <c r="AP441" s="118"/>
      <c r="AQ441" s="118"/>
      <c r="AR441" s="121"/>
      <c r="AS441" s="121"/>
      <c r="AT441" s="114"/>
      <c r="AU441" s="125"/>
      <c r="AV441" s="120"/>
      <c r="AW441" s="119" t="s">
        <v>1616</v>
      </c>
      <c r="AX441" s="194">
        <f>IFERROR(IF(PAC!$X441="F01 - CAPTAÇÃO DE RECURSO",1,""),"")</f>
        <v>1</v>
      </c>
      <c r="AY441" s="194" t="str">
        <f>IFERROR(IF(PAC!$X441="F02 - LICITAÇÃO",1,""),"")</f>
        <v/>
      </c>
      <c r="AZ441" s="123" t="str">
        <f>IFERROR(IF(PAC!$X$6:$X$581="F03 - EXECUÇÃO DO OBJETO",1,""),"")</f>
        <v/>
      </c>
      <c r="BA441" s="123" t="str">
        <f>IFERROR(IF(PAC!$X$6:$X$581="F04 - CONCLUÍDA",1,""),"")</f>
        <v/>
      </c>
      <c r="BB441" s="191">
        <f>IF(PAC!$R441&gt;0,0,PAC!$Q441)</f>
        <v>5820095.7800000003</v>
      </c>
    </row>
    <row r="442" spans="1:54" s="1" customFormat="1" ht="249.95" customHeight="1" thickBot="1">
      <c r="A442" s="88">
        <f t="shared" si="7"/>
        <v>437</v>
      </c>
      <c r="B442" s="88">
        <v>2025</v>
      </c>
      <c r="C442" s="88" t="s">
        <v>605</v>
      </c>
      <c r="D442" s="88" t="s">
        <v>1010</v>
      </c>
      <c r="E442" s="89" t="s">
        <v>1292</v>
      </c>
      <c r="F442" s="88" t="s">
        <v>576</v>
      </c>
      <c r="G442" s="88" t="s">
        <v>595</v>
      </c>
      <c r="H442" s="88" t="s">
        <v>1243</v>
      </c>
      <c r="I442" s="88" t="s">
        <v>601</v>
      </c>
      <c r="J442" s="88" t="s">
        <v>346</v>
      </c>
      <c r="K442" s="18"/>
      <c r="L442" s="18">
        <v>4694627.37</v>
      </c>
      <c r="M442" s="18">
        <v>4225164.63</v>
      </c>
      <c r="N442" s="18">
        <v>469462.74</v>
      </c>
      <c r="O442" s="18"/>
      <c r="P442" s="18"/>
      <c r="Q442" s="20">
        <f>SUM(PAC!$M442:$P442)</f>
        <v>4694627.37</v>
      </c>
      <c r="R442" s="20"/>
      <c r="S442" s="20">
        <f>IF(PAC!$R442&gt;0,PAC!$R442,PAC!$Q442)</f>
        <v>4694627.37</v>
      </c>
      <c r="T442" s="20"/>
      <c r="U442" s="103" t="s">
        <v>1562</v>
      </c>
      <c r="V442" s="103"/>
      <c r="W442" s="104"/>
      <c r="X442" s="104" t="s">
        <v>1419</v>
      </c>
      <c r="Y442" s="101" t="s">
        <v>2473</v>
      </c>
      <c r="Z442" s="87"/>
      <c r="AA442" s="105"/>
      <c r="AB442" s="40" t="s">
        <v>1457</v>
      </c>
      <c r="AC442" s="40" t="s">
        <v>1931</v>
      </c>
      <c r="AD442" s="106">
        <v>46265</v>
      </c>
      <c r="AE442" s="102" t="s">
        <v>2127</v>
      </c>
      <c r="AF442" s="40" t="s">
        <v>1800</v>
      </c>
      <c r="AG442" s="40" t="s">
        <v>1972</v>
      </c>
      <c r="AH442" s="40" t="s">
        <v>1974</v>
      </c>
      <c r="AI442" s="40" t="s">
        <v>2666</v>
      </c>
      <c r="AJ442" s="87">
        <v>46335</v>
      </c>
      <c r="AK442" s="40"/>
      <c r="AL442" s="40"/>
      <c r="AM442" s="40"/>
      <c r="AN442" s="87"/>
      <c r="AO442" s="87"/>
      <c r="AP442" s="87"/>
      <c r="AQ442" s="87"/>
      <c r="AR442" s="107"/>
      <c r="AS442" s="107"/>
      <c r="AT442" s="102"/>
      <c r="AU442" s="124"/>
      <c r="AV442" s="106"/>
      <c r="AW442" s="105" t="s">
        <v>1613</v>
      </c>
      <c r="AX442" s="109">
        <f>IFERROR(IF(PAC!$X442="F01 - CAPTAÇÃO DE RECURSO",1,""),"")</f>
        <v>1</v>
      </c>
      <c r="AY442" s="109" t="str">
        <f>IFERROR(IF(PAC!$X442="F02 - LICITAÇÃO",1,""),"")</f>
        <v/>
      </c>
      <c r="AZ442" s="110" t="str">
        <f>IFERROR(IF(PAC!$X$6:$X$581="F03 - EXECUÇÃO DO OBJETO",1,""),"")</f>
        <v/>
      </c>
      <c r="BA442" s="110" t="str">
        <f>IFERROR(IF(PAC!$X$6:$X$581="F04 - CONCLUÍDA",1,""),"")</f>
        <v/>
      </c>
      <c r="BB442" s="111">
        <f>IF(PAC!$R442&gt;0,0,PAC!$Q442)</f>
        <v>4694627.37</v>
      </c>
    </row>
    <row r="443" spans="1:54" s="1" customFormat="1" ht="249.95" customHeight="1" thickBot="1">
      <c r="A443" s="112">
        <f t="shared" si="7"/>
        <v>438</v>
      </c>
      <c r="B443" s="112">
        <v>2025</v>
      </c>
      <c r="C443" s="112" t="s">
        <v>605</v>
      </c>
      <c r="D443" s="112" t="s">
        <v>1010</v>
      </c>
      <c r="E443" s="130" t="s">
        <v>1293</v>
      </c>
      <c r="F443" s="112" t="s">
        <v>576</v>
      </c>
      <c r="G443" s="112" t="s">
        <v>595</v>
      </c>
      <c r="H443" s="112" t="s">
        <v>1243</v>
      </c>
      <c r="I443" s="112" t="s">
        <v>601</v>
      </c>
      <c r="J443" s="112" t="s">
        <v>259</v>
      </c>
      <c r="K443" s="31"/>
      <c r="L443" s="31">
        <v>11141962.949999999</v>
      </c>
      <c r="M443" s="31"/>
      <c r="N443" s="31"/>
      <c r="O443" s="31"/>
      <c r="P443" s="31"/>
      <c r="Q443" s="33">
        <f>SUM(PAC!$M443:$P443)</f>
        <v>0</v>
      </c>
      <c r="R443" s="33"/>
      <c r="S443" s="33">
        <f>IF(PAC!$R443&gt;0,PAC!$R443,PAC!$Q443)</f>
        <v>0</v>
      </c>
      <c r="T443" s="33"/>
      <c r="U443" s="116" t="s">
        <v>1562</v>
      </c>
      <c r="V443" s="116"/>
      <c r="W443" s="117"/>
      <c r="X443" s="117" t="s">
        <v>1419</v>
      </c>
      <c r="Y443" s="113" t="s">
        <v>2479</v>
      </c>
      <c r="Z443" s="118"/>
      <c r="AA443" s="119"/>
      <c r="AB443" s="115"/>
      <c r="AC443" s="115" t="s">
        <v>1931</v>
      </c>
      <c r="AD443" s="120"/>
      <c r="AE443" s="114" t="s">
        <v>1288</v>
      </c>
      <c r="AF443" s="115" t="s">
        <v>1294</v>
      </c>
      <c r="AG443" s="115"/>
      <c r="AH443" s="115"/>
      <c r="AI443" s="115"/>
      <c r="AJ443" s="118"/>
      <c r="AK443" s="115"/>
      <c r="AL443" s="115"/>
      <c r="AM443" s="115"/>
      <c r="AN443" s="118"/>
      <c r="AO443" s="118"/>
      <c r="AP443" s="118"/>
      <c r="AQ443" s="118"/>
      <c r="AR443" s="121"/>
      <c r="AS443" s="121"/>
      <c r="AT443" s="114"/>
      <c r="AU443" s="125" t="s">
        <v>1618</v>
      </c>
      <c r="AV443" s="120"/>
      <c r="AW443" s="119" t="s">
        <v>1617</v>
      </c>
      <c r="AX443" s="194">
        <f>IFERROR(IF(PAC!$X443="F01 - CAPTAÇÃO DE RECURSO",1,""),"")</f>
        <v>1</v>
      </c>
      <c r="AY443" s="194" t="str">
        <f>IFERROR(IF(PAC!$X443="F02 - LICITAÇÃO",1,""),"")</f>
        <v/>
      </c>
      <c r="AZ443" s="123" t="str">
        <f>IFERROR(IF(PAC!$X$6:$X$581="F03 - EXECUÇÃO DO OBJETO",1,""),"")</f>
        <v/>
      </c>
      <c r="BA443" s="123" t="str">
        <f>IFERROR(IF(PAC!$X$6:$X$581="F04 - CONCLUÍDA",1,""),"")</f>
        <v/>
      </c>
      <c r="BB443" s="191">
        <f>IF(PAC!$R443&gt;0,0,PAC!$Q443)</f>
        <v>0</v>
      </c>
    </row>
    <row r="444" spans="1:54" s="1" customFormat="1" ht="249.95" customHeight="1" thickBot="1">
      <c r="A444" s="88">
        <f t="shared" si="7"/>
        <v>439</v>
      </c>
      <c r="B444" s="88">
        <v>2025</v>
      </c>
      <c r="C444" s="88" t="s">
        <v>605</v>
      </c>
      <c r="D444" s="88" t="s">
        <v>1010</v>
      </c>
      <c r="E444" s="89" t="s">
        <v>1391</v>
      </c>
      <c r="F444" s="88" t="s">
        <v>576</v>
      </c>
      <c r="G444" s="88" t="s">
        <v>595</v>
      </c>
      <c r="H444" s="88" t="s">
        <v>1243</v>
      </c>
      <c r="I444" s="88" t="s">
        <v>601</v>
      </c>
      <c r="J444" s="88" t="s">
        <v>114</v>
      </c>
      <c r="K444" s="18"/>
      <c r="L444" s="18">
        <v>5026455.78</v>
      </c>
      <c r="M444" s="18">
        <v>4523810.2</v>
      </c>
      <c r="N444" s="18">
        <v>502645.58</v>
      </c>
      <c r="O444" s="18"/>
      <c r="P444" s="18"/>
      <c r="Q444" s="20">
        <f>SUM(PAC!$M444:$P444)</f>
        <v>5026455.78</v>
      </c>
      <c r="R444" s="20"/>
      <c r="S444" s="20">
        <f>IF(PAC!$R444&gt;0,PAC!$R444,PAC!$Q444)</f>
        <v>5026455.78</v>
      </c>
      <c r="T444" s="20"/>
      <c r="U444" s="103" t="s">
        <v>1562</v>
      </c>
      <c r="V444" s="103"/>
      <c r="W444" s="104"/>
      <c r="X444" s="104" t="s">
        <v>1419</v>
      </c>
      <c r="Y444" s="101" t="s">
        <v>2473</v>
      </c>
      <c r="Z444" s="87"/>
      <c r="AA444" s="105"/>
      <c r="AB444" s="40" t="s">
        <v>1457</v>
      </c>
      <c r="AC444" s="40" t="s">
        <v>1931</v>
      </c>
      <c r="AD444" s="106">
        <v>46265</v>
      </c>
      <c r="AE444" s="102" t="s">
        <v>2127</v>
      </c>
      <c r="AF444" s="40" t="s">
        <v>1801</v>
      </c>
      <c r="AG444" s="40" t="s">
        <v>1973</v>
      </c>
      <c r="AH444" s="40" t="s">
        <v>1974</v>
      </c>
      <c r="AI444" s="108" t="s">
        <v>2663</v>
      </c>
      <c r="AJ444" s="87">
        <v>46265</v>
      </c>
      <c r="AK444" s="40"/>
      <c r="AL444" s="40"/>
      <c r="AM444" s="40"/>
      <c r="AN444" s="87"/>
      <c r="AO444" s="87"/>
      <c r="AP444" s="87"/>
      <c r="AQ444" s="87"/>
      <c r="AR444" s="107"/>
      <c r="AS444" s="107"/>
      <c r="AT444" s="102"/>
      <c r="AU444" s="124"/>
      <c r="AV444" s="106"/>
      <c r="AW444" s="105" t="s">
        <v>1613</v>
      </c>
      <c r="AX444" s="109">
        <f>IFERROR(IF(PAC!$X444="F01 - CAPTAÇÃO DE RECURSO",1,""),"")</f>
        <v>1</v>
      </c>
      <c r="AY444" s="109" t="str">
        <f>IFERROR(IF(PAC!$X444="F02 - LICITAÇÃO",1,""),"")</f>
        <v/>
      </c>
      <c r="AZ444" s="110" t="str">
        <f>IFERROR(IF(PAC!$X$6:$X$581="F03 - EXECUÇÃO DO OBJETO",1,""),"")</f>
        <v/>
      </c>
      <c r="BA444" s="110" t="str">
        <f>IFERROR(IF(PAC!$X$6:$X$581="F04 - CONCLUÍDA",1,""),"")</f>
        <v/>
      </c>
      <c r="BB444" s="111">
        <f>IF(PAC!$R444&gt;0,0,PAC!$Q444)</f>
        <v>5026455.78</v>
      </c>
    </row>
    <row r="445" spans="1:54" s="1" customFormat="1" ht="249.95" customHeight="1" thickBot="1">
      <c r="A445" s="112">
        <f t="shared" si="7"/>
        <v>440</v>
      </c>
      <c r="B445" s="112">
        <v>2025</v>
      </c>
      <c r="C445" s="112" t="s">
        <v>605</v>
      </c>
      <c r="D445" s="112" t="s">
        <v>1010</v>
      </c>
      <c r="E445" s="130" t="s">
        <v>2122</v>
      </c>
      <c r="F445" s="112" t="s">
        <v>576</v>
      </c>
      <c r="G445" s="112" t="s">
        <v>596</v>
      </c>
      <c r="H445" s="115" t="s">
        <v>1243</v>
      </c>
      <c r="I445" s="112" t="s">
        <v>600</v>
      </c>
      <c r="J445" s="112" t="s">
        <v>392</v>
      </c>
      <c r="K445" s="31">
        <v>68115606.049999997</v>
      </c>
      <c r="L445" s="31"/>
      <c r="M445" s="31"/>
      <c r="N445" s="31">
        <v>3405780.3025000002</v>
      </c>
      <c r="O445" s="31"/>
      <c r="P445" s="31">
        <v>64709825.747499995</v>
      </c>
      <c r="Q445" s="33">
        <f>SUM(PAC!$M445:$P445)</f>
        <v>68115606.049999997</v>
      </c>
      <c r="R445" s="33">
        <v>38759000</v>
      </c>
      <c r="S445" s="33">
        <f>IF(PAC!$R445&gt;0,PAC!$R445,PAC!$Q445)</f>
        <v>38759000</v>
      </c>
      <c r="T445" s="33" t="s">
        <v>1784</v>
      </c>
      <c r="U445" s="116" t="s">
        <v>594</v>
      </c>
      <c r="V445" s="116" t="s">
        <v>1764</v>
      </c>
      <c r="W445" s="117"/>
      <c r="X445" s="117" t="s">
        <v>1419</v>
      </c>
      <c r="Y445" s="113" t="s">
        <v>2472</v>
      </c>
      <c r="Z445" s="118"/>
      <c r="AA445" s="119"/>
      <c r="AB445" s="115" t="s">
        <v>1509</v>
      </c>
      <c r="AC445" s="115" t="s">
        <v>2388</v>
      </c>
      <c r="AD445" s="120">
        <v>46325</v>
      </c>
      <c r="AE445" s="114" t="s">
        <v>2050</v>
      </c>
      <c r="AF445" s="115" t="s">
        <v>881</v>
      </c>
      <c r="AG445" s="115"/>
      <c r="AH445" s="115"/>
      <c r="AI445" s="115"/>
      <c r="AJ445" s="118"/>
      <c r="AK445" s="115"/>
      <c r="AL445" s="115"/>
      <c r="AM445" s="115"/>
      <c r="AN445" s="118">
        <v>45989</v>
      </c>
      <c r="AO445" s="118">
        <v>46076</v>
      </c>
      <c r="AP445" s="118">
        <v>46157</v>
      </c>
      <c r="AQ445" s="118"/>
      <c r="AR445" s="121"/>
      <c r="AS445" s="121"/>
      <c r="AT445" s="114" t="s">
        <v>2507</v>
      </c>
      <c r="AU445" s="115" t="s">
        <v>2203</v>
      </c>
      <c r="AV445" s="120"/>
      <c r="AW445" s="131" t="s">
        <v>1610</v>
      </c>
      <c r="AX445" s="194">
        <f>IFERROR(IF(PAC!$X445="F01 - CAPTAÇÃO DE RECURSO",1,""),"")</f>
        <v>1</v>
      </c>
      <c r="AY445" s="194" t="str">
        <f>IFERROR(IF(PAC!$X445="F02 - LICITAÇÃO",1,""),"")</f>
        <v/>
      </c>
      <c r="AZ445" s="123" t="str">
        <f>IFERROR(IF(PAC!$X$6:$X$581="F03 - EXECUÇÃO DO OBJETO",1,""),"")</f>
        <v/>
      </c>
      <c r="BA445" s="123" t="str">
        <f>IFERROR(IF(PAC!$X$6:$X$581="F04 - CONCLUÍDA",1,""),"")</f>
        <v/>
      </c>
      <c r="BB445" s="191">
        <f>IF(PAC!$R445&gt;0,0,PAC!$Q445)</f>
        <v>0</v>
      </c>
    </row>
    <row r="446" spans="1:54" s="1" customFormat="1" ht="249.95" customHeight="1" thickBot="1">
      <c r="A446" s="88">
        <f t="shared" si="7"/>
        <v>441</v>
      </c>
      <c r="B446" s="101">
        <v>2023</v>
      </c>
      <c r="C446" s="88" t="s">
        <v>605</v>
      </c>
      <c r="D446" s="88" t="s">
        <v>1010</v>
      </c>
      <c r="E446" s="102" t="s">
        <v>680</v>
      </c>
      <c r="F446" s="88" t="s">
        <v>576</v>
      </c>
      <c r="G446" s="88" t="s">
        <v>596</v>
      </c>
      <c r="H446" s="40" t="s">
        <v>1243</v>
      </c>
      <c r="I446" s="88" t="s">
        <v>600</v>
      </c>
      <c r="J446" s="88" t="s">
        <v>238</v>
      </c>
      <c r="K446" s="18"/>
      <c r="L446" s="18">
        <v>59300678.469999999</v>
      </c>
      <c r="M446" s="18">
        <v>59300678.469999999</v>
      </c>
      <c r="N446" s="18"/>
      <c r="O446" s="18"/>
      <c r="P446" s="18"/>
      <c r="Q446" s="20">
        <f>SUM(PAC!$M446:$P446)</f>
        <v>59300678.469999999</v>
      </c>
      <c r="R446" s="20">
        <v>45888509.719999999</v>
      </c>
      <c r="S446" s="20">
        <f>IF(PAC!$R446&gt;0,PAC!$R446,PAC!$Q446)</f>
        <v>45888509.719999999</v>
      </c>
      <c r="T446" s="20" t="s">
        <v>1619</v>
      </c>
      <c r="U446" s="103" t="s">
        <v>1570</v>
      </c>
      <c r="V446" s="103"/>
      <c r="W446" s="104">
        <v>14</v>
      </c>
      <c r="X446" s="104" t="s">
        <v>1694</v>
      </c>
      <c r="Y446" s="101" t="s">
        <v>2470</v>
      </c>
      <c r="Z446" s="107">
        <v>46469</v>
      </c>
      <c r="AA446" s="105">
        <v>77</v>
      </c>
      <c r="AB446" s="40" t="s">
        <v>1472</v>
      </c>
      <c r="AC446" s="108" t="s">
        <v>2130</v>
      </c>
      <c r="AD446" s="107">
        <v>46469</v>
      </c>
      <c r="AE446" s="128" t="s">
        <v>1296</v>
      </c>
      <c r="AF446" s="40" t="s">
        <v>582</v>
      </c>
      <c r="AG446" s="40" t="s">
        <v>2623</v>
      </c>
      <c r="AH446" s="40" t="s">
        <v>977</v>
      </c>
      <c r="AI446" s="40"/>
      <c r="AJ446" s="87">
        <v>46668</v>
      </c>
      <c r="AK446" s="40"/>
      <c r="AL446" s="40"/>
      <c r="AM446" s="40"/>
      <c r="AN446" s="87">
        <v>44860</v>
      </c>
      <c r="AO446" s="87">
        <v>45243</v>
      </c>
      <c r="AP446" s="87">
        <v>45406</v>
      </c>
      <c r="AQ446" s="87">
        <v>45419</v>
      </c>
      <c r="AR446" s="107">
        <v>46019</v>
      </c>
      <c r="AS446" s="107">
        <v>46469</v>
      </c>
      <c r="AT446" s="124" t="s">
        <v>2604</v>
      </c>
      <c r="AU446" s="108" t="s">
        <v>2367</v>
      </c>
      <c r="AV446" s="106"/>
      <c r="AW446" s="105" t="s">
        <v>1610</v>
      </c>
      <c r="AX446" s="109" t="str">
        <f>IFERROR(IF(PAC!$X446="F01 - CAPTAÇÃO DE RECURSO",1,""),"")</f>
        <v/>
      </c>
      <c r="AY446" s="109" t="str">
        <f>IFERROR(IF(PAC!$X446="F02 - LICITAÇÃO",1,""),"")</f>
        <v/>
      </c>
      <c r="AZ446" s="110">
        <f>IFERROR(IF(PAC!$X$6:$X$581="F03 - EXECUÇÃO DO OBJETO",1,""),"")</f>
        <v>1</v>
      </c>
      <c r="BA446" s="110" t="str">
        <f>IFERROR(IF(PAC!$X$6:$X$581="F04 - CONCLUÍDA",1,""),"")</f>
        <v/>
      </c>
      <c r="BB446" s="111">
        <f>IF(PAC!$R446&gt;0,0,PAC!$Q446)</f>
        <v>0</v>
      </c>
    </row>
    <row r="447" spans="1:54" s="1" customFormat="1" ht="249.95" customHeight="1" thickBot="1">
      <c r="A447" s="112">
        <f t="shared" si="7"/>
        <v>442</v>
      </c>
      <c r="B447" s="113">
        <v>2023</v>
      </c>
      <c r="C447" s="112" t="s">
        <v>605</v>
      </c>
      <c r="D447" s="112" t="s">
        <v>1010</v>
      </c>
      <c r="E447" s="114" t="s">
        <v>529</v>
      </c>
      <c r="F447" s="112" t="s">
        <v>576</v>
      </c>
      <c r="G447" s="112" t="s">
        <v>596</v>
      </c>
      <c r="H447" s="115" t="s">
        <v>1243</v>
      </c>
      <c r="I447" s="112" t="s">
        <v>600</v>
      </c>
      <c r="J447" s="112" t="s">
        <v>400</v>
      </c>
      <c r="K447" s="31"/>
      <c r="L447" s="31">
        <v>14612511.529999999</v>
      </c>
      <c r="M447" s="31">
        <v>14612511.529999999</v>
      </c>
      <c r="N447" s="31"/>
      <c r="O447" s="31"/>
      <c r="P447" s="31"/>
      <c r="Q447" s="33">
        <f>SUM(PAC!$M447:$P447)</f>
        <v>14612511.529999999</v>
      </c>
      <c r="R447" s="33">
        <v>12662857.49</v>
      </c>
      <c r="S447" s="33">
        <f>IF(PAC!$R447&gt;0,PAC!$R447,PAC!$Q447)</f>
        <v>12662857.49</v>
      </c>
      <c r="T447" s="33" t="s">
        <v>1760</v>
      </c>
      <c r="U447" s="116" t="s">
        <v>1570</v>
      </c>
      <c r="V447" s="116"/>
      <c r="W447" s="117">
        <v>21</v>
      </c>
      <c r="X447" s="117" t="s">
        <v>1490</v>
      </c>
      <c r="Y447" s="113" t="s">
        <v>2469</v>
      </c>
      <c r="Z447" s="121">
        <v>46203</v>
      </c>
      <c r="AA447" s="119">
        <v>100</v>
      </c>
      <c r="AB447" s="115" t="s">
        <v>1472</v>
      </c>
      <c r="AC447" s="122" t="s">
        <v>2495</v>
      </c>
      <c r="AD447" s="121">
        <v>46203</v>
      </c>
      <c r="AE447" s="127" t="s">
        <v>2495</v>
      </c>
      <c r="AF447" s="115" t="s">
        <v>584</v>
      </c>
      <c r="AG447" s="115" t="s">
        <v>2624</v>
      </c>
      <c r="AH447" s="115" t="s">
        <v>977</v>
      </c>
      <c r="AI447" s="115"/>
      <c r="AJ447" s="118">
        <v>46351</v>
      </c>
      <c r="AK447" s="115"/>
      <c r="AL447" s="115"/>
      <c r="AM447" s="115"/>
      <c r="AN447" s="118">
        <v>45111</v>
      </c>
      <c r="AO447" s="118">
        <v>45174</v>
      </c>
      <c r="AP447" s="118">
        <v>45369</v>
      </c>
      <c r="AQ447" s="118">
        <v>45369</v>
      </c>
      <c r="AR447" s="121">
        <v>45999</v>
      </c>
      <c r="AS447" s="121">
        <v>46203</v>
      </c>
      <c r="AT447" s="125" t="s">
        <v>2605</v>
      </c>
      <c r="AU447" s="122" t="s">
        <v>2368</v>
      </c>
      <c r="AV447" s="120"/>
      <c r="AW447" s="119" t="s">
        <v>1651</v>
      </c>
      <c r="AX447" s="194" t="str">
        <f>IFERROR(IF(PAC!$X447="F01 - CAPTAÇÃO DE RECURSO",1,""),"")</f>
        <v/>
      </c>
      <c r="AY447" s="194" t="str">
        <f>IFERROR(IF(PAC!$X447="F02 - LICITAÇÃO",1,""),"")</f>
        <v/>
      </c>
      <c r="AZ447" s="123" t="str">
        <f>IFERROR(IF(PAC!$X$6:$X$581="F03 - EXECUÇÃO DO OBJETO",1,""),"")</f>
        <v/>
      </c>
      <c r="BA447" s="123">
        <f>IFERROR(IF(PAC!$X$6:$X$581="F04 - CONCLUÍDA",1,""),"")</f>
        <v>1</v>
      </c>
      <c r="BB447" s="191">
        <f>IF(PAC!$R447&gt;0,0,PAC!$Q447)</f>
        <v>0</v>
      </c>
    </row>
    <row r="448" spans="1:54" s="1" customFormat="1" ht="249.95" customHeight="1" thickBot="1">
      <c r="A448" s="88">
        <f t="shared" si="7"/>
        <v>443</v>
      </c>
      <c r="B448" s="101">
        <v>2023</v>
      </c>
      <c r="C448" s="88" t="s">
        <v>605</v>
      </c>
      <c r="D448" s="88" t="s">
        <v>1010</v>
      </c>
      <c r="E448" s="102" t="s">
        <v>2220</v>
      </c>
      <c r="F448" s="88" t="s">
        <v>576</v>
      </c>
      <c r="G448" s="88" t="s">
        <v>596</v>
      </c>
      <c r="H448" s="40" t="s">
        <v>1243</v>
      </c>
      <c r="I448" s="88" t="s">
        <v>600</v>
      </c>
      <c r="J448" s="88" t="s">
        <v>531</v>
      </c>
      <c r="K448" s="18"/>
      <c r="L448" s="18">
        <v>17209142.890000001</v>
      </c>
      <c r="M448" s="18">
        <v>17209142.890000001</v>
      </c>
      <c r="N448" s="18"/>
      <c r="O448" s="18"/>
      <c r="P448" s="18"/>
      <c r="Q448" s="20">
        <f>SUM(PAC!$M448:$P448)</f>
        <v>17209142.890000001</v>
      </c>
      <c r="R448" s="20">
        <v>14636171.529999999</v>
      </c>
      <c r="S448" s="20">
        <f>IF(PAC!$R448&gt;0,PAC!$R448,PAC!$Q448)</f>
        <v>14636171.529999999</v>
      </c>
      <c r="T448" s="20" t="s">
        <v>1621</v>
      </c>
      <c r="U448" s="103" t="s">
        <v>1570</v>
      </c>
      <c r="V448" s="103"/>
      <c r="W448" s="104">
        <v>18</v>
      </c>
      <c r="X448" s="104" t="s">
        <v>1694</v>
      </c>
      <c r="Y448" s="101" t="s">
        <v>2470</v>
      </c>
      <c r="Z448" s="107">
        <v>46347</v>
      </c>
      <c r="AA448" s="105">
        <v>52</v>
      </c>
      <c r="AB448" s="40" t="s">
        <v>1472</v>
      </c>
      <c r="AC448" s="108" t="s">
        <v>2130</v>
      </c>
      <c r="AD448" s="107">
        <v>46347</v>
      </c>
      <c r="AE448" s="128" t="s">
        <v>1296</v>
      </c>
      <c r="AF448" s="40" t="s">
        <v>583</v>
      </c>
      <c r="AG448" s="40" t="s">
        <v>2625</v>
      </c>
      <c r="AH448" s="40" t="s">
        <v>977</v>
      </c>
      <c r="AI448" s="40"/>
      <c r="AJ448" s="87">
        <v>47034</v>
      </c>
      <c r="AK448" s="40"/>
      <c r="AL448" s="40"/>
      <c r="AM448" s="40"/>
      <c r="AN448" s="87">
        <v>45604</v>
      </c>
      <c r="AO448" s="87">
        <v>45631</v>
      </c>
      <c r="AP448" s="87">
        <v>45705</v>
      </c>
      <c r="AQ448" s="87">
        <v>45807</v>
      </c>
      <c r="AR448" s="107">
        <v>46347</v>
      </c>
      <c r="AS448" s="107">
        <v>46347</v>
      </c>
      <c r="AT448" s="124" t="s">
        <v>2606</v>
      </c>
      <c r="AU448" s="108" t="s">
        <v>2535</v>
      </c>
      <c r="AV448" s="106"/>
      <c r="AW448" s="105" t="s">
        <v>1651</v>
      </c>
      <c r="AX448" s="109" t="str">
        <f>IFERROR(IF(PAC!$X448="F01 - CAPTAÇÃO DE RECURSO",1,""),"")</f>
        <v/>
      </c>
      <c r="AY448" s="109" t="str">
        <f>IFERROR(IF(PAC!$X448="F02 - LICITAÇÃO",1,""),"")</f>
        <v/>
      </c>
      <c r="AZ448" s="110">
        <f>IFERROR(IF(PAC!$X$6:$X$581="F03 - EXECUÇÃO DO OBJETO",1,""),"")</f>
        <v>1</v>
      </c>
      <c r="BA448" s="110" t="str">
        <f>IFERROR(IF(PAC!$X$6:$X$581="F04 - CONCLUÍDA",1,""),"")</f>
        <v/>
      </c>
      <c r="BB448" s="111">
        <f>IF(PAC!$R448&gt;0,0,PAC!$Q448)</f>
        <v>0</v>
      </c>
    </row>
    <row r="449" spans="1:54" s="1" customFormat="1" ht="249.95" customHeight="1" thickBot="1">
      <c r="A449" s="112">
        <f t="shared" si="7"/>
        <v>444</v>
      </c>
      <c r="B449" s="113">
        <v>2023</v>
      </c>
      <c r="C449" s="112" t="s">
        <v>605</v>
      </c>
      <c r="D449" s="112" t="s">
        <v>1010</v>
      </c>
      <c r="E449" s="114" t="s">
        <v>686</v>
      </c>
      <c r="F449" s="112" t="s">
        <v>576</v>
      </c>
      <c r="G449" s="112" t="s">
        <v>596</v>
      </c>
      <c r="H449" s="115" t="s">
        <v>1243</v>
      </c>
      <c r="I449" s="112" t="s">
        <v>600</v>
      </c>
      <c r="J449" s="112" t="s">
        <v>419</v>
      </c>
      <c r="K449" s="31"/>
      <c r="L449" s="31">
        <v>67744089.930000007</v>
      </c>
      <c r="M449" s="31">
        <v>67744089.930000007</v>
      </c>
      <c r="N449" s="31"/>
      <c r="O449" s="31"/>
      <c r="P449" s="31"/>
      <c r="Q449" s="33">
        <f>SUM(PAC!$M449:$P449)</f>
        <v>67744089.930000007</v>
      </c>
      <c r="R449" s="33">
        <v>21991559.059999999</v>
      </c>
      <c r="S449" s="33">
        <f>IF(PAC!$R449&gt;0,PAC!$R449,PAC!$Q449)</f>
        <v>21991559.059999999</v>
      </c>
      <c r="T449" s="33" t="s">
        <v>1620</v>
      </c>
      <c r="U449" s="116" t="s">
        <v>1570</v>
      </c>
      <c r="V449" s="116"/>
      <c r="W449" s="117">
        <v>12</v>
      </c>
      <c r="X449" s="117" t="s">
        <v>1694</v>
      </c>
      <c r="Y449" s="113" t="s">
        <v>2470</v>
      </c>
      <c r="Z449" s="121">
        <v>46269</v>
      </c>
      <c r="AA449" s="119">
        <v>97</v>
      </c>
      <c r="AB449" s="115" t="s">
        <v>1472</v>
      </c>
      <c r="AC449" s="115" t="s">
        <v>2496</v>
      </c>
      <c r="AD449" s="121">
        <v>46269</v>
      </c>
      <c r="AE449" s="127" t="s">
        <v>1296</v>
      </c>
      <c r="AF449" s="115" t="s">
        <v>586</v>
      </c>
      <c r="AG449" s="115" t="s">
        <v>2626</v>
      </c>
      <c r="AH449" s="115" t="s">
        <v>977</v>
      </c>
      <c r="AI449" s="115"/>
      <c r="AJ449" s="118">
        <v>47034</v>
      </c>
      <c r="AK449" s="115"/>
      <c r="AL449" s="115"/>
      <c r="AM449" s="115"/>
      <c r="AN449" s="118">
        <v>45469</v>
      </c>
      <c r="AO449" s="118">
        <v>45492</v>
      </c>
      <c r="AP449" s="118">
        <v>45548</v>
      </c>
      <c r="AQ449" s="118">
        <v>45579</v>
      </c>
      <c r="AR449" s="121">
        <v>45940</v>
      </c>
      <c r="AS449" s="121">
        <v>46269</v>
      </c>
      <c r="AT449" s="125" t="s">
        <v>2607</v>
      </c>
      <c r="AU449" s="122" t="s">
        <v>2369</v>
      </c>
      <c r="AV449" s="120"/>
      <c r="AW449" s="119" t="s">
        <v>1651</v>
      </c>
      <c r="AX449" s="194" t="str">
        <f>IFERROR(IF(PAC!$X449="F01 - CAPTAÇÃO DE RECURSO",1,""),"")</f>
        <v/>
      </c>
      <c r="AY449" s="194" t="str">
        <f>IFERROR(IF(PAC!$X449="F02 - LICITAÇÃO",1,""),"")</f>
        <v/>
      </c>
      <c r="AZ449" s="123">
        <f>IFERROR(IF(PAC!$X$6:$X$581="F03 - EXECUÇÃO DO OBJETO",1,""),"")</f>
        <v>1</v>
      </c>
      <c r="BA449" s="123" t="str">
        <f>IFERROR(IF(PAC!$X$6:$X$581="F04 - CONCLUÍDA",1,""),"")</f>
        <v/>
      </c>
      <c r="BB449" s="191">
        <f>IF(PAC!$R449&gt;0,0,PAC!$Q449)</f>
        <v>0</v>
      </c>
    </row>
    <row r="450" spans="1:54" s="1" customFormat="1" ht="249.95" customHeight="1" thickBot="1">
      <c r="A450" s="88">
        <f t="shared" si="7"/>
        <v>445</v>
      </c>
      <c r="B450" s="101">
        <v>2023</v>
      </c>
      <c r="C450" s="88" t="s">
        <v>605</v>
      </c>
      <c r="D450" s="88" t="s">
        <v>1010</v>
      </c>
      <c r="E450" s="102" t="s">
        <v>1648</v>
      </c>
      <c r="F450" s="88" t="s">
        <v>576</v>
      </c>
      <c r="G450" s="88" t="s">
        <v>596</v>
      </c>
      <c r="H450" s="40" t="s">
        <v>1243</v>
      </c>
      <c r="I450" s="88" t="s">
        <v>600</v>
      </c>
      <c r="J450" s="88" t="s">
        <v>192</v>
      </c>
      <c r="K450" s="18">
        <v>28699705.719999999</v>
      </c>
      <c r="L450" s="18"/>
      <c r="M450" s="18"/>
      <c r="N450" s="18">
        <v>1510511.12</v>
      </c>
      <c r="O450" s="18"/>
      <c r="P450" s="18">
        <v>28699705.719999999</v>
      </c>
      <c r="Q450" s="20">
        <f>SUM(PAC!$M450:$P450)</f>
        <v>30210216.84</v>
      </c>
      <c r="R450" s="20">
        <v>20823856.23</v>
      </c>
      <c r="S450" s="20">
        <f>IF(PAC!$R450&gt;0,PAC!$R450,PAC!$Q450)</f>
        <v>20823856.23</v>
      </c>
      <c r="T450" s="20" t="s">
        <v>1623</v>
      </c>
      <c r="U450" s="103" t="s">
        <v>1573</v>
      </c>
      <c r="V450" s="103" t="s">
        <v>1764</v>
      </c>
      <c r="W450" s="104">
        <v>18</v>
      </c>
      <c r="X450" s="104" t="s">
        <v>1694</v>
      </c>
      <c r="Y450" s="101" t="s">
        <v>2470</v>
      </c>
      <c r="Z450" s="107">
        <v>46360</v>
      </c>
      <c r="AA450" s="105">
        <v>56</v>
      </c>
      <c r="AB450" s="40" t="s">
        <v>1472</v>
      </c>
      <c r="AC450" s="108" t="s">
        <v>2046</v>
      </c>
      <c r="AD450" s="107">
        <v>46360</v>
      </c>
      <c r="AE450" s="128" t="s">
        <v>1650</v>
      </c>
      <c r="AF450" s="40" t="s">
        <v>534</v>
      </c>
      <c r="AG450" s="40" t="s">
        <v>2150</v>
      </c>
      <c r="AH450" s="40"/>
      <c r="AI450" s="40"/>
      <c r="AJ450" s="87"/>
      <c r="AK450" s="40"/>
      <c r="AL450" s="40"/>
      <c r="AM450" s="40"/>
      <c r="AN450" s="87">
        <v>45541</v>
      </c>
      <c r="AO450" s="87">
        <v>45677</v>
      </c>
      <c r="AP450" s="87">
        <v>45747</v>
      </c>
      <c r="AQ450" s="87">
        <v>45790</v>
      </c>
      <c r="AR450" s="107">
        <v>46330</v>
      </c>
      <c r="AS450" s="107">
        <v>46360</v>
      </c>
      <c r="AT450" s="124" t="s">
        <v>2537</v>
      </c>
      <c r="AU450" s="108" t="s">
        <v>1878</v>
      </c>
      <c r="AV450" s="106"/>
      <c r="AW450" s="105" t="s">
        <v>1651</v>
      </c>
      <c r="AX450" s="109" t="str">
        <f>IFERROR(IF(PAC!$X450="F01 - CAPTAÇÃO DE RECURSO",1,""),"")</f>
        <v/>
      </c>
      <c r="AY450" s="109" t="str">
        <f>IFERROR(IF(PAC!$X450="F02 - LICITAÇÃO",1,""),"")</f>
        <v/>
      </c>
      <c r="AZ450" s="110">
        <f>IFERROR(IF(PAC!$X$6:$X$581="F03 - EXECUÇÃO DO OBJETO",1,""),"")</f>
        <v>1</v>
      </c>
      <c r="BA450" s="110" t="str">
        <f>IFERROR(IF(PAC!$X$6:$X$581="F04 - CONCLUÍDA",1,""),"")</f>
        <v/>
      </c>
      <c r="BB450" s="111">
        <f>IF(PAC!$R450&gt;0,0,PAC!$Q450)</f>
        <v>0</v>
      </c>
    </row>
    <row r="451" spans="1:54" s="1" customFormat="1" ht="309" customHeight="1" thickBot="1">
      <c r="A451" s="112">
        <f t="shared" si="7"/>
        <v>446</v>
      </c>
      <c r="B451" s="113">
        <v>2023</v>
      </c>
      <c r="C451" s="112" t="s">
        <v>605</v>
      </c>
      <c r="D451" s="112" t="s">
        <v>1010</v>
      </c>
      <c r="E451" s="114" t="s">
        <v>533</v>
      </c>
      <c r="F451" s="112" t="s">
        <v>576</v>
      </c>
      <c r="G451" s="112" t="s">
        <v>596</v>
      </c>
      <c r="H451" s="115" t="s">
        <v>1243</v>
      </c>
      <c r="I451" s="112" t="s">
        <v>600</v>
      </c>
      <c r="J451" s="112" t="s">
        <v>371</v>
      </c>
      <c r="K451" s="31">
        <v>101573661.84999999</v>
      </c>
      <c r="L451" s="31"/>
      <c r="M451" s="31"/>
      <c r="N451" s="31">
        <v>5345982.2</v>
      </c>
      <c r="O451" s="31"/>
      <c r="P451" s="31">
        <v>101573661.84999999</v>
      </c>
      <c r="Q451" s="33">
        <f>SUM(PAC!$M451:$P451)</f>
        <v>106919644.05</v>
      </c>
      <c r="R451" s="33">
        <v>26469000</v>
      </c>
      <c r="S451" s="33">
        <f>IF(PAC!$R451&gt;0,PAC!$R451,PAC!$Q451)</f>
        <v>26469000</v>
      </c>
      <c r="T451" s="33" t="s">
        <v>1619</v>
      </c>
      <c r="U451" s="116" t="s">
        <v>1573</v>
      </c>
      <c r="V451" s="116" t="s">
        <v>1764</v>
      </c>
      <c r="W451" s="117"/>
      <c r="X451" s="117" t="s">
        <v>1694</v>
      </c>
      <c r="Y451" s="113" t="s">
        <v>2470</v>
      </c>
      <c r="Z451" s="121">
        <v>46901</v>
      </c>
      <c r="AA451" s="119">
        <v>0</v>
      </c>
      <c r="AB451" s="115" t="s">
        <v>1472</v>
      </c>
      <c r="AC451" s="122" t="s">
        <v>2499</v>
      </c>
      <c r="AD451" s="121">
        <v>46901</v>
      </c>
      <c r="AE451" s="127" t="s">
        <v>1472</v>
      </c>
      <c r="AF451" s="115" t="s">
        <v>535</v>
      </c>
      <c r="AG451" s="115" t="s">
        <v>2151</v>
      </c>
      <c r="AH451" s="115"/>
      <c r="AI451" s="115"/>
      <c r="AJ451" s="118"/>
      <c r="AK451" s="115"/>
      <c r="AL451" s="115"/>
      <c r="AM451" s="115"/>
      <c r="AN451" s="118">
        <v>45890</v>
      </c>
      <c r="AO451" s="118">
        <v>45992</v>
      </c>
      <c r="AP451" s="118">
        <v>46099</v>
      </c>
      <c r="AQ451" s="118">
        <v>46181</v>
      </c>
      <c r="AR451" s="121">
        <v>46901</v>
      </c>
      <c r="AS451" s="121">
        <v>46901</v>
      </c>
      <c r="AT451" s="125" t="s">
        <v>2498</v>
      </c>
      <c r="AU451" s="122" t="s">
        <v>1929</v>
      </c>
      <c r="AV451" s="120"/>
      <c r="AW451" s="119" t="s">
        <v>1651</v>
      </c>
      <c r="AX451" s="194" t="str">
        <f>IFERROR(IF(PAC!$X451="F01 - CAPTAÇÃO DE RECURSO",1,""),"")</f>
        <v/>
      </c>
      <c r="AY451" s="194" t="str">
        <f>IFERROR(IF(PAC!$X451="F02 - LICITAÇÃO",1,""),"")</f>
        <v/>
      </c>
      <c r="AZ451" s="123">
        <f>IFERROR(IF(PAC!$X$6:$X$581="F03 - EXECUÇÃO DO OBJETO",1,""),"")</f>
        <v>1</v>
      </c>
      <c r="BA451" s="123" t="str">
        <f>IFERROR(IF(PAC!$X$6:$X$581="F04 - CONCLUÍDA",1,""),"")</f>
        <v/>
      </c>
      <c r="BB451" s="191">
        <f>IF(PAC!$R451&gt;0,0,PAC!$Q451)</f>
        <v>0</v>
      </c>
    </row>
    <row r="452" spans="1:54" s="1" customFormat="1" ht="144.75" customHeight="1" thickBot="1">
      <c r="A452" s="88">
        <f t="shared" si="7"/>
        <v>447</v>
      </c>
      <c r="B452" s="101">
        <v>2023</v>
      </c>
      <c r="C452" s="88" t="s">
        <v>605</v>
      </c>
      <c r="D452" s="88" t="s">
        <v>1010</v>
      </c>
      <c r="E452" s="102" t="s">
        <v>530</v>
      </c>
      <c r="F452" s="88" t="s">
        <v>576</v>
      </c>
      <c r="G452" s="88" t="s">
        <v>596</v>
      </c>
      <c r="H452" s="40" t="s">
        <v>1243</v>
      </c>
      <c r="I452" s="88" t="s">
        <v>600</v>
      </c>
      <c r="J452" s="88" t="s">
        <v>407</v>
      </c>
      <c r="K452" s="18"/>
      <c r="L452" s="18">
        <v>38572107.189999998</v>
      </c>
      <c r="M452" s="18">
        <v>38572107.189999998</v>
      </c>
      <c r="N452" s="18"/>
      <c r="O452" s="18"/>
      <c r="P452" s="18"/>
      <c r="Q452" s="20">
        <f>SUM(PAC!$M452:$P452)</f>
        <v>38572107.189999998</v>
      </c>
      <c r="R452" s="20">
        <v>8489481.5700000003</v>
      </c>
      <c r="S452" s="20">
        <f>IF(PAC!$R452&gt;0,PAC!$R452,PAC!$Q452)</f>
        <v>8489481.5700000003</v>
      </c>
      <c r="T452" s="20" t="s">
        <v>1622</v>
      </c>
      <c r="U452" s="103" t="s">
        <v>1570</v>
      </c>
      <c r="V452" s="103"/>
      <c r="W452" s="104">
        <v>18</v>
      </c>
      <c r="X452" s="104" t="s">
        <v>1694</v>
      </c>
      <c r="Y452" s="101" t="s">
        <v>2470</v>
      </c>
      <c r="Z452" s="107">
        <v>46465</v>
      </c>
      <c r="AA452" s="105">
        <v>78</v>
      </c>
      <c r="AB452" s="40" t="s">
        <v>1472</v>
      </c>
      <c r="AC452" s="108" t="s">
        <v>2130</v>
      </c>
      <c r="AD452" s="107">
        <v>46465</v>
      </c>
      <c r="AE452" s="128" t="s">
        <v>1296</v>
      </c>
      <c r="AF452" s="40" t="s">
        <v>585</v>
      </c>
      <c r="AG452" s="40" t="s">
        <v>2627</v>
      </c>
      <c r="AH452" s="40" t="s">
        <v>977</v>
      </c>
      <c r="AI452" s="40"/>
      <c r="AJ452" s="87">
        <v>47034</v>
      </c>
      <c r="AK452" s="40"/>
      <c r="AL452" s="40"/>
      <c r="AM452" s="40"/>
      <c r="AN452" s="87">
        <v>45652</v>
      </c>
      <c r="AO452" s="87">
        <v>45729</v>
      </c>
      <c r="AP452" s="87">
        <v>45792</v>
      </c>
      <c r="AQ452" s="87">
        <v>45805</v>
      </c>
      <c r="AR452" s="107">
        <v>46345</v>
      </c>
      <c r="AS452" s="107">
        <v>46465</v>
      </c>
      <c r="AT452" s="124" t="s">
        <v>2608</v>
      </c>
      <c r="AU452" s="108" t="s">
        <v>2370</v>
      </c>
      <c r="AV452" s="106"/>
      <c r="AW452" s="105" t="s">
        <v>1651</v>
      </c>
      <c r="AX452" s="109" t="str">
        <f>IFERROR(IF(PAC!$X452="F01 - CAPTAÇÃO DE RECURSO",1,""),"")</f>
        <v/>
      </c>
      <c r="AY452" s="109" t="str">
        <f>IFERROR(IF(PAC!$X452="F02 - LICITAÇÃO",1,""),"")</f>
        <v/>
      </c>
      <c r="AZ452" s="110">
        <f>IFERROR(IF(PAC!$X$6:$X$581="F03 - EXECUÇÃO DO OBJETO",1,""),"")</f>
        <v>1</v>
      </c>
      <c r="BA452" s="110" t="str">
        <f>IFERROR(IF(PAC!$X$6:$X$581="F04 - CONCLUÍDA",1,""),"")</f>
        <v/>
      </c>
      <c r="BB452" s="111">
        <f>IF(PAC!$R452&gt;0,0,PAC!$Q452)</f>
        <v>0</v>
      </c>
    </row>
    <row r="453" spans="1:54" s="1" customFormat="1" ht="169.5" customHeight="1" thickBot="1">
      <c r="A453" s="112">
        <f t="shared" ref="A453:A516" si="8">ROW()-5</f>
        <v>448</v>
      </c>
      <c r="B453" s="113">
        <v>2023</v>
      </c>
      <c r="C453" s="112" t="s">
        <v>605</v>
      </c>
      <c r="D453" s="112" t="s">
        <v>1010</v>
      </c>
      <c r="E453" s="114" t="s">
        <v>528</v>
      </c>
      <c r="F453" s="112" t="s">
        <v>576</v>
      </c>
      <c r="G453" s="112" t="s">
        <v>596</v>
      </c>
      <c r="H453" s="115" t="s">
        <v>1243</v>
      </c>
      <c r="I453" s="112" t="s">
        <v>601</v>
      </c>
      <c r="J453" s="112" t="s">
        <v>438</v>
      </c>
      <c r="K453" s="31"/>
      <c r="L453" s="31">
        <v>7398793.4400000004</v>
      </c>
      <c r="M453" s="31">
        <v>7398793.4400000004</v>
      </c>
      <c r="N453" s="31"/>
      <c r="O453" s="31"/>
      <c r="P453" s="31"/>
      <c r="Q453" s="33">
        <f>SUM(PAC!$M453:$P453)</f>
        <v>7398793.4400000004</v>
      </c>
      <c r="R453" s="33">
        <v>7025569.5700000003</v>
      </c>
      <c r="S453" s="33">
        <f>IF(PAC!$R453&gt;0,PAC!$R453,PAC!$Q453)</f>
        <v>7025569.5700000003</v>
      </c>
      <c r="T453" s="33" t="s">
        <v>2560</v>
      </c>
      <c r="U453" s="116" t="s">
        <v>1570</v>
      </c>
      <c r="V453" s="116"/>
      <c r="W453" s="117">
        <v>8</v>
      </c>
      <c r="X453" s="117" t="s">
        <v>1418</v>
      </c>
      <c r="Y453" s="113" t="s">
        <v>2472</v>
      </c>
      <c r="Z453" s="118"/>
      <c r="AA453" s="119"/>
      <c r="AB453" s="115" t="s">
        <v>1468</v>
      </c>
      <c r="AC453" s="115" t="s">
        <v>1931</v>
      </c>
      <c r="AD453" s="120"/>
      <c r="AE453" s="127" t="s">
        <v>2561</v>
      </c>
      <c r="AF453" s="115" t="s">
        <v>581</v>
      </c>
      <c r="AG453" s="115" t="s">
        <v>2628</v>
      </c>
      <c r="AH453" s="115" t="s">
        <v>977</v>
      </c>
      <c r="AI453" s="115"/>
      <c r="AJ453" s="118">
        <v>46664</v>
      </c>
      <c r="AK453" s="115"/>
      <c r="AL453" s="115"/>
      <c r="AM453" s="115"/>
      <c r="AN453" s="118">
        <v>46108</v>
      </c>
      <c r="AO453" s="118">
        <v>46136</v>
      </c>
      <c r="AP453" s="118">
        <v>46238</v>
      </c>
      <c r="AQ453" s="118"/>
      <c r="AR453" s="121"/>
      <c r="AS453" s="121"/>
      <c r="AT453" s="125" t="s">
        <v>2562</v>
      </c>
      <c r="AU453" s="122" t="s">
        <v>2278</v>
      </c>
      <c r="AV453" s="120"/>
      <c r="AW453" s="119"/>
      <c r="AX453" s="194" t="str">
        <f>IFERROR(IF(PAC!$X453="F01 - CAPTAÇÃO DE RECURSO",1,""),"")</f>
        <v/>
      </c>
      <c r="AY453" s="194">
        <f>IFERROR(IF(PAC!$X453="F02 - LICITAÇÃO",1,""),"")</f>
        <v>1</v>
      </c>
      <c r="AZ453" s="123" t="str">
        <f>IFERROR(IF(PAC!$X$6:$X$581="F03 - EXECUÇÃO DO OBJETO",1,""),"")</f>
        <v/>
      </c>
      <c r="BA453" s="123" t="str">
        <f>IFERROR(IF(PAC!$X$6:$X$581="F04 - CONCLUÍDA",1,""),"")</f>
        <v/>
      </c>
      <c r="BB453" s="191">
        <f>IF(PAC!$R453&gt;0,0,PAC!$Q453)</f>
        <v>0</v>
      </c>
    </row>
    <row r="454" spans="1:54" s="1" customFormat="1" ht="168" customHeight="1" thickBot="1">
      <c r="A454" s="88">
        <f t="shared" si="8"/>
        <v>449</v>
      </c>
      <c r="B454" s="88">
        <v>2025</v>
      </c>
      <c r="C454" s="88" t="s">
        <v>605</v>
      </c>
      <c r="D454" s="88" t="s">
        <v>1010</v>
      </c>
      <c r="E454" s="102" t="s">
        <v>870</v>
      </c>
      <c r="F454" s="88" t="s">
        <v>576</v>
      </c>
      <c r="G454" s="88" t="s">
        <v>596</v>
      </c>
      <c r="H454" s="40" t="s">
        <v>1243</v>
      </c>
      <c r="I454" s="88" t="s">
        <v>600</v>
      </c>
      <c r="J454" s="88" t="s">
        <v>361</v>
      </c>
      <c r="K454" s="18">
        <v>220000000</v>
      </c>
      <c r="L454" s="18"/>
      <c r="M454" s="18"/>
      <c r="N454" s="18">
        <f>K454-P454</f>
        <v>11000000</v>
      </c>
      <c r="O454" s="18"/>
      <c r="P454" s="18">
        <v>209000000</v>
      </c>
      <c r="Q454" s="20">
        <f>SUM(PAC!$M454:$P454)</f>
        <v>220000000</v>
      </c>
      <c r="R454" s="20"/>
      <c r="S454" s="20">
        <f>IF(PAC!$R454&gt;0,PAC!$R454,PAC!$Q454)</f>
        <v>220000000</v>
      </c>
      <c r="T454" s="20"/>
      <c r="U454" s="103" t="s">
        <v>594</v>
      </c>
      <c r="V454" s="103" t="s">
        <v>1764</v>
      </c>
      <c r="W454" s="104"/>
      <c r="X454" s="104" t="s">
        <v>1419</v>
      </c>
      <c r="Y454" s="101" t="s">
        <v>2476</v>
      </c>
      <c r="Z454" s="87"/>
      <c r="AA454" s="105"/>
      <c r="AB454" s="40" t="s">
        <v>1509</v>
      </c>
      <c r="AC454" s="40" t="s">
        <v>2415</v>
      </c>
      <c r="AD454" s="106">
        <v>46325</v>
      </c>
      <c r="AE454" s="102" t="s">
        <v>1946</v>
      </c>
      <c r="AF454" s="40" t="s">
        <v>875</v>
      </c>
      <c r="AG454" s="40"/>
      <c r="AH454" s="40"/>
      <c r="AI454" s="40"/>
      <c r="AJ454" s="87"/>
      <c r="AK454" s="40"/>
      <c r="AL454" s="40"/>
      <c r="AM454" s="40"/>
      <c r="AN454" s="87">
        <v>46539</v>
      </c>
      <c r="AO454" s="87"/>
      <c r="AP454" s="87"/>
      <c r="AQ454" s="87"/>
      <c r="AR454" s="107"/>
      <c r="AS454" s="107"/>
      <c r="AT454" s="176" t="s">
        <v>2380</v>
      </c>
      <c r="AU454" s="40" t="s">
        <v>1753</v>
      </c>
      <c r="AV454" s="106"/>
      <c r="AW454" s="129" t="s">
        <v>1610</v>
      </c>
      <c r="AX454" s="109">
        <f>IFERROR(IF(PAC!$X454="F01 - CAPTAÇÃO DE RECURSO",1,""),"")</f>
        <v>1</v>
      </c>
      <c r="AY454" s="109" t="str">
        <f>IFERROR(IF(PAC!$X454="F02 - LICITAÇÃO",1,""),"")</f>
        <v/>
      </c>
      <c r="AZ454" s="110" t="str">
        <f>IFERROR(IF(PAC!$X$6:$X$581="F03 - EXECUÇÃO DO OBJETO",1,""),"")</f>
        <v/>
      </c>
      <c r="BA454" s="110" t="str">
        <f>IFERROR(IF(PAC!$X$6:$X$581="F04 - CONCLUÍDA",1,""),"")</f>
        <v/>
      </c>
      <c r="BB454" s="111">
        <f>IF(PAC!$R454&gt;0,0,PAC!$Q454)</f>
        <v>220000000</v>
      </c>
    </row>
    <row r="455" spans="1:54" s="1" customFormat="1" ht="161.25" customHeight="1" thickBot="1">
      <c r="A455" s="112">
        <f t="shared" si="8"/>
        <v>450</v>
      </c>
      <c r="B455" s="112">
        <v>2025</v>
      </c>
      <c r="C455" s="112" t="s">
        <v>605</v>
      </c>
      <c r="D455" s="112" t="s">
        <v>1010</v>
      </c>
      <c r="E455" s="114" t="s">
        <v>871</v>
      </c>
      <c r="F455" s="112" t="s">
        <v>576</v>
      </c>
      <c r="G455" s="112" t="s">
        <v>596</v>
      </c>
      <c r="H455" s="115" t="s">
        <v>1243</v>
      </c>
      <c r="I455" s="112" t="s">
        <v>600</v>
      </c>
      <c r="J455" s="112" t="s">
        <v>361</v>
      </c>
      <c r="K455" s="31">
        <v>831474768.44000006</v>
      </c>
      <c r="L455" s="31"/>
      <c r="M455" s="31"/>
      <c r="N455" s="31">
        <f>K455-P455</f>
        <v>41573738.420000076</v>
      </c>
      <c r="O455" s="31"/>
      <c r="P455" s="31">
        <v>789901030.01999998</v>
      </c>
      <c r="Q455" s="33">
        <f>SUM(PAC!$M455:$P455)</f>
        <v>831474768.44000006</v>
      </c>
      <c r="R455" s="33"/>
      <c r="S455" s="33">
        <f>IF(PAC!$R455&gt;0,PAC!$R455,PAC!$Q455)</f>
        <v>831474768.44000006</v>
      </c>
      <c r="T455" s="33"/>
      <c r="U455" s="116" t="s">
        <v>594</v>
      </c>
      <c r="V455" s="116" t="s">
        <v>1764</v>
      </c>
      <c r="W455" s="117"/>
      <c r="X455" s="117" t="s">
        <v>1419</v>
      </c>
      <c r="Y455" s="113" t="s">
        <v>2476</v>
      </c>
      <c r="Z455" s="118"/>
      <c r="AA455" s="119"/>
      <c r="AB455" s="115" t="s">
        <v>1509</v>
      </c>
      <c r="AC455" s="115" t="s">
        <v>2500</v>
      </c>
      <c r="AD455" s="120">
        <v>46325</v>
      </c>
      <c r="AE455" s="114" t="s">
        <v>1946</v>
      </c>
      <c r="AF455" s="115" t="s">
        <v>876</v>
      </c>
      <c r="AG455" s="115"/>
      <c r="AH455" s="115"/>
      <c r="AI455" s="115"/>
      <c r="AJ455" s="118"/>
      <c r="AK455" s="115"/>
      <c r="AL455" s="115"/>
      <c r="AM455" s="115"/>
      <c r="AN455" s="118">
        <v>46539</v>
      </c>
      <c r="AO455" s="118"/>
      <c r="AP455" s="118"/>
      <c r="AQ455" s="118"/>
      <c r="AR455" s="121"/>
      <c r="AS455" s="121"/>
      <c r="AT455" s="177" t="s">
        <v>2381</v>
      </c>
      <c r="AU455" s="115" t="s">
        <v>1753</v>
      </c>
      <c r="AV455" s="120"/>
      <c r="AW455" s="112" t="s">
        <v>1610</v>
      </c>
      <c r="AX455" s="194">
        <f>IFERROR(IF(PAC!$X455="F01 - CAPTAÇÃO DE RECURSO",1,""),"")</f>
        <v>1</v>
      </c>
      <c r="AY455" s="194" t="str">
        <f>IFERROR(IF(PAC!$X455="F02 - LICITAÇÃO",1,""),"")</f>
        <v/>
      </c>
      <c r="AZ455" s="123" t="str">
        <f>IFERROR(IF(PAC!$X$6:$X$581="F03 - EXECUÇÃO DO OBJETO",1,""),"")</f>
        <v/>
      </c>
      <c r="BA455" s="123" t="str">
        <f>IFERROR(IF(PAC!$X$6:$X$581="F04 - CONCLUÍDA",1,""),"")</f>
        <v/>
      </c>
      <c r="BB455" s="191">
        <f>IF(PAC!$R455&gt;0,0,PAC!$Q455)</f>
        <v>831474768.44000006</v>
      </c>
    </row>
    <row r="456" spans="1:54" s="1" customFormat="1" ht="201" customHeight="1" thickBot="1">
      <c r="A456" s="88">
        <f t="shared" si="8"/>
        <v>451</v>
      </c>
      <c r="B456" s="88">
        <v>2025</v>
      </c>
      <c r="C456" s="88" t="s">
        <v>605</v>
      </c>
      <c r="D456" s="88" t="s">
        <v>1010</v>
      </c>
      <c r="E456" s="102" t="s">
        <v>2221</v>
      </c>
      <c r="F456" s="88" t="s">
        <v>576</v>
      </c>
      <c r="G456" s="88" t="s">
        <v>596</v>
      </c>
      <c r="H456" s="40" t="s">
        <v>1243</v>
      </c>
      <c r="I456" s="88" t="s">
        <v>600</v>
      </c>
      <c r="J456" s="88" t="s">
        <v>216</v>
      </c>
      <c r="K456" s="18">
        <v>147368421.05000001</v>
      </c>
      <c r="L456" s="18"/>
      <c r="M456" s="18"/>
      <c r="N456" s="18"/>
      <c r="O456" s="18"/>
      <c r="P456" s="18"/>
      <c r="Q456" s="20">
        <f>SUM(PAC!$M456:$P456)</f>
        <v>0</v>
      </c>
      <c r="R456" s="20"/>
      <c r="S456" s="20">
        <f>IF(PAC!$R456&gt;0,PAC!$R456,PAC!$Q456)</f>
        <v>0</v>
      </c>
      <c r="T456" s="20"/>
      <c r="U456" s="103" t="s">
        <v>594</v>
      </c>
      <c r="V456" s="103"/>
      <c r="W456" s="104"/>
      <c r="X456" s="104" t="s">
        <v>1419</v>
      </c>
      <c r="Y456" s="101" t="s">
        <v>2480</v>
      </c>
      <c r="Z456" s="87"/>
      <c r="AA456" s="105"/>
      <c r="AB456" s="40"/>
      <c r="AC456" s="40" t="s">
        <v>2222</v>
      </c>
      <c r="AD456" s="106"/>
      <c r="AE456" s="102" t="s">
        <v>1288</v>
      </c>
      <c r="AF456" s="40" t="s">
        <v>877</v>
      </c>
      <c r="AG456" s="40"/>
      <c r="AH456" s="40"/>
      <c r="AI456" s="40"/>
      <c r="AJ456" s="87"/>
      <c r="AK456" s="40"/>
      <c r="AL456" s="40"/>
      <c r="AM456" s="40"/>
      <c r="AN456" s="87">
        <v>46140</v>
      </c>
      <c r="AO456" s="87">
        <v>46168</v>
      </c>
      <c r="AP456" s="87"/>
      <c r="AQ456" s="87"/>
      <c r="AR456" s="107"/>
      <c r="AS456" s="107"/>
      <c r="AT456" s="40" t="s">
        <v>2024</v>
      </c>
      <c r="AU456" s="40" t="s">
        <v>2223</v>
      </c>
      <c r="AV456" s="106"/>
      <c r="AW456" s="88" t="s">
        <v>1652</v>
      </c>
      <c r="AX456" s="109">
        <f>IFERROR(IF(PAC!$X456="F01 - CAPTAÇÃO DE RECURSO",1,""),"")</f>
        <v>1</v>
      </c>
      <c r="AY456" s="109" t="str">
        <f>IFERROR(IF(PAC!$X456="F02 - LICITAÇÃO",1,""),"")</f>
        <v/>
      </c>
      <c r="AZ456" s="110" t="str">
        <f>IFERROR(IF(PAC!$X$6:$X$581="F03 - EXECUÇÃO DO OBJETO",1,""),"")</f>
        <v/>
      </c>
      <c r="BA456" s="110" t="str">
        <f>IFERROR(IF(PAC!$X$6:$X$581="F04 - CONCLUÍDA",1,""),"")</f>
        <v/>
      </c>
      <c r="BB456" s="111">
        <f>IF(PAC!$R456&gt;0,0,PAC!$Q456)</f>
        <v>0</v>
      </c>
    </row>
    <row r="457" spans="1:54" s="1" customFormat="1" ht="190.5" customHeight="1" thickBot="1">
      <c r="A457" s="112">
        <f t="shared" si="8"/>
        <v>452</v>
      </c>
      <c r="B457" s="112">
        <v>2025</v>
      </c>
      <c r="C457" s="112" t="s">
        <v>605</v>
      </c>
      <c r="D457" s="112" t="s">
        <v>1010</v>
      </c>
      <c r="E457" s="114" t="s">
        <v>702</v>
      </c>
      <c r="F457" s="112" t="s">
        <v>576</v>
      </c>
      <c r="G457" s="112" t="s">
        <v>596</v>
      </c>
      <c r="H457" s="115" t="s">
        <v>1243</v>
      </c>
      <c r="I457" s="112" t="s">
        <v>600</v>
      </c>
      <c r="J457" s="112" t="s">
        <v>27</v>
      </c>
      <c r="K457" s="31">
        <v>23969428.18</v>
      </c>
      <c r="L457" s="31"/>
      <c r="M457" s="31"/>
      <c r="N457" s="31">
        <f>K457-P457</f>
        <v>1198471.4100000001</v>
      </c>
      <c r="O457" s="31"/>
      <c r="P457" s="31">
        <v>22770956.77</v>
      </c>
      <c r="Q457" s="33">
        <f>SUM(PAC!$M457:$P457)</f>
        <v>23969428.18</v>
      </c>
      <c r="R457" s="33"/>
      <c r="S457" s="33">
        <f>IF(PAC!$R457&gt;0,PAC!$R457,PAC!$Q457)</f>
        <v>23969428.18</v>
      </c>
      <c r="T457" s="33"/>
      <c r="U457" s="116" t="s">
        <v>594</v>
      </c>
      <c r="V457" s="116" t="s">
        <v>1764</v>
      </c>
      <c r="W457" s="117"/>
      <c r="X457" s="117" t="s">
        <v>1419</v>
      </c>
      <c r="Y457" s="113" t="s">
        <v>2476</v>
      </c>
      <c r="Z457" s="118"/>
      <c r="AA457" s="119"/>
      <c r="AB457" s="115" t="s">
        <v>1509</v>
      </c>
      <c r="AC457" s="115" t="s">
        <v>2502</v>
      </c>
      <c r="AD457" s="120">
        <v>46325</v>
      </c>
      <c r="AE457" s="114" t="s">
        <v>1946</v>
      </c>
      <c r="AF457" s="115" t="s">
        <v>878</v>
      </c>
      <c r="AG457" s="115"/>
      <c r="AH457" s="115"/>
      <c r="AI457" s="115"/>
      <c r="AJ457" s="118"/>
      <c r="AK457" s="115"/>
      <c r="AL457" s="115"/>
      <c r="AM457" s="115"/>
      <c r="AN457" s="118">
        <v>46356</v>
      </c>
      <c r="AO457" s="118"/>
      <c r="AP457" s="118"/>
      <c r="AQ457" s="118"/>
      <c r="AR457" s="121"/>
      <c r="AS457" s="121"/>
      <c r="AT457" s="177" t="s">
        <v>2501</v>
      </c>
      <c r="AU457" s="115" t="s">
        <v>1753</v>
      </c>
      <c r="AV457" s="120"/>
      <c r="AW457" s="131" t="s">
        <v>1610</v>
      </c>
      <c r="AX457" s="194">
        <f>IFERROR(IF(PAC!$X457="F01 - CAPTAÇÃO DE RECURSO",1,""),"")</f>
        <v>1</v>
      </c>
      <c r="AY457" s="194" t="str">
        <f>IFERROR(IF(PAC!$X457="F02 - LICITAÇÃO",1,""),"")</f>
        <v/>
      </c>
      <c r="AZ457" s="123" t="str">
        <f>IFERROR(IF(PAC!$X$6:$X$581="F03 - EXECUÇÃO DO OBJETO",1,""),"")</f>
        <v/>
      </c>
      <c r="BA457" s="123" t="str">
        <f>IFERROR(IF(PAC!$X$6:$X$581="F04 - CONCLUÍDA",1,""),"")</f>
        <v/>
      </c>
      <c r="BB457" s="191">
        <f>IF(PAC!$R457&gt;0,0,PAC!$Q457)</f>
        <v>23969428.18</v>
      </c>
    </row>
    <row r="458" spans="1:54" s="2" customFormat="1" ht="168.75" customHeight="1" thickBot="1">
      <c r="A458" s="88">
        <f t="shared" si="8"/>
        <v>453</v>
      </c>
      <c r="B458" s="88">
        <v>2025</v>
      </c>
      <c r="C458" s="88" t="s">
        <v>605</v>
      </c>
      <c r="D458" s="88" t="s">
        <v>1010</v>
      </c>
      <c r="E458" s="102" t="s">
        <v>1523</v>
      </c>
      <c r="F458" s="88" t="s">
        <v>576</v>
      </c>
      <c r="G458" s="88" t="s">
        <v>596</v>
      </c>
      <c r="H458" s="40" t="s">
        <v>1243</v>
      </c>
      <c r="I458" s="88" t="s">
        <v>600</v>
      </c>
      <c r="J458" s="88" t="s">
        <v>361</v>
      </c>
      <c r="K458" s="18">
        <v>463157894.74000001</v>
      </c>
      <c r="L458" s="18"/>
      <c r="M458" s="18"/>
      <c r="N458" s="18">
        <f>K458-P458</f>
        <v>23157894.74000001</v>
      </c>
      <c r="O458" s="18"/>
      <c r="P458" s="18">
        <v>440000000</v>
      </c>
      <c r="Q458" s="20">
        <f>SUM(PAC!$M458:$P458)</f>
        <v>463157894.74000001</v>
      </c>
      <c r="R458" s="20"/>
      <c r="S458" s="20">
        <f>IF(PAC!$R458&gt;0,PAC!$R458,PAC!$Q458)</f>
        <v>463157894.74000001</v>
      </c>
      <c r="T458" s="20"/>
      <c r="U458" s="103" t="s">
        <v>594</v>
      </c>
      <c r="V458" s="103" t="s">
        <v>1764</v>
      </c>
      <c r="W458" s="104"/>
      <c r="X458" s="104" t="s">
        <v>1419</v>
      </c>
      <c r="Y458" s="101" t="s">
        <v>2476</v>
      </c>
      <c r="Z458" s="87"/>
      <c r="AA458" s="105"/>
      <c r="AB458" s="40" t="s">
        <v>1509</v>
      </c>
      <c r="AC458" s="87" t="s">
        <v>2503</v>
      </c>
      <c r="AD458" s="106">
        <v>46325</v>
      </c>
      <c r="AE458" s="102" t="s">
        <v>1946</v>
      </c>
      <c r="AF458" s="40" t="s">
        <v>879</v>
      </c>
      <c r="AG458" s="40"/>
      <c r="AH458" s="40"/>
      <c r="AI458" s="40"/>
      <c r="AJ458" s="87"/>
      <c r="AK458" s="40"/>
      <c r="AL458" s="40"/>
      <c r="AM458" s="40"/>
      <c r="AN458" s="87">
        <v>46539</v>
      </c>
      <c r="AO458" s="87"/>
      <c r="AP458" s="87"/>
      <c r="AQ458" s="87"/>
      <c r="AR458" s="107"/>
      <c r="AS458" s="107"/>
      <c r="AT458" s="176" t="s">
        <v>2269</v>
      </c>
      <c r="AU458" s="40" t="s">
        <v>1753</v>
      </c>
      <c r="AV458" s="106"/>
      <c r="AW458" s="129" t="s">
        <v>1610</v>
      </c>
      <c r="AX458" s="109">
        <f>IFERROR(IF(PAC!$X458="F01 - CAPTAÇÃO DE RECURSO",1,""),"")</f>
        <v>1</v>
      </c>
      <c r="AY458" s="109" t="str">
        <f>IFERROR(IF(PAC!$X458="F02 - LICITAÇÃO",1,""),"")</f>
        <v/>
      </c>
      <c r="AZ458" s="110" t="str">
        <f>IFERROR(IF(PAC!$X$6:$X$581="F03 - EXECUÇÃO DO OBJETO",1,""),"")</f>
        <v/>
      </c>
      <c r="BA458" s="110" t="str">
        <f>IFERROR(IF(PAC!$X$6:$X$581="F04 - CONCLUÍDA",1,""),"")</f>
        <v/>
      </c>
      <c r="BB458" s="111">
        <f>IF(PAC!$R458&gt;0,0,PAC!$Q458)</f>
        <v>463157894.74000001</v>
      </c>
    </row>
    <row r="459" spans="1:54" s="1" customFormat="1" ht="332.25" customHeight="1" thickBot="1">
      <c r="A459" s="112">
        <f t="shared" si="8"/>
        <v>454</v>
      </c>
      <c r="B459" s="112">
        <v>2025</v>
      </c>
      <c r="C459" s="112" t="s">
        <v>605</v>
      </c>
      <c r="D459" s="112" t="s">
        <v>1010</v>
      </c>
      <c r="E459" s="114" t="s">
        <v>872</v>
      </c>
      <c r="F459" s="112" t="s">
        <v>576</v>
      </c>
      <c r="G459" s="112" t="s">
        <v>596</v>
      </c>
      <c r="H459" s="115" t="s">
        <v>1243</v>
      </c>
      <c r="I459" s="112" t="s">
        <v>600</v>
      </c>
      <c r="J459" s="112" t="s">
        <v>361</v>
      </c>
      <c r="K459" s="31">
        <v>267093049.02000001</v>
      </c>
      <c r="L459" s="31"/>
      <c r="M459" s="31"/>
      <c r="N459" s="31">
        <f>K459-P459</f>
        <v>13354652.450000018</v>
      </c>
      <c r="O459" s="31"/>
      <c r="P459" s="31">
        <v>253738396.56999999</v>
      </c>
      <c r="Q459" s="33">
        <f>SUM(PAC!$M459:$P459)</f>
        <v>267093049.02000001</v>
      </c>
      <c r="R459" s="33"/>
      <c r="S459" s="33">
        <f>IF(PAC!$R459&gt;0,PAC!$R459,PAC!$Q459)</f>
        <v>267093049.02000001</v>
      </c>
      <c r="T459" s="33"/>
      <c r="U459" s="116" t="s">
        <v>594</v>
      </c>
      <c r="V459" s="116" t="s">
        <v>1764</v>
      </c>
      <c r="W459" s="117"/>
      <c r="X459" s="117" t="s">
        <v>1419</v>
      </c>
      <c r="Y459" s="113" t="s">
        <v>2476</v>
      </c>
      <c r="Z459" s="118"/>
      <c r="AA459" s="119"/>
      <c r="AB459" s="115" t="s">
        <v>1509</v>
      </c>
      <c r="AC459" s="115" t="s">
        <v>2504</v>
      </c>
      <c r="AD459" s="120">
        <v>46325</v>
      </c>
      <c r="AE459" s="114" t="s">
        <v>1946</v>
      </c>
      <c r="AF459" s="115" t="s">
        <v>880</v>
      </c>
      <c r="AG459" s="115"/>
      <c r="AH459" s="115"/>
      <c r="AI459" s="115"/>
      <c r="AJ459" s="118"/>
      <c r="AK459" s="115"/>
      <c r="AL459" s="115"/>
      <c r="AM459" s="115"/>
      <c r="AN459" s="118">
        <v>46539</v>
      </c>
      <c r="AO459" s="118"/>
      <c r="AP459" s="118"/>
      <c r="AQ459" s="118"/>
      <c r="AR459" s="121"/>
      <c r="AS459" s="121"/>
      <c r="AT459" s="177" t="s">
        <v>2270</v>
      </c>
      <c r="AU459" s="115" t="s">
        <v>1753</v>
      </c>
      <c r="AV459" s="120"/>
      <c r="AW459" s="131" t="s">
        <v>1610</v>
      </c>
      <c r="AX459" s="194">
        <f>IFERROR(IF(PAC!$X459="F01 - CAPTAÇÃO DE RECURSO",1,""),"")</f>
        <v>1</v>
      </c>
      <c r="AY459" s="194" t="str">
        <f>IFERROR(IF(PAC!$X459="F02 - LICITAÇÃO",1,""),"")</f>
        <v/>
      </c>
      <c r="AZ459" s="123" t="str">
        <f>IFERROR(IF(PAC!$X$6:$X$581="F03 - EXECUÇÃO DO OBJETO",1,""),"")</f>
        <v/>
      </c>
      <c r="BA459" s="123" t="str">
        <f>IFERROR(IF(PAC!$X$6:$X$581="F04 - CONCLUÍDA",1,""),"")</f>
        <v/>
      </c>
      <c r="BB459" s="191">
        <f>IF(PAC!$R459&gt;0,0,PAC!$Q459)</f>
        <v>267093049.02000001</v>
      </c>
    </row>
    <row r="460" spans="1:54" s="1" customFormat="1" ht="193.5" customHeight="1" thickBot="1">
      <c r="A460" s="88">
        <f t="shared" si="8"/>
        <v>455</v>
      </c>
      <c r="B460" s="88">
        <v>2025</v>
      </c>
      <c r="C460" s="88" t="s">
        <v>605</v>
      </c>
      <c r="D460" s="88" t="s">
        <v>1010</v>
      </c>
      <c r="E460" s="102" t="s">
        <v>2224</v>
      </c>
      <c r="F460" s="88" t="s">
        <v>576</v>
      </c>
      <c r="G460" s="88" t="s">
        <v>596</v>
      </c>
      <c r="H460" s="40" t="s">
        <v>1243</v>
      </c>
      <c r="I460" s="88" t="s">
        <v>600</v>
      </c>
      <c r="J460" s="88" t="s">
        <v>392</v>
      </c>
      <c r="K460" s="18">
        <v>26621236.060000002</v>
      </c>
      <c r="L460" s="18"/>
      <c r="M460" s="18"/>
      <c r="N460" s="18">
        <v>1331061.8030000003</v>
      </c>
      <c r="O460" s="18"/>
      <c r="P460" s="18">
        <v>25290174.257000003</v>
      </c>
      <c r="Q460" s="20">
        <f>SUM(PAC!$M460:$P460)</f>
        <v>26621236.060000002</v>
      </c>
      <c r="R460" s="20"/>
      <c r="S460" s="20">
        <f>IF(PAC!$R460&gt;0,PAC!$R460,PAC!$Q460)</f>
        <v>26621236.060000002</v>
      </c>
      <c r="T460" s="20"/>
      <c r="U460" s="103" t="s">
        <v>594</v>
      </c>
      <c r="V460" s="103" t="s">
        <v>1764</v>
      </c>
      <c r="W460" s="104"/>
      <c r="X460" s="104" t="s">
        <v>1419</v>
      </c>
      <c r="Y460" s="101" t="s">
        <v>2476</v>
      </c>
      <c r="Z460" s="87"/>
      <c r="AA460" s="105"/>
      <c r="AB460" s="40" t="s">
        <v>1509</v>
      </c>
      <c r="AC460" s="40" t="s">
        <v>1942</v>
      </c>
      <c r="AD460" s="106">
        <v>46325</v>
      </c>
      <c r="AE460" s="102" t="s">
        <v>2050</v>
      </c>
      <c r="AF460" s="40" t="s">
        <v>881</v>
      </c>
      <c r="AG460" s="40"/>
      <c r="AH460" s="40"/>
      <c r="AI460" s="40"/>
      <c r="AJ460" s="87"/>
      <c r="AK460" s="40"/>
      <c r="AL460" s="40"/>
      <c r="AM460" s="40"/>
      <c r="AN460" s="87"/>
      <c r="AO460" s="87"/>
      <c r="AP460" s="87"/>
      <c r="AQ460" s="87"/>
      <c r="AR460" s="107"/>
      <c r="AS460" s="107"/>
      <c r="AT460" s="178" t="s">
        <v>2121</v>
      </c>
      <c r="AU460" s="40" t="s">
        <v>2203</v>
      </c>
      <c r="AV460" s="106"/>
      <c r="AW460" s="129" t="s">
        <v>1610</v>
      </c>
      <c r="AX460" s="109">
        <f>IFERROR(IF(PAC!$X460="F01 - CAPTAÇÃO DE RECURSO",1,""),"")</f>
        <v>1</v>
      </c>
      <c r="AY460" s="109" t="str">
        <f>IFERROR(IF(PAC!$X460="F02 - LICITAÇÃO",1,""),"")</f>
        <v/>
      </c>
      <c r="AZ460" s="110" t="str">
        <f>IFERROR(IF(PAC!$X$6:$X$581="F03 - EXECUÇÃO DO OBJETO",1,""),"")</f>
        <v/>
      </c>
      <c r="BA460" s="110" t="str">
        <f>IFERROR(IF(PAC!$X$6:$X$581="F04 - CONCLUÍDA",1,""),"")</f>
        <v/>
      </c>
      <c r="BB460" s="111">
        <f>IF(PAC!$R460&gt;0,0,PAC!$Q460)</f>
        <v>26621236.060000002</v>
      </c>
    </row>
    <row r="461" spans="1:54" s="1" customFormat="1" ht="156.75" customHeight="1" thickBot="1">
      <c r="A461" s="112">
        <f t="shared" si="8"/>
        <v>456</v>
      </c>
      <c r="B461" s="112">
        <v>2025</v>
      </c>
      <c r="C461" s="112" t="s">
        <v>605</v>
      </c>
      <c r="D461" s="112" t="s">
        <v>1010</v>
      </c>
      <c r="E461" s="114" t="s">
        <v>873</v>
      </c>
      <c r="F461" s="112" t="s">
        <v>576</v>
      </c>
      <c r="G461" s="112" t="s">
        <v>596</v>
      </c>
      <c r="H461" s="115" t="s">
        <v>1243</v>
      </c>
      <c r="I461" s="112" t="s">
        <v>600</v>
      </c>
      <c r="J461" s="112" t="s">
        <v>361</v>
      </c>
      <c r="K461" s="31">
        <v>43284620.299999997</v>
      </c>
      <c r="L461" s="31"/>
      <c r="M461" s="31"/>
      <c r="N461" s="31">
        <f>K461-P461</f>
        <v>2164231.0099999979</v>
      </c>
      <c r="O461" s="31"/>
      <c r="P461" s="31">
        <v>41120389.289999999</v>
      </c>
      <c r="Q461" s="33">
        <f>SUM(PAC!$M461:$P461)</f>
        <v>43284620.299999997</v>
      </c>
      <c r="R461" s="33"/>
      <c r="S461" s="33">
        <f>IF(PAC!$R461&gt;0,PAC!$R461,PAC!$Q461)</f>
        <v>43284620.299999997</v>
      </c>
      <c r="T461" s="33"/>
      <c r="U461" s="116" t="s">
        <v>594</v>
      </c>
      <c r="V461" s="116" t="s">
        <v>1764</v>
      </c>
      <c r="W461" s="117"/>
      <c r="X461" s="117" t="s">
        <v>1419</v>
      </c>
      <c r="Y461" s="113" t="s">
        <v>2476</v>
      </c>
      <c r="Z461" s="118"/>
      <c r="AA461" s="119"/>
      <c r="AB461" s="115" t="s">
        <v>1509</v>
      </c>
      <c r="AC461" s="115" t="s">
        <v>2505</v>
      </c>
      <c r="AD461" s="120">
        <v>46325</v>
      </c>
      <c r="AE461" s="114" t="s">
        <v>1946</v>
      </c>
      <c r="AF461" s="115" t="s">
        <v>882</v>
      </c>
      <c r="AG461" s="115"/>
      <c r="AH461" s="115"/>
      <c r="AI461" s="115"/>
      <c r="AJ461" s="118"/>
      <c r="AK461" s="115"/>
      <c r="AL461" s="115"/>
      <c r="AM461" s="115"/>
      <c r="AN461" s="118">
        <v>46266</v>
      </c>
      <c r="AO461" s="118"/>
      <c r="AP461" s="118"/>
      <c r="AQ461" s="118"/>
      <c r="AR461" s="121"/>
      <c r="AS461" s="121"/>
      <c r="AT461" s="179" t="s">
        <v>2271</v>
      </c>
      <c r="AU461" s="115" t="s">
        <v>1753</v>
      </c>
      <c r="AV461" s="120"/>
      <c r="AW461" s="131" t="s">
        <v>1610</v>
      </c>
      <c r="AX461" s="194">
        <f>IFERROR(IF(PAC!$X461="F01 - CAPTAÇÃO DE RECURSO",1,""),"")</f>
        <v>1</v>
      </c>
      <c r="AY461" s="194" t="str">
        <f>IFERROR(IF(PAC!$X461="F02 - LICITAÇÃO",1,""),"")</f>
        <v/>
      </c>
      <c r="AZ461" s="123" t="str">
        <f>IFERROR(IF(PAC!$X$6:$X$581="F03 - EXECUÇÃO DO OBJETO",1,""),"")</f>
        <v/>
      </c>
      <c r="BA461" s="123" t="str">
        <f>IFERROR(IF(PAC!$X$6:$X$581="F04 - CONCLUÍDA",1,""),"")</f>
        <v/>
      </c>
      <c r="BB461" s="191">
        <f>IF(PAC!$R461&gt;0,0,PAC!$Q461)</f>
        <v>43284620.299999997</v>
      </c>
    </row>
    <row r="462" spans="1:54" s="1" customFormat="1" ht="409.5" customHeight="1" thickBot="1">
      <c r="A462" s="88">
        <f t="shared" si="8"/>
        <v>457</v>
      </c>
      <c r="B462" s="88">
        <v>2025</v>
      </c>
      <c r="C462" s="88" t="s">
        <v>605</v>
      </c>
      <c r="D462" s="88" t="s">
        <v>1010</v>
      </c>
      <c r="E462" s="102" t="s">
        <v>1654</v>
      </c>
      <c r="F462" s="88" t="s">
        <v>576</v>
      </c>
      <c r="G462" s="88" t="s">
        <v>596</v>
      </c>
      <c r="H462" s="40" t="s">
        <v>1243</v>
      </c>
      <c r="I462" s="88" t="s">
        <v>600</v>
      </c>
      <c r="J462" s="88" t="s">
        <v>531</v>
      </c>
      <c r="K462" s="18">
        <v>98175789.469999999</v>
      </c>
      <c r="L462" s="18"/>
      <c r="M462" s="18"/>
      <c r="N462" s="18">
        <f>K462-P462</f>
        <v>4908789.4699999988</v>
      </c>
      <c r="O462" s="18"/>
      <c r="P462" s="18">
        <v>93267000</v>
      </c>
      <c r="Q462" s="20">
        <f>SUM(PAC!$M462:$P462)</f>
        <v>98175789.469999999</v>
      </c>
      <c r="R462" s="20">
        <v>26812984.879999999</v>
      </c>
      <c r="S462" s="20">
        <f>IF(PAC!$R462&gt;0,PAC!$R462,PAC!$Q462)</f>
        <v>26812984.879999999</v>
      </c>
      <c r="T462" s="20" t="s">
        <v>2076</v>
      </c>
      <c r="U462" s="103" t="s">
        <v>594</v>
      </c>
      <c r="V462" s="103" t="s">
        <v>1764</v>
      </c>
      <c r="W462" s="104">
        <v>24</v>
      </c>
      <c r="X462" s="104" t="s">
        <v>1419</v>
      </c>
      <c r="Y462" s="101" t="s">
        <v>2472</v>
      </c>
      <c r="Z462" s="87"/>
      <c r="AA462" s="105"/>
      <c r="AB462" s="40" t="s">
        <v>1509</v>
      </c>
      <c r="AC462" s="40" t="s">
        <v>2079</v>
      </c>
      <c r="AD462" s="106">
        <v>46325</v>
      </c>
      <c r="AE462" s="102" t="s">
        <v>2029</v>
      </c>
      <c r="AF462" s="40" t="s">
        <v>883</v>
      </c>
      <c r="AG462" s="40"/>
      <c r="AH462" s="40"/>
      <c r="AI462" s="40"/>
      <c r="AJ462" s="87"/>
      <c r="AK462" s="40"/>
      <c r="AL462" s="40"/>
      <c r="AM462" s="40"/>
      <c r="AN462" s="87">
        <v>45992</v>
      </c>
      <c r="AO462" s="87">
        <v>46077</v>
      </c>
      <c r="AP462" s="87">
        <v>46162</v>
      </c>
      <c r="AQ462" s="87"/>
      <c r="AR462" s="107"/>
      <c r="AS462" s="107"/>
      <c r="AT462" s="178" t="s">
        <v>2075</v>
      </c>
      <c r="AU462" s="40" t="s">
        <v>2389</v>
      </c>
      <c r="AV462" s="106"/>
      <c r="AW462" s="129" t="s">
        <v>1610</v>
      </c>
      <c r="AX462" s="109">
        <f>IFERROR(IF(PAC!$X462="F01 - CAPTAÇÃO DE RECURSO",1,""),"")</f>
        <v>1</v>
      </c>
      <c r="AY462" s="109" t="str">
        <f>IFERROR(IF(PAC!$X462="F02 - LICITAÇÃO",1,""),"")</f>
        <v/>
      </c>
      <c r="AZ462" s="110" t="str">
        <f>IFERROR(IF(PAC!$X$6:$X$581="F03 - EXECUÇÃO DO OBJETO",1,""),"")</f>
        <v/>
      </c>
      <c r="BA462" s="110" t="str">
        <f>IFERROR(IF(PAC!$X$6:$X$581="F04 - CONCLUÍDA",1,""),"")</f>
        <v/>
      </c>
      <c r="BB462" s="111">
        <f>IF(PAC!$R462&gt;0,0,PAC!$Q462)</f>
        <v>0</v>
      </c>
    </row>
    <row r="463" spans="1:54" s="1" customFormat="1" ht="200.1" customHeight="1" thickBot="1">
      <c r="A463" s="112">
        <f t="shared" si="8"/>
        <v>458</v>
      </c>
      <c r="B463" s="112">
        <v>2025</v>
      </c>
      <c r="C463" s="112" t="s">
        <v>605</v>
      </c>
      <c r="D463" s="112" t="s">
        <v>1010</v>
      </c>
      <c r="E463" s="114" t="s">
        <v>1717</v>
      </c>
      <c r="F463" s="112" t="s">
        <v>576</v>
      </c>
      <c r="G463" s="112" t="s">
        <v>596</v>
      </c>
      <c r="H463" s="115" t="s">
        <v>1243</v>
      </c>
      <c r="I463" s="112" t="s">
        <v>600</v>
      </c>
      <c r="J463" s="112" t="s">
        <v>201</v>
      </c>
      <c r="K463" s="31">
        <v>196567086.78999999</v>
      </c>
      <c r="L463" s="31"/>
      <c r="M463" s="31"/>
      <c r="N463" s="31">
        <f>K463-P463</f>
        <v>9828354.3400000036</v>
      </c>
      <c r="O463" s="31"/>
      <c r="P463" s="31">
        <v>186738732.44999999</v>
      </c>
      <c r="Q463" s="33">
        <f>SUM(PAC!$M463:$P463)</f>
        <v>196567086.78999999</v>
      </c>
      <c r="R463" s="33"/>
      <c r="S463" s="33">
        <f>IF(PAC!$R463&gt;0,PAC!$R463,PAC!$Q463)</f>
        <v>196567086.78999999</v>
      </c>
      <c r="T463" s="33"/>
      <c r="U463" s="116" t="s">
        <v>594</v>
      </c>
      <c r="V463" s="116" t="s">
        <v>1764</v>
      </c>
      <c r="W463" s="117"/>
      <c r="X463" s="117" t="s">
        <v>1419</v>
      </c>
      <c r="Y463" s="113" t="s">
        <v>2476</v>
      </c>
      <c r="Z463" s="118"/>
      <c r="AA463" s="119"/>
      <c r="AB463" s="115" t="s">
        <v>1509</v>
      </c>
      <c r="AC463" s="115" t="s">
        <v>2509</v>
      </c>
      <c r="AD463" s="120">
        <v>46325</v>
      </c>
      <c r="AE463" s="114" t="s">
        <v>1946</v>
      </c>
      <c r="AF463" s="115" t="s">
        <v>884</v>
      </c>
      <c r="AG463" s="115"/>
      <c r="AH463" s="115"/>
      <c r="AI463" s="115"/>
      <c r="AJ463" s="118"/>
      <c r="AK463" s="115"/>
      <c r="AL463" s="115"/>
      <c r="AM463" s="115"/>
      <c r="AN463" s="118">
        <v>46327</v>
      </c>
      <c r="AO463" s="118"/>
      <c r="AP463" s="118"/>
      <c r="AQ463" s="118"/>
      <c r="AR463" s="121"/>
      <c r="AS463" s="121"/>
      <c r="AT463" s="177" t="s">
        <v>2120</v>
      </c>
      <c r="AU463" s="122" t="s">
        <v>2508</v>
      </c>
      <c r="AV463" s="120"/>
      <c r="AW463" s="131" t="s">
        <v>1610</v>
      </c>
      <c r="AX463" s="194">
        <f>IFERROR(IF(PAC!$X463="F01 - CAPTAÇÃO DE RECURSO",1,""),"")</f>
        <v>1</v>
      </c>
      <c r="AY463" s="194" t="str">
        <f>IFERROR(IF(PAC!$X463="F02 - LICITAÇÃO",1,""),"")</f>
        <v/>
      </c>
      <c r="AZ463" s="123" t="str">
        <f>IFERROR(IF(PAC!$X$6:$X$581="F03 - EXECUÇÃO DO OBJETO",1,""),"")</f>
        <v/>
      </c>
      <c r="BA463" s="123" t="str">
        <f>IFERROR(IF(PAC!$X$6:$X$581="F04 - CONCLUÍDA",1,""),"")</f>
        <v/>
      </c>
      <c r="BB463" s="191">
        <f>IF(PAC!$R463&gt;0,0,PAC!$Q463)</f>
        <v>196567086.78999999</v>
      </c>
    </row>
    <row r="464" spans="1:54" s="1" customFormat="1" ht="249.95" customHeight="1" thickBot="1">
      <c r="A464" s="88">
        <f t="shared" si="8"/>
        <v>459</v>
      </c>
      <c r="B464" s="88">
        <v>2025</v>
      </c>
      <c r="C464" s="88" t="s">
        <v>605</v>
      </c>
      <c r="D464" s="88" t="s">
        <v>1010</v>
      </c>
      <c r="E464" s="102" t="s">
        <v>874</v>
      </c>
      <c r="F464" s="88" t="s">
        <v>576</v>
      </c>
      <c r="G464" s="88" t="s">
        <v>596</v>
      </c>
      <c r="H464" s="40" t="s">
        <v>1243</v>
      </c>
      <c r="I464" s="88" t="s">
        <v>600</v>
      </c>
      <c r="J464" s="88" t="s">
        <v>160</v>
      </c>
      <c r="K464" s="18">
        <v>38671106.149999999</v>
      </c>
      <c r="L464" s="18"/>
      <c r="M464" s="18"/>
      <c r="N464" s="18"/>
      <c r="O464" s="18"/>
      <c r="P464" s="18"/>
      <c r="Q464" s="20">
        <f>SUM(PAC!$M464:$P464)</f>
        <v>0</v>
      </c>
      <c r="R464" s="20"/>
      <c r="S464" s="20">
        <f>IF(PAC!$R464&gt;0,PAC!$R464,PAC!$Q464)</f>
        <v>0</v>
      </c>
      <c r="T464" s="20"/>
      <c r="U464" s="103" t="s">
        <v>594</v>
      </c>
      <c r="V464" s="103"/>
      <c r="W464" s="104"/>
      <c r="X464" s="104" t="s">
        <v>1419</v>
      </c>
      <c r="Y464" s="101" t="s">
        <v>2480</v>
      </c>
      <c r="Z464" s="87"/>
      <c r="AA464" s="105"/>
      <c r="AB464" s="40"/>
      <c r="AC464" s="40" t="s">
        <v>2083</v>
      </c>
      <c r="AD464" s="106"/>
      <c r="AE464" s="102" t="s">
        <v>1288</v>
      </c>
      <c r="AF464" s="40" t="s">
        <v>885</v>
      </c>
      <c r="AG464" s="40"/>
      <c r="AH464" s="40"/>
      <c r="AI464" s="40"/>
      <c r="AJ464" s="87"/>
      <c r="AK464" s="40"/>
      <c r="AL464" s="40"/>
      <c r="AM464" s="40"/>
      <c r="AN464" s="87"/>
      <c r="AO464" s="87"/>
      <c r="AP464" s="87"/>
      <c r="AQ464" s="87"/>
      <c r="AR464" s="107"/>
      <c r="AS464" s="107"/>
      <c r="AT464" s="176" t="s">
        <v>1614</v>
      </c>
      <c r="AU464" s="40"/>
      <c r="AV464" s="106"/>
      <c r="AW464" s="88" t="s">
        <v>1653</v>
      </c>
      <c r="AX464" s="109">
        <f>IFERROR(IF(PAC!$X464="F01 - CAPTAÇÃO DE RECURSO",1,""),"")</f>
        <v>1</v>
      </c>
      <c r="AY464" s="109" t="str">
        <f>IFERROR(IF(PAC!$X464="F02 - LICITAÇÃO",1,""),"")</f>
        <v/>
      </c>
      <c r="AZ464" s="110" t="str">
        <f>IFERROR(IF(PAC!$X$6:$X$581="F03 - EXECUÇÃO DO OBJETO",1,""),"")</f>
        <v/>
      </c>
      <c r="BA464" s="110" t="str">
        <f>IFERROR(IF(PAC!$X$6:$X$581="F04 - CONCLUÍDA",1,""),"")</f>
        <v/>
      </c>
      <c r="BB464" s="111">
        <f>IF(PAC!$R464&gt;0,0,PAC!$Q464)</f>
        <v>0</v>
      </c>
    </row>
    <row r="465" spans="1:54" s="1" customFormat="1" ht="249.95" customHeight="1" thickBot="1">
      <c r="A465" s="112">
        <f t="shared" si="8"/>
        <v>460</v>
      </c>
      <c r="B465" s="112">
        <v>2025</v>
      </c>
      <c r="C465" s="112" t="s">
        <v>605</v>
      </c>
      <c r="D465" s="112" t="s">
        <v>1010</v>
      </c>
      <c r="E465" s="114" t="s">
        <v>1278</v>
      </c>
      <c r="F465" s="112" t="s">
        <v>576</v>
      </c>
      <c r="G465" s="112" t="s">
        <v>596</v>
      </c>
      <c r="H465" s="115" t="s">
        <v>1243</v>
      </c>
      <c r="I465" s="112" t="s">
        <v>601</v>
      </c>
      <c r="J465" s="112" t="s">
        <v>243</v>
      </c>
      <c r="K465" s="31">
        <v>18849824.199999999</v>
      </c>
      <c r="L465" s="31"/>
      <c r="M465" s="31"/>
      <c r="N465" s="31"/>
      <c r="O465" s="31"/>
      <c r="P465" s="31"/>
      <c r="Q465" s="33">
        <f>SUM(PAC!$M465:$P465)</f>
        <v>0</v>
      </c>
      <c r="R465" s="33"/>
      <c r="S465" s="33">
        <f>IF(PAC!$R465&gt;0,PAC!$R465,PAC!$Q465)</f>
        <v>0</v>
      </c>
      <c r="T465" s="33"/>
      <c r="U465" s="116" t="s">
        <v>594</v>
      </c>
      <c r="V465" s="116"/>
      <c r="W465" s="117"/>
      <c r="X465" s="117" t="s">
        <v>1419</v>
      </c>
      <c r="Y465" s="113" t="s">
        <v>2486</v>
      </c>
      <c r="Z465" s="118"/>
      <c r="AA465" s="119"/>
      <c r="AB465" s="115"/>
      <c r="AC465" s="115" t="s">
        <v>2047</v>
      </c>
      <c r="AD465" s="120"/>
      <c r="AE465" s="114"/>
      <c r="AF465" s="115" t="s">
        <v>947</v>
      </c>
      <c r="AG465" s="115"/>
      <c r="AH465" s="115"/>
      <c r="AI465" s="115"/>
      <c r="AJ465" s="118"/>
      <c r="AK465" s="115"/>
      <c r="AL465" s="115"/>
      <c r="AM465" s="115"/>
      <c r="AN465" s="118"/>
      <c r="AO465" s="118"/>
      <c r="AP465" s="118"/>
      <c r="AQ465" s="118"/>
      <c r="AR465" s="121"/>
      <c r="AS465" s="121"/>
      <c r="AT465" s="116"/>
      <c r="AU465" s="115"/>
      <c r="AV465" s="120"/>
      <c r="AW465" s="119"/>
      <c r="AX465" s="194">
        <f>IFERROR(IF(PAC!$X465="F01 - CAPTAÇÃO DE RECURSO",1,""),"")</f>
        <v>1</v>
      </c>
      <c r="AY465" s="194" t="str">
        <f>IFERROR(IF(PAC!$X465="F02 - LICITAÇÃO",1,""),"")</f>
        <v/>
      </c>
      <c r="AZ465" s="123" t="str">
        <f>IFERROR(IF(PAC!$X$6:$X$581="F03 - EXECUÇÃO DO OBJETO",1,""),"")</f>
        <v/>
      </c>
      <c r="BA465" s="123" t="str">
        <f>IFERROR(IF(PAC!$X$6:$X$581="F04 - CONCLUÍDA",1,""),"")</f>
        <v/>
      </c>
      <c r="BB465" s="191">
        <f>IF(PAC!$R465&gt;0,0,PAC!$Q465)</f>
        <v>0</v>
      </c>
    </row>
    <row r="466" spans="1:54" s="1" customFormat="1" ht="249.95" customHeight="1" thickBot="1">
      <c r="A466" s="88">
        <f t="shared" si="8"/>
        <v>461</v>
      </c>
      <c r="B466" s="88">
        <v>2025</v>
      </c>
      <c r="C466" s="88" t="s">
        <v>605</v>
      </c>
      <c r="D466" s="88" t="s">
        <v>1010</v>
      </c>
      <c r="E466" s="102" t="s">
        <v>1286</v>
      </c>
      <c r="F466" s="88" t="s">
        <v>576</v>
      </c>
      <c r="G466" s="88" t="s">
        <v>596</v>
      </c>
      <c r="H466" s="40" t="s">
        <v>1243</v>
      </c>
      <c r="I466" s="88" t="s">
        <v>601</v>
      </c>
      <c r="J466" s="88" t="s">
        <v>243</v>
      </c>
      <c r="K466" s="18">
        <v>10475598.67</v>
      </c>
      <c r="L466" s="18"/>
      <c r="M466" s="18"/>
      <c r="N466" s="18"/>
      <c r="O466" s="18"/>
      <c r="P466" s="18"/>
      <c r="Q466" s="20">
        <f>SUM(PAC!$M466:$P466)</f>
        <v>0</v>
      </c>
      <c r="R466" s="20"/>
      <c r="S466" s="20">
        <f>IF(PAC!$R466&gt;0,PAC!$R466,PAC!$Q466)</f>
        <v>0</v>
      </c>
      <c r="T466" s="20"/>
      <c r="U466" s="103" t="s">
        <v>594</v>
      </c>
      <c r="V466" s="103"/>
      <c r="W466" s="104"/>
      <c r="X466" s="104" t="s">
        <v>1419</v>
      </c>
      <c r="Y466" s="101" t="s">
        <v>2486</v>
      </c>
      <c r="Z466" s="87"/>
      <c r="AA466" s="105"/>
      <c r="AB466" s="40"/>
      <c r="AC466" s="40" t="s">
        <v>2048</v>
      </c>
      <c r="AD466" s="106"/>
      <c r="AE466" s="102"/>
      <c r="AF466" s="40" t="s">
        <v>946</v>
      </c>
      <c r="AG466" s="40"/>
      <c r="AH466" s="40"/>
      <c r="AI466" s="40"/>
      <c r="AJ466" s="87"/>
      <c r="AK466" s="40"/>
      <c r="AL466" s="40"/>
      <c r="AM466" s="40"/>
      <c r="AN466" s="87"/>
      <c r="AO466" s="87"/>
      <c r="AP466" s="87"/>
      <c r="AQ466" s="87"/>
      <c r="AR466" s="107"/>
      <c r="AS466" s="107"/>
      <c r="AT466" s="103"/>
      <c r="AU466" s="40"/>
      <c r="AV466" s="106"/>
      <c r="AW466" s="105"/>
      <c r="AX466" s="109">
        <f>IFERROR(IF(PAC!$X466="F01 - CAPTAÇÃO DE RECURSO",1,""),"")</f>
        <v>1</v>
      </c>
      <c r="AY466" s="109" t="str">
        <f>IFERROR(IF(PAC!$X466="F02 - LICITAÇÃO",1,""),"")</f>
        <v/>
      </c>
      <c r="AZ466" s="110" t="str">
        <f>IFERROR(IF(PAC!$X$6:$X$581="F03 - EXECUÇÃO DO OBJETO",1,""),"")</f>
        <v/>
      </c>
      <c r="BA466" s="110" t="str">
        <f>IFERROR(IF(PAC!$X$6:$X$581="F04 - CONCLUÍDA",1,""),"")</f>
        <v/>
      </c>
      <c r="BB466" s="111">
        <f>IF(PAC!$R466&gt;0,0,PAC!$Q466)</f>
        <v>0</v>
      </c>
    </row>
    <row r="467" spans="1:54" s="1" customFormat="1" ht="249.95" customHeight="1" thickBot="1">
      <c r="A467" s="112">
        <f t="shared" si="8"/>
        <v>462</v>
      </c>
      <c r="B467" s="112">
        <v>2025</v>
      </c>
      <c r="C467" s="112" t="s">
        <v>605</v>
      </c>
      <c r="D467" s="112" t="s">
        <v>1010</v>
      </c>
      <c r="E467" s="114" t="s">
        <v>958</v>
      </c>
      <c r="F467" s="112" t="s">
        <v>576</v>
      </c>
      <c r="G467" s="112" t="s">
        <v>596</v>
      </c>
      <c r="H467" s="115" t="s">
        <v>1243</v>
      </c>
      <c r="I467" s="112" t="s">
        <v>601</v>
      </c>
      <c r="J467" s="112" t="s">
        <v>326</v>
      </c>
      <c r="K467" s="31">
        <v>9642866.5700000003</v>
      </c>
      <c r="L467" s="31"/>
      <c r="M467" s="31"/>
      <c r="N467" s="31"/>
      <c r="O467" s="31"/>
      <c r="P467" s="31"/>
      <c r="Q467" s="33">
        <f>SUM(PAC!$M467:$P467)</f>
        <v>0</v>
      </c>
      <c r="R467" s="33"/>
      <c r="S467" s="33">
        <f>IF(PAC!$R467&gt;0,PAC!$R467,PAC!$Q467)</f>
        <v>0</v>
      </c>
      <c r="T467" s="33"/>
      <c r="U467" s="116" t="s">
        <v>594</v>
      </c>
      <c r="V467" s="116"/>
      <c r="W467" s="117"/>
      <c r="X467" s="117" t="s">
        <v>1419</v>
      </c>
      <c r="Y467" s="113" t="s">
        <v>2486</v>
      </c>
      <c r="Z467" s="118"/>
      <c r="AA467" s="119"/>
      <c r="AB467" s="115"/>
      <c r="AC467" s="115" t="s">
        <v>2047</v>
      </c>
      <c r="AD467" s="120"/>
      <c r="AE467" s="114"/>
      <c r="AF467" s="115" t="s">
        <v>948</v>
      </c>
      <c r="AG467" s="115"/>
      <c r="AH467" s="115"/>
      <c r="AI467" s="115"/>
      <c r="AJ467" s="118"/>
      <c r="AK467" s="115"/>
      <c r="AL467" s="115"/>
      <c r="AM467" s="115"/>
      <c r="AN467" s="118"/>
      <c r="AO467" s="118"/>
      <c r="AP467" s="118"/>
      <c r="AQ467" s="118"/>
      <c r="AR467" s="121"/>
      <c r="AS467" s="121"/>
      <c r="AT467" s="116"/>
      <c r="AU467" s="115"/>
      <c r="AV467" s="120"/>
      <c r="AW467" s="119"/>
      <c r="AX467" s="194">
        <f>IFERROR(IF(PAC!$X467="F01 - CAPTAÇÃO DE RECURSO",1,""),"")</f>
        <v>1</v>
      </c>
      <c r="AY467" s="194" t="str">
        <f>IFERROR(IF(PAC!$X467="F02 - LICITAÇÃO",1,""),"")</f>
        <v/>
      </c>
      <c r="AZ467" s="123" t="str">
        <f>IFERROR(IF(PAC!$X$6:$X$581="F03 - EXECUÇÃO DO OBJETO",1,""),"")</f>
        <v/>
      </c>
      <c r="BA467" s="123" t="str">
        <f>IFERROR(IF(PAC!$X$6:$X$581="F04 - CONCLUÍDA",1,""),"")</f>
        <v/>
      </c>
      <c r="BB467" s="191">
        <f>IF(PAC!$R467&gt;0,0,PAC!$Q467)</f>
        <v>0</v>
      </c>
    </row>
    <row r="468" spans="1:54" s="1" customFormat="1" ht="249.95" customHeight="1" thickBot="1">
      <c r="A468" s="88">
        <f t="shared" si="8"/>
        <v>463</v>
      </c>
      <c r="B468" s="88">
        <v>2025</v>
      </c>
      <c r="C468" s="88" t="s">
        <v>605</v>
      </c>
      <c r="D468" s="88" t="s">
        <v>1010</v>
      </c>
      <c r="E468" s="102" t="s">
        <v>1287</v>
      </c>
      <c r="F468" s="88" t="s">
        <v>576</v>
      </c>
      <c r="G468" s="88" t="s">
        <v>596</v>
      </c>
      <c r="H468" s="40" t="s">
        <v>1243</v>
      </c>
      <c r="I468" s="88" t="s">
        <v>601</v>
      </c>
      <c r="J468" s="88" t="s">
        <v>289</v>
      </c>
      <c r="K468" s="18">
        <v>10875225.109999999</v>
      </c>
      <c r="L468" s="18"/>
      <c r="M468" s="18"/>
      <c r="N468" s="18"/>
      <c r="O468" s="18"/>
      <c r="P468" s="18"/>
      <c r="Q468" s="20">
        <f>SUM(PAC!$M468:$P468)</f>
        <v>0</v>
      </c>
      <c r="R468" s="20"/>
      <c r="S468" s="20">
        <f>IF(PAC!$R468&gt;0,PAC!$R468,PAC!$Q468)</f>
        <v>0</v>
      </c>
      <c r="T468" s="20"/>
      <c r="U468" s="103" t="s">
        <v>594</v>
      </c>
      <c r="V468" s="103"/>
      <c r="W468" s="104"/>
      <c r="X468" s="104" t="s">
        <v>1419</v>
      </c>
      <c r="Y468" s="101" t="s">
        <v>2486</v>
      </c>
      <c r="Z468" s="87"/>
      <c r="AA468" s="105"/>
      <c r="AB468" s="40"/>
      <c r="AC468" s="40" t="s">
        <v>2048</v>
      </c>
      <c r="AD468" s="106"/>
      <c r="AE468" s="102"/>
      <c r="AF468" s="40" t="s">
        <v>949</v>
      </c>
      <c r="AG468" s="40"/>
      <c r="AH468" s="40"/>
      <c r="AI468" s="40"/>
      <c r="AJ468" s="87"/>
      <c r="AK468" s="40"/>
      <c r="AL468" s="40"/>
      <c r="AM468" s="40"/>
      <c r="AN468" s="87"/>
      <c r="AO468" s="87"/>
      <c r="AP468" s="87"/>
      <c r="AQ468" s="87"/>
      <c r="AR468" s="107"/>
      <c r="AS468" s="107"/>
      <c r="AT468" s="103"/>
      <c r="AU468" s="40"/>
      <c r="AV468" s="106"/>
      <c r="AW468" s="105"/>
      <c r="AX468" s="109">
        <f>IFERROR(IF(PAC!$X468="F01 - CAPTAÇÃO DE RECURSO",1,""),"")</f>
        <v>1</v>
      </c>
      <c r="AY468" s="109" t="str">
        <f>IFERROR(IF(PAC!$X468="F02 - LICITAÇÃO",1,""),"")</f>
        <v/>
      </c>
      <c r="AZ468" s="110" t="str">
        <f>IFERROR(IF(PAC!$X$6:$X$581="F03 - EXECUÇÃO DO OBJETO",1,""),"")</f>
        <v/>
      </c>
      <c r="BA468" s="110" t="str">
        <f>IFERROR(IF(PAC!$X$6:$X$581="F04 - CONCLUÍDA",1,""),"")</f>
        <v/>
      </c>
      <c r="BB468" s="111">
        <f>IF(PAC!$R468&gt;0,0,PAC!$Q468)</f>
        <v>0</v>
      </c>
    </row>
    <row r="469" spans="1:54" s="1" customFormat="1" ht="249.95" customHeight="1" thickBot="1">
      <c r="A469" s="112">
        <f t="shared" si="8"/>
        <v>464</v>
      </c>
      <c r="B469" s="112">
        <v>2025</v>
      </c>
      <c r="C469" s="112" t="s">
        <v>605</v>
      </c>
      <c r="D469" s="112" t="s">
        <v>1010</v>
      </c>
      <c r="E469" s="114" t="s">
        <v>957</v>
      </c>
      <c r="F469" s="112" t="s">
        <v>576</v>
      </c>
      <c r="G469" s="112" t="s">
        <v>596</v>
      </c>
      <c r="H469" s="115" t="s">
        <v>1243</v>
      </c>
      <c r="I469" s="112" t="s">
        <v>601</v>
      </c>
      <c r="J469" s="112" t="s">
        <v>72</v>
      </c>
      <c r="K469" s="31">
        <v>31149801.989999998</v>
      </c>
      <c r="L469" s="31"/>
      <c r="M469" s="31"/>
      <c r="N469" s="31"/>
      <c r="O469" s="31"/>
      <c r="P469" s="31"/>
      <c r="Q469" s="33">
        <f>SUM(PAC!$M469:$P469)</f>
        <v>0</v>
      </c>
      <c r="R469" s="33"/>
      <c r="S469" s="33">
        <f>IF(PAC!$R469&gt;0,PAC!$R469,PAC!$Q469)</f>
        <v>0</v>
      </c>
      <c r="T469" s="33"/>
      <c r="U469" s="116" t="s">
        <v>594</v>
      </c>
      <c r="V469" s="116"/>
      <c r="W469" s="117"/>
      <c r="X469" s="117" t="s">
        <v>1419</v>
      </c>
      <c r="Y469" s="113" t="s">
        <v>2486</v>
      </c>
      <c r="Z469" s="118"/>
      <c r="AA469" s="119"/>
      <c r="AB469" s="115"/>
      <c r="AC469" s="115" t="s">
        <v>2047</v>
      </c>
      <c r="AD469" s="120"/>
      <c r="AE469" s="114"/>
      <c r="AF469" s="115" t="s">
        <v>950</v>
      </c>
      <c r="AG469" s="115"/>
      <c r="AH469" s="115"/>
      <c r="AI469" s="115"/>
      <c r="AJ469" s="118"/>
      <c r="AK469" s="115"/>
      <c r="AL469" s="115"/>
      <c r="AM469" s="115"/>
      <c r="AN469" s="118"/>
      <c r="AO469" s="118"/>
      <c r="AP469" s="118"/>
      <c r="AQ469" s="118"/>
      <c r="AR469" s="121"/>
      <c r="AS469" s="121"/>
      <c r="AT469" s="116"/>
      <c r="AU469" s="115"/>
      <c r="AV469" s="120"/>
      <c r="AW469" s="119"/>
      <c r="AX469" s="194">
        <f>IFERROR(IF(PAC!$X469="F01 - CAPTAÇÃO DE RECURSO",1,""),"")</f>
        <v>1</v>
      </c>
      <c r="AY469" s="194" t="str">
        <f>IFERROR(IF(PAC!$X469="F02 - LICITAÇÃO",1,""),"")</f>
        <v/>
      </c>
      <c r="AZ469" s="123" t="str">
        <f>IFERROR(IF(PAC!$X$6:$X$581="F03 - EXECUÇÃO DO OBJETO",1,""),"")</f>
        <v/>
      </c>
      <c r="BA469" s="123" t="str">
        <f>IFERROR(IF(PAC!$X$6:$X$581="F04 - CONCLUÍDA",1,""),"")</f>
        <v/>
      </c>
      <c r="BB469" s="191">
        <f>IF(PAC!$R469&gt;0,0,PAC!$Q469)</f>
        <v>0</v>
      </c>
    </row>
    <row r="470" spans="1:54" s="1" customFormat="1" ht="249.95" customHeight="1" thickBot="1">
      <c r="A470" s="88">
        <f t="shared" si="8"/>
        <v>465</v>
      </c>
      <c r="B470" s="88">
        <v>2025</v>
      </c>
      <c r="C470" s="88" t="s">
        <v>605</v>
      </c>
      <c r="D470" s="88" t="s">
        <v>1010</v>
      </c>
      <c r="E470" s="102" t="s">
        <v>956</v>
      </c>
      <c r="F470" s="88" t="s">
        <v>576</v>
      </c>
      <c r="G470" s="88" t="s">
        <v>596</v>
      </c>
      <c r="H470" s="40" t="s">
        <v>1243</v>
      </c>
      <c r="I470" s="88" t="s">
        <v>601</v>
      </c>
      <c r="J470" s="88" t="s">
        <v>266</v>
      </c>
      <c r="K470" s="18">
        <v>7405709.8200000003</v>
      </c>
      <c r="L470" s="18"/>
      <c r="M470" s="18"/>
      <c r="N470" s="18"/>
      <c r="O470" s="18"/>
      <c r="P470" s="18"/>
      <c r="Q470" s="20">
        <f>SUM(PAC!$M470:$P470)</f>
        <v>0</v>
      </c>
      <c r="R470" s="20"/>
      <c r="S470" s="20">
        <f>IF(PAC!$R470&gt;0,PAC!$R470,PAC!$Q470)</f>
        <v>0</v>
      </c>
      <c r="T470" s="20"/>
      <c r="U470" s="103" t="s">
        <v>594</v>
      </c>
      <c r="V470" s="103"/>
      <c r="W470" s="104"/>
      <c r="X470" s="104" t="s">
        <v>1419</v>
      </c>
      <c r="Y470" s="101" t="s">
        <v>2486</v>
      </c>
      <c r="Z470" s="87"/>
      <c r="AA470" s="105"/>
      <c r="AB470" s="40"/>
      <c r="AC470" s="40" t="s">
        <v>2048</v>
      </c>
      <c r="AD470" s="106"/>
      <c r="AE470" s="102"/>
      <c r="AF470" s="40" t="s">
        <v>951</v>
      </c>
      <c r="AG470" s="40"/>
      <c r="AH470" s="40"/>
      <c r="AI470" s="40"/>
      <c r="AJ470" s="87"/>
      <c r="AK470" s="40"/>
      <c r="AL470" s="40"/>
      <c r="AM470" s="40"/>
      <c r="AN470" s="87"/>
      <c r="AO470" s="87"/>
      <c r="AP470" s="87"/>
      <c r="AQ470" s="87"/>
      <c r="AR470" s="107"/>
      <c r="AS470" s="107"/>
      <c r="AT470" s="103"/>
      <c r="AU470" s="40"/>
      <c r="AV470" s="106"/>
      <c r="AW470" s="105"/>
      <c r="AX470" s="109">
        <f>IFERROR(IF(PAC!$X470="F01 - CAPTAÇÃO DE RECURSO",1,""),"")</f>
        <v>1</v>
      </c>
      <c r="AY470" s="109" t="str">
        <f>IFERROR(IF(PAC!$X470="F02 - LICITAÇÃO",1,""),"")</f>
        <v/>
      </c>
      <c r="AZ470" s="110" t="str">
        <f>IFERROR(IF(PAC!$X$6:$X$581="F03 - EXECUÇÃO DO OBJETO",1,""),"")</f>
        <v/>
      </c>
      <c r="BA470" s="110" t="str">
        <f>IFERROR(IF(PAC!$X$6:$X$581="F04 - CONCLUÍDA",1,""),"")</f>
        <v/>
      </c>
      <c r="BB470" s="111">
        <f>IF(PAC!$R470&gt;0,0,PAC!$Q470)</f>
        <v>0</v>
      </c>
    </row>
    <row r="471" spans="1:54" s="1" customFormat="1" ht="249.95" customHeight="1" thickBot="1">
      <c r="A471" s="112">
        <f t="shared" si="8"/>
        <v>466</v>
      </c>
      <c r="B471" s="112">
        <v>2025</v>
      </c>
      <c r="C471" s="112" t="s">
        <v>605</v>
      </c>
      <c r="D471" s="112" t="s">
        <v>1010</v>
      </c>
      <c r="E471" s="114" t="s">
        <v>952</v>
      </c>
      <c r="F471" s="112" t="s">
        <v>576</v>
      </c>
      <c r="G471" s="112" t="s">
        <v>596</v>
      </c>
      <c r="H471" s="115" t="s">
        <v>1243</v>
      </c>
      <c r="I471" s="112" t="s">
        <v>601</v>
      </c>
      <c r="J471" s="112" t="s">
        <v>113</v>
      </c>
      <c r="K471" s="31">
        <v>3927329.15</v>
      </c>
      <c r="L471" s="31"/>
      <c r="M471" s="31"/>
      <c r="N471" s="31"/>
      <c r="O471" s="31"/>
      <c r="P471" s="31"/>
      <c r="Q471" s="33">
        <f>SUM(PAC!$M471:$P471)</f>
        <v>0</v>
      </c>
      <c r="R471" s="33"/>
      <c r="S471" s="33">
        <f>IF(PAC!$R471&gt;0,PAC!$R471,PAC!$Q471)</f>
        <v>0</v>
      </c>
      <c r="T471" s="33"/>
      <c r="U471" s="116" t="s">
        <v>594</v>
      </c>
      <c r="V471" s="116"/>
      <c r="W471" s="117"/>
      <c r="X471" s="117" t="s">
        <v>1419</v>
      </c>
      <c r="Y471" s="113" t="s">
        <v>2486</v>
      </c>
      <c r="Z471" s="118"/>
      <c r="AA471" s="119"/>
      <c r="AB471" s="115"/>
      <c r="AC471" s="115" t="s">
        <v>2047</v>
      </c>
      <c r="AD471" s="120"/>
      <c r="AE471" s="114"/>
      <c r="AF471" s="115" t="s">
        <v>953</v>
      </c>
      <c r="AG471" s="115"/>
      <c r="AH471" s="115"/>
      <c r="AI471" s="115"/>
      <c r="AJ471" s="118"/>
      <c r="AK471" s="115"/>
      <c r="AL471" s="115"/>
      <c r="AM471" s="115"/>
      <c r="AN471" s="118"/>
      <c r="AO471" s="118"/>
      <c r="AP471" s="118"/>
      <c r="AQ471" s="118"/>
      <c r="AR471" s="121"/>
      <c r="AS471" s="121"/>
      <c r="AT471" s="116"/>
      <c r="AU471" s="115"/>
      <c r="AV471" s="120"/>
      <c r="AW471" s="119"/>
      <c r="AX471" s="194">
        <f>IFERROR(IF(PAC!$X471="F01 - CAPTAÇÃO DE RECURSO",1,""),"")</f>
        <v>1</v>
      </c>
      <c r="AY471" s="194" t="str">
        <f>IFERROR(IF(PAC!$X471="F02 - LICITAÇÃO",1,""),"")</f>
        <v/>
      </c>
      <c r="AZ471" s="123" t="str">
        <f>IFERROR(IF(PAC!$X$6:$X$581="F03 - EXECUÇÃO DO OBJETO",1,""),"")</f>
        <v/>
      </c>
      <c r="BA471" s="123" t="str">
        <f>IFERROR(IF(PAC!$X$6:$X$581="F04 - CONCLUÍDA",1,""),"")</f>
        <v/>
      </c>
      <c r="BB471" s="191">
        <f>IF(PAC!$R471&gt;0,0,PAC!$Q471)</f>
        <v>0</v>
      </c>
    </row>
    <row r="472" spans="1:54" s="1" customFormat="1" ht="249.95" customHeight="1" thickBot="1">
      <c r="A472" s="88">
        <f t="shared" si="8"/>
        <v>467</v>
      </c>
      <c r="B472" s="88">
        <v>2025</v>
      </c>
      <c r="C472" s="88" t="s">
        <v>605</v>
      </c>
      <c r="D472" s="88" t="s">
        <v>1010</v>
      </c>
      <c r="E472" s="102" t="s">
        <v>955</v>
      </c>
      <c r="F472" s="88" t="s">
        <v>576</v>
      </c>
      <c r="G472" s="88" t="s">
        <v>596</v>
      </c>
      <c r="H472" s="40" t="s">
        <v>1243</v>
      </c>
      <c r="I472" s="88" t="s">
        <v>601</v>
      </c>
      <c r="J472" s="88" t="s">
        <v>30</v>
      </c>
      <c r="K472" s="18">
        <v>4446453.55</v>
      </c>
      <c r="L472" s="18"/>
      <c r="M472" s="18"/>
      <c r="N472" s="18"/>
      <c r="O472" s="18"/>
      <c r="P472" s="18"/>
      <c r="Q472" s="20">
        <f>SUM(PAC!$M472:$P472)</f>
        <v>0</v>
      </c>
      <c r="R472" s="20"/>
      <c r="S472" s="20">
        <f>IF(PAC!$R472&gt;0,PAC!$R472,PAC!$Q472)</f>
        <v>0</v>
      </c>
      <c r="T472" s="20"/>
      <c r="U472" s="103" t="s">
        <v>594</v>
      </c>
      <c r="V472" s="103"/>
      <c r="W472" s="104"/>
      <c r="X472" s="104" t="s">
        <v>1419</v>
      </c>
      <c r="Y472" s="101" t="s">
        <v>2486</v>
      </c>
      <c r="Z472" s="87"/>
      <c r="AA472" s="105"/>
      <c r="AB472" s="40"/>
      <c r="AC472" s="40" t="s">
        <v>2048</v>
      </c>
      <c r="AD472" s="106"/>
      <c r="AE472" s="102"/>
      <c r="AF472" s="40" t="s">
        <v>954</v>
      </c>
      <c r="AG472" s="40"/>
      <c r="AH472" s="40"/>
      <c r="AI472" s="40"/>
      <c r="AJ472" s="87"/>
      <c r="AK472" s="40"/>
      <c r="AL472" s="40"/>
      <c r="AM472" s="40"/>
      <c r="AN472" s="87"/>
      <c r="AO472" s="87"/>
      <c r="AP472" s="87"/>
      <c r="AQ472" s="87"/>
      <c r="AR472" s="107"/>
      <c r="AS472" s="107"/>
      <c r="AT472" s="103"/>
      <c r="AU472" s="40"/>
      <c r="AV472" s="106"/>
      <c r="AW472" s="105"/>
      <c r="AX472" s="109">
        <f>IFERROR(IF(PAC!$X472="F01 - CAPTAÇÃO DE RECURSO",1,""),"")</f>
        <v>1</v>
      </c>
      <c r="AY472" s="109" t="str">
        <f>IFERROR(IF(PAC!$X472="F02 - LICITAÇÃO",1,""),"")</f>
        <v/>
      </c>
      <c r="AZ472" s="110" t="str">
        <f>IFERROR(IF(PAC!$X$6:$X$581="F03 - EXECUÇÃO DO OBJETO",1,""),"")</f>
        <v/>
      </c>
      <c r="BA472" s="110" t="str">
        <f>IFERROR(IF(PAC!$X$6:$X$581="F04 - CONCLUÍDA",1,""),"")</f>
        <v/>
      </c>
      <c r="BB472" s="111">
        <f>IF(PAC!$R472&gt;0,0,PAC!$Q472)</f>
        <v>0</v>
      </c>
    </row>
    <row r="473" spans="1:54" s="1" customFormat="1" ht="207" customHeight="1" thickBot="1">
      <c r="A473" s="112">
        <f t="shared" si="8"/>
        <v>468</v>
      </c>
      <c r="B473" s="112">
        <v>2025</v>
      </c>
      <c r="C473" s="112" t="s">
        <v>605</v>
      </c>
      <c r="D473" s="112" t="s">
        <v>1010</v>
      </c>
      <c r="E473" s="114" t="s">
        <v>963</v>
      </c>
      <c r="F473" s="112" t="s">
        <v>576</v>
      </c>
      <c r="G473" s="112" t="s">
        <v>596</v>
      </c>
      <c r="H473" s="115" t="s">
        <v>1243</v>
      </c>
      <c r="I473" s="112" t="s">
        <v>601</v>
      </c>
      <c r="J473" s="112" t="s">
        <v>96</v>
      </c>
      <c r="K473" s="31">
        <v>6001129.6699999999</v>
      </c>
      <c r="L473" s="31"/>
      <c r="M473" s="31"/>
      <c r="N473" s="31"/>
      <c r="O473" s="31"/>
      <c r="P473" s="31"/>
      <c r="Q473" s="33">
        <f>SUM(PAC!$M473:$P473)</f>
        <v>0</v>
      </c>
      <c r="R473" s="33"/>
      <c r="S473" s="33">
        <f>IF(PAC!$R473&gt;0,PAC!$R473,PAC!$Q473)</f>
        <v>0</v>
      </c>
      <c r="T473" s="33"/>
      <c r="U473" s="116" t="s">
        <v>594</v>
      </c>
      <c r="V473" s="116" t="s">
        <v>1805</v>
      </c>
      <c r="W473" s="117"/>
      <c r="X473" s="117" t="s">
        <v>1419</v>
      </c>
      <c r="Y473" s="113" t="s">
        <v>2483</v>
      </c>
      <c r="Z473" s="118"/>
      <c r="AA473" s="119"/>
      <c r="AB473" s="115"/>
      <c r="AC473" s="115" t="s">
        <v>1820</v>
      </c>
      <c r="AD473" s="120"/>
      <c r="AE473" s="114" t="s">
        <v>1820</v>
      </c>
      <c r="AF473" s="115" t="s">
        <v>964</v>
      </c>
      <c r="AG473" s="115"/>
      <c r="AH473" s="115"/>
      <c r="AI473" s="115"/>
      <c r="AJ473" s="118"/>
      <c r="AK473" s="115"/>
      <c r="AL473" s="115"/>
      <c r="AM473" s="115"/>
      <c r="AN473" s="118"/>
      <c r="AO473" s="118"/>
      <c r="AP473" s="118"/>
      <c r="AQ473" s="118"/>
      <c r="AR473" s="121"/>
      <c r="AS473" s="121"/>
      <c r="AT473" s="114"/>
      <c r="AU473" s="115"/>
      <c r="AV473" s="120"/>
      <c r="AW473" s="119" t="s">
        <v>1616</v>
      </c>
      <c r="AX473" s="194">
        <f>IFERROR(IF(PAC!$X473="F01 - CAPTAÇÃO DE RECURSO",1,""),"")</f>
        <v>1</v>
      </c>
      <c r="AY473" s="194" t="str">
        <f>IFERROR(IF(PAC!$X473="F02 - LICITAÇÃO",1,""),"")</f>
        <v/>
      </c>
      <c r="AZ473" s="123" t="str">
        <f>IFERROR(IF(PAC!$X$6:$X$581="F03 - EXECUÇÃO DO OBJETO",1,""),"")</f>
        <v/>
      </c>
      <c r="BA473" s="123" t="str">
        <f>IFERROR(IF(PAC!$X$6:$X$581="F04 - CONCLUÍDA",1,""),"")</f>
        <v/>
      </c>
      <c r="BB473" s="191">
        <f>IF(PAC!$R473&gt;0,0,PAC!$Q473)</f>
        <v>0</v>
      </c>
    </row>
    <row r="474" spans="1:54" s="1" customFormat="1" ht="330" customHeight="1" thickBot="1">
      <c r="A474" s="88">
        <f t="shared" si="8"/>
        <v>469</v>
      </c>
      <c r="B474" s="88">
        <v>2025</v>
      </c>
      <c r="C474" s="88" t="s">
        <v>605</v>
      </c>
      <c r="D474" s="88" t="s">
        <v>1010</v>
      </c>
      <c r="E474" s="102" t="s">
        <v>965</v>
      </c>
      <c r="F474" s="88" t="s">
        <v>576</v>
      </c>
      <c r="G474" s="88" t="s">
        <v>596</v>
      </c>
      <c r="H474" s="40" t="s">
        <v>1243</v>
      </c>
      <c r="I474" s="88" t="s">
        <v>601</v>
      </c>
      <c r="J474" s="88" t="s">
        <v>155</v>
      </c>
      <c r="K474" s="18">
        <v>21464546.629999999</v>
      </c>
      <c r="L474" s="18"/>
      <c r="M474" s="18"/>
      <c r="N474" s="18"/>
      <c r="O474" s="18"/>
      <c r="P474" s="18"/>
      <c r="Q474" s="20">
        <f>SUM(PAC!$M474:$P474)</f>
        <v>0</v>
      </c>
      <c r="R474" s="20"/>
      <c r="S474" s="20">
        <f>IF(PAC!$R474&gt;0,PAC!$R474,PAC!$Q474)</f>
        <v>0</v>
      </c>
      <c r="T474" s="20"/>
      <c r="U474" s="103" t="s">
        <v>594</v>
      </c>
      <c r="V474" s="103"/>
      <c r="W474" s="104"/>
      <c r="X474" s="104" t="s">
        <v>1419</v>
      </c>
      <c r="Y474" s="101" t="s">
        <v>2486</v>
      </c>
      <c r="Z474" s="87"/>
      <c r="AA474" s="105"/>
      <c r="AB474" s="40"/>
      <c r="AC474" s="40" t="s">
        <v>2048</v>
      </c>
      <c r="AD474" s="106"/>
      <c r="AE474" s="102"/>
      <c r="AF474" s="40" t="s">
        <v>966</v>
      </c>
      <c r="AG474" s="40"/>
      <c r="AH474" s="40"/>
      <c r="AI474" s="40"/>
      <c r="AJ474" s="87"/>
      <c r="AK474" s="40"/>
      <c r="AL474" s="40"/>
      <c r="AM474" s="40"/>
      <c r="AN474" s="87"/>
      <c r="AO474" s="87"/>
      <c r="AP474" s="87"/>
      <c r="AQ474" s="87"/>
      <c r="AR474" s="107"/>
      <c r="AS474" s="107"/>
      <c r="AT474" s="102"/>
      <c r="AU474" s="40"/>
      <c r="AV474" s="106"/>
      <c r="AW474" s="105"/>
      <c r="AX474" s="109">
        <f>IFERROR(IF(PAC!$X474="F01 - CAPTAÇÃO DE RECURSO",1,""),"")</f>
        <v>1</v>
      </c>
      <c r="AY474" s="109" t="str">
        <f>IFERROR(IF(PAC!$X474="F02 - LICITAÇÃO",1,""),"")</f>
        <v/>
      </c>
      <c r="AZ474" s="110" t="str">
        <f>IFERROR(IF(PAC!$X$6:$X$581="F03 - EXECUÇÃO DO OBJETO",1,""),"")</f>
        <v/>
      </c>
      <c r="BA474" s="110" t="str">
        <f>IFERROR(IF(PAC!$X$6:$X$581="F04 - CONCLUÍDA",1,""),"")</f>
        <v/>
      </c>
      <c r="BB474" s="111">
        <f>IF(PAC!$R474&gt;0,0,PAC!$Q474)</f>
        <v>0</v>
      </c>
    </row>
    <row r="475" spans="1:54" s="1" customFormat="1" ht="246" customHeight="1" thickBot="1">
      <c r="A475" s="112">
        <f t="shared" si="8"/>
        <v>470</v>
      </c>
      <c r="B475" s="112">
        <v>2025</v>
      </c>
      <c r="C475" s="112" t="s">
        <v>605</v>
      </c>
      <c r="D475" s="112" t="s">
        <v>1010</v>
      </c>
      <c r="E475" s="114" t="s">
        <v>967</v>
      </c>
      <c r="F475" s="112" t="s">
        <v>576</v>
      </c>
      <c r="G475" s="112" t="s">
        <v>596</v>
      </c>
      <c r="H475" s="115" t="s">
        <v>1243</v>
      </c>
      <c r="I475" s="112" t="s">
        <v>601</v>
      </c>
      <c r="J475" s="112" t="s">
        <v>393</v>
      </c>
      <c r="K475" s="31">
        <v>11703820.75</v>
      </c>
      <c r="L475" s="31"/>
      <c r="M475" s="31"/>
      <c r="N475" s="31"/>
      <c r="O475" s="31"/>
      <c r="P475" s="31"/>
      <c r="Q475" s="33">
        <f>SUM(PAC!$M475:$P475)</f>
        <v>0</v>
      </c>
      <c r="R475" s="33"/>
      <c r="S475" s="33">
        <f>IF(PAC!$R475&gt;0,PAC!$R475,PAC!$Q475)</f>
        <v>0</v>
      </c>
      <c r="T475" s="33"/>
      <c r="U475" s="116" t="s">
        <v>594</v>
      </c>
      <c r="V475" s="116"/>
      <c r="W475" s="117"/>
      <c r="X475" s="117" t="s">
        <v>1419</v>
      </c>
      <c r="Y475" s="113" t="s">
        <v>2486</v>
      </c>
      <c r="Z475" s="118"/>
      <c r="AA475" s="119"/>
      <c r="AB475" s="115"/>
      <c r="AC475" s="115" t="s">
        <v>2047</v>
      </c>
      <c r="AD475" s="120"/>
      <c r="AE475" s="114"/>
      <c r="AF475" s="115" t="s">
        <v>968</v>
      </c>
      <c r="AG475" s="115"/>
      <c r="AH475" s="115"/>
      <c r="AI475" s="115"/>
      <c r="AJ475" s="118"/>
      <c r="AK475" s="115"/>
      <c r="AL475" s="115"/>
      <c r="AM475" s="115"/>
      <c r="AN475" s="118"/>
      <c r="AO475" s="118"/>
      <c r="AP475" s="118"/>
      <c r="AQ475" s="118"/>
      <c r="AR475" s="121"/>
      <c r="AS475" s="121"/>
      <c r="AT475" s="114"/>
      <c r="AU475" s="115"/>
      <c r="AV475" s="120"/>
      <c r="AW475" s="119"/>
      <c r="AX475" s="194">
        <f>IFERROR(IF(PAC!$X475="F01 - CAPTAÇÃO DE RECURSO",1,""),"")</f>
        <v>1</v>
      </c>
      <c r="AY475" s="194" t="str">
        <f>IFERROR(IF(PAC!$X475="F02 - LICITAÇÃO",1,""),"")</f>
        <v/>
      </c>
      <c r="AZ475" s="123" t="str">
        <f>IFERROR(IF(PAC!$X$6:$X$581="F03 - EXECUÇÃO DO OBJETO",1,""),"")</f>
        <v/>
      </c>
      <c r="BA475" s="123" t="str">
        <f>IFERROR(IF(PAC!$X$6:$X$581="F04 - CONCLUÍDA",1,""),"")</f>
        <v/>
      </c>
      <c r="BB475" s="191">
        <f>IF(PAC!$R475&gt;0,0,PAC!$Q475)</f>
        <v>0</v>
      </c>
    </row>
    <row r="476" spans="1:54" s="1" customFormat="1" ht="270" customHeight="1" thickBot="1">
      <c r="A476" s="88">
        <f t="shared" si="8"/>
        <v>471</v>
      </c>
      <c r="B476" s="88">
        <v>2025</v>
      </c>
      <c r="C476" s="88" t="s">
        <v>605</v>
      </c>
      <c r="D476" s="88" t="s">
        <v>1010</v>
      </c>
      <c r="E476" s="102" t="s">
        <v>969</v>
      </c>
      <c r="F476" s="88" t="s">
        <v>576</v>
      </c>
      <c r="G476" s="88" t="s">
        <v>596</v>
      </c>
      <c r="H476" s="40" t="s">
        <v>1243</v>
      </c>
      <c r="I476" s="88" t="s">
        <v>601</v>
      </c>
      <c r="J476" s="88" t="s">
        <v>275</v>
      </c>
      <c r="K476" s="18">
        <v>79336182.819999993</v>
      </c>
      <c r="L476" s="18"/>
      <c r="M476" s="18"/>
      <c r="N476" s="18"/>
      <c r="O476" s="18"/>
      <c r="P476" s="18"/>
      <c r="Q476" s="20">
        <f>SUM(PAC!$M476:$P476)</f>
        <v>0</v>
      </c>
      <c r="R476" s="20"/>
      <c r="S476" s="20">
        <f>IF(PAC!$R476&gt;0,PAC!$R476,PAC!$Q476)</f>
        <v>0</v>
      </c>
      <c r="T476" s="20"/>
      <c r="U476" s="103" t="s">
        <v>594</v>
      </c>
      <c r="V476" s="103" t="s">
        <v>1805</v>
      </c>
      <c r="W476" s="104"/>
      <c r="X476" s="104" t="s">
        <v>1419</v>
      </c>
      <c r="Y476" s="101" t="s">
        <v>2483</v>
      </c>
      <c r="Z476" s="87"/>
      <c r="AA476" s="105"/>
      <c r="AB476" s="40"/>
      <c r="AC476" s="40" t="s">
        <v>1820</v>
      </c>
      <c r="AD476" s="106"/>
      <c r="AE476" s="40" t="s">
        <v>1820</v>
      </c>
      <c r="AF476" s="40" t="s">
        <v>970</v>
      </c>
      <c r="AG476" s="40"/>
      <c r="AH476" s="40"/>
      <c r="AI476" s="40"/>
      <c r="AJ476" s="87"/>
      <c r="AK476" s="40"/>
      <c r="AL476" s="40"/>
      <c r="AM476" s="40"/>
      <c r="AN476" s="87"/>
      <c r="AO476" s="87"/>
      <c r="AP476" s="87"/>
      <c r="AQ476" s="87"/>
      <c r="AR476" s="107"/>
      <c r="AS476" s="107"/>
      <c r="AT476" s="102"/>
      <c r="AU476" s="40"/>
      <c r="AV476" s="106"/>
      <c r="AW476" s="105" t="s">
        <v>1613</v>
      </c>
      <c r="AX476" s="109">
        <f>IFERROR(IF(PAC!$X476="F01 - CAPTAÇÃO DE RECURSO",1,""),"")</f>
        <v>1</v>
      </c>
      <c r="AY476" s="109" t="str">
        <f>IFERROR(IF(PAC!$X476="F02 - LICITAÇÃO",1,""),"")</f>
        <v/>
      </c>
      <c r="AZ476" s="110" t="str">
        <f>IFERROR(IF(PAC!$X$6:$X$581="F03 - EXECUÇÃO DO OBJETO",1,""),"")</f>
        <v/>
      </c>
      <c r="BA476" s="110" t="str">
        <f>IFERROR(IF(PAC!$X$6:$X$581="F04 - CONCLUÍDA",1,""),"")</f>
        <v/>
      </c>
      <c r="BB476" s="111">
        <f>IF(PAC!$R476&gt;0,0,PAC!$Q476)</f>
        <v>0</v>
      </c>
    </row>
    <row r="477" spans="1:54" s="1" customFormat="1" ht="263.25" customHeight="1" thickBot="1">
      <c r="A477" s="112">
        <f t="shared" si="8"/>
        <v>472</v>
      </c>
      <c r="B477" s="112">
        <v>2025</v>
      </c>
      <c r="C477" s="112" t="s">
        <v>605</v>
      </c>
      <c r="D477" s="112" t="s">
        <v>1010</v>
      </c>
      <c r="E477" s="114" t="s">
        <v>971</v>
      </c>
      <c r="F477" s="112" t="s">
        <v>576</v>
      </c>
      <c r="G477" s="112" t="s">
        <v>596</v>
      </c>
      <c r="H477" s="115" t="s">
        <v>1243</v>
      </c>
      <c r="I477" s="112" t="s">
        <v>601</v>
      </c>
      <c r="J477" s="112" t="s">
        <v>417</v>
      </c>
      <c r="K477" s="31">
        <v>55110333.82</v>
      </c>
      <c r="L477" s="31"/>
      <c r="M477" s="31"/>
      <c r="N477" s="31"/>
      <c r="O477" s="31"/>
      <c r="P477" s="31"/>
      <c r="Q477" s="33">
        <f>SUM(PAC!$M477:$P477)</f>
        <v>0</v>
      </c>
      <c r="R477" s="33"/>
      <c r="S477" s="33">
        <f>IF(PAC!$R477&gt;0,PAC!$R477,PAC!$Q477)</f>
        <v>0</v>
      </c>
      <c r="T477" s="33"/>
      <c r="U477" s="116" t="s">
        <v>594</v>
      </c>
      <c r="V477" s="116" t="s">
        <v>1805</v>
      </c>
      <c r="W477" s="117"/>
      <c r="X477" s="117" t="s">
        <v>1419</v>
      </c>
      <c r="Y477" s="113" t="s">
        <v>2483</v>
      </c>
      <c r="Z477" s="118"/>
      <c r="AA477" s="119"/>
      <c r="AB477" s="115"/>
      <c r="AC477" s="115" t="s">
        <v>1820</v>
      </c>
      <c r="AD477" s="120"/>
      <c r="AE477" s="114" t="s">
        <v>1820</v>
      </c>
      <c r="AF477" s="115" t="s">
        <v>972</v>
      </c>
      <c r="AG477" s="115"/>
      <c r="AH477" s="115"/>
      <c r="AI477" s="115"/>
      <c r="AJ477" s="118"/>
      <c r="AK477" s="115"/>
      <c r="AL477" s="115"/>
      <c r="AM477" s="115"/>
      <c r="AN477" s="118"/>
      <c r="AO477" s="118"/>
      <c r="AP477" s="118"/>
      <c r="AQ477" s="118"/>
      <c r="AR477" s="121"/>
      <c r="AS477" s="121"/>
      <c r="AT477" s="114"/>
      <c r="AU477" s="115"/>
      <c r="AV477" s="120"/>
      <c r="AW477" s="119"/>
      <c r="AX477" s="194">
        <f>IFERROR(IF(PAC!$X477="F01 - CAPTAÇÃO DE RECURSO",1,""),"")</f>
        <v>1</v>
      </c>
      <c r="AY477" s="194" t="str">
        <f>IFERROR(IF(PAC!$X477="F02 - LICITAÇÃO",1,""),"")</f>
        <v/>
      </c>
      <c r="AZ477" s="123" t="str">
        <f>IFERROR(IF(PAC!$X$6:$X$581="F03 - EXECUÇÃO DO OBJETO",1,""),"")</f>
        <v/>
      </c>
      <c r="BA477" s="123" t="str">
        <f>IFERROR(IF(PAC!$X$6:$X$581="F04 - CONCLUÍDA",1,""),"")</f>
        <v/>
      </c>
      <c r="BB477" s="191">
        <f>IF(PAC!$R477&gt;0,0,PAC!$Q477)</f>
        <v>0</v>
      </c>
    </row>
    <row r="478" spans="1:54" s="1" customFormat="1" ht="209.25" customHeight="1" thickBot="1">
      <c r="A478" s="88">
        <f t="shared" si="8"/>
        <v>473</v>
      </c>
      <c r="B478" s="88">
        <v>2025</v>
      </c>
      <c r="C478" s="88" t="s">
        <v>605</v>
      </c>
      <c r="D478" s="88" t="s">
        <v>1010</v>
      </c>
      <c r="E478" s="102" t="s">
        <v>973</v>
      </c>
      <c r="F478" s="88" t="s">
        <v>576</v>
      </c>
      <c r="G478" s="88" t="s">
        <v>596</v>
      </c>
      <c r="H478" s="40" t="s">
        <v>1243</v>
      </c>
      <c r="I478" s="88" t="s">
        <v>601</v>
      </c>
      <c r="J478" s="88" t="s">
        <v>285</v>
      </c>
      <c r="K478" s="18">
        <v>37100000.200000003</v>
      </c>
      <c r="L478" s="18"/>
      <c r="M478" s="18"/>
      <c r="N478" s="18"/>
      <c r="O478" s="18"/>
      <c r="P478" s="18"/>
      <c r="Q478" s="20">
        <f>SUM(PAC!$M478:$P478)</f>
        <v>0</v>
      </c>
      <c r="R478" s="20"/>
      <c r="S478" s="20">
        <f>IF(PAC!$R478&gt;0,PAC!$R478,PAC!$Q478)</f>
        <v>0</v>
      </c>
      <c r="T478" s="20"/>
      <c r="U478" s="103" t="s">
        <v>594</v>
      </c>
      <c r="V478" s="103" t="s">
        <v>1805</v>
      </c>
      <c r="W478" s="104"/>
      <c r="X478" s="104" t="s">
        <v>1419</v>
      </c>
      <c r="Y478" s="101" t="s">
        <v>2483</v>
      </c>
      <c r="Z478" s="87"/>
      <c r="AA478" s="105"/>
      <c r="AB478" s="40"/>
      <c r="AC478" s="40" t="s">
        <v>1820</v>
      </c>
      <c r="AD478" s="106"/>
      <c r="AE478" s="40" t="s">
        <v>1820</v>
      </c>
      <c r="AF478" s="40" t="s">
        <v>974</v>
      </c>
      <c r="AG478" s="40"/>
      <c r="AH478" s="40"/>
      <c r="AI478" s="40"/>
      <c r="AJ478" s="87"/>
      <c r="AK478" s="40"/>
      <c r="AL478" s="40"/>
      <c r="AM478" s="40"/>
      <c r="AN478" s="87"/>
      <c r="AO478" s="87"/>
      <c r="AP478" s="87"/>
      <c r="AQ478" s="87"/>
      <c r="AR478" s="107"/>
      <c r="AS478" s="107"/>
      <c r="AT478" s="102"/>
      <c r="AU478" s="40"/>
      <c r="AV478" s="106"/>
      <c r="AW478" s="105"/>
      <c r="AX478" s="109">
        <f>IFERROR(IF(PAC!$X478="F01 - CAPTAÇÃO DE RECURSO",1,""),"")</f>
        <v>1</v>
      </c>
      <c r="AY478" s="109" t="str">
        <f>IFERROR(IF(PAC!$X478="F02 - LICITAÇÃO",1,""),"")</f>
        <v/>
      </c>
      <c r="AZ478" s="110" t="str">
        <f>IFERROR(IF(PAC!$X$6:$X$581="F03 - EXECUÇÃO DO OBJETO",1,""),"")</f>
        <v/>
      </c>
      <c r="BA478" s="110" t="str">
        <f>IFERROR(IF(PAC!$X$6:$X$581="F04 - CONCLUÍDA",1,""),"")</f>
        <v/>
      </c>
      <c r="BB478" s="111">
        <f>IF(PAC!$R478&gt;0,0,PAC!$Q478)</f>
        <v>0</v>
      </c>
    </row>
    <row r="479" spans="1:54" s="1" customFormat="1" ht="285.75" customHeight="1" thickBot="1">
      <c r="A479" s="112">
        <f t="shared" si="8"/>
        <v>474</v>
      </c>
      <c r="B479" s="112">
        <v>2025</v>
      </c>
      <c r="C479" s="112" t="s">
        <v>605</v>
      </c>
      <c r="D479" s="112" t="s">
        <v>1010</v>
      </c>
      <c r="E479" s="130" t="s">
        <v>2025</v>
      </c>
      <c r="F479" s="112" t="s">
        <v>576</v>
      </c>
      <c r="G479" s="112" t="s">
        <v>596</v>
      </c>
      <c r="H479" s="115" t="s">
        <v>1243</v>
      </c>
      <c r="I479" s="112" t="s">
        <v>600</v>
      </c>
      <c r="J479" s="112" t="s">
        <v>199</v>
      </c>
      <c r="K479" s="31">
        <v>428809352.98000002</v>
      </c>
      <c r="L479" s="31"/>
      <c r="M479" s="31"/>
      <c r="N479" s="31">
        <v>21440467.649000004</v>
      </c>
      <c r="O479" s="31"/>
      <c r="P479" s="31">
        <v>407368885.33099997</v>
      </c>
      <c r="Q479" s="33">
        <f>SUM(PAC!$M479:$P479)</f>
        <v>428809352.97999996</v>
      </c>
      <c r="R479" s="33"/>
      <c r="S479" s="33">
        <f>IF(PAC!$R479&gt;0,PAC!$R479,PAC!$Q479)</f>
        <v>428809352.97999996</v>
      </c>
      <c r="T479" s="33"/>
      <c r="U479" s="116" t="s">
        <v>594</v>
      </c>
      <c r="V479" s="116" t="s">
        <v>1764</v>
      </c>
      <c r="W479" s="117"/>
      <c r="X479" s="117" t="s">
        <v>1419</v>
      </c>
      <c r="Y479" s="113" t="s">
        <v>2476</v>
      </c>
      <c r="Z479" s="118"/>
      <c r="AA479" s="119"/>
      <c r="AB479" s="115" t="s">
        <v>1509</v>
      </c>
      <c r="AC479" s="115" t="s">
        <v>2133</v>
      </c>
      <c r="AD479" s="120">
        <v>46325</v>
      </c>
      <c r="AE479" s="114" t="s">
        <v>2028</v>
      </c>
      <c r="AF479" s="115" t="s">
        <v>1521</v>
      </c>
      <c r="AG479" s="115"/>
      <c r="AH479" s="115"/>
      <c r="AI479" s="115"/>
      <c r="AJ479" s="118"/>
      <c r="AK479" s="115"/>
      <c r="AL479" s="115"/>
      <c r="AM479" s="115"/>
      <c r="AN479" s="118"/>
      <c r="AO479" s="118"/>
      <c r="AP479" s="118"/>
      <c r="AQ479" s="118"/>
      <c r="AR479" s="121"/>
      <c r="AS479" s="121"/>
      <c r="AT479" s="177" t="s">
        <v>2120</v>
      </c>
      <c r="AU479" s="115" t="s">
        <v>2225</v>
      </c>
      <c r="AV479" s="120"/>
      <c r="AW479" s="112" t="s">
        <v>1882</v>
      </c>
      <c r="AX479" s="194">
        <f>IFERROR(IF(PAC!$X479="F01 - CAPTAÇÃO DE RECURSO",1,""),"")</f>
        <v>1</v>
      </c>
      <c r="AY479" s="194" t="str">
        <f>IFERROR(IF(PAC!$X479="F02 - LICITAÇÃO",1,""),"")</f>
        <v/>
      </c>
      <c r="AZ479" s="123" t="str">
        <f>IFERROR(IF(PAC!$X$6:$X$581="F03 - EXECUÇÃO DO OBJETO",1,""),"")</f>
        <v/>
      </c>
      <c r="BA479" s="123" t="str">
        <f>IFERROR(IF(PAC!$X$6:$X$581="F04 - CONCLUÍDA",1,""),"")</f>
        <v/>
      </c>
      <c r="BB479" s="191">
        <f>IF(PAC!$R479&gt;0,0,PAC!$Q479)</f>
        <v>428809352.97999996</v>
      </c>
    </row>
    <row r="480" spans="1:54" s="1" customFormat="1" ht="174.95" customHeight="1" thickBot="1">
      <c r="A480" s="88">
        <f t="shared" si="8"/>
        <v>475</v>
      </c>
      <c r="B480" s="88">
        <v>2025</v>
      </c>
      <c r="C480" s="88" t="s">
        <v>605</v>
      </c>
      <c r="D480" s="88" t="s">
        <v>1010</v>
      </c>
      <c r="E480" s="89" t="s">
        <v>1520</v>
      </c>
      <c r="F480" s="88" t="s">
        <v>576</v>
      </c>
      <c r="G480" s="88" t="s">
        <v>596</v>
      </c>
      <c r="H480" s="40" t="s">
        <v>1243</v>
      </c>
      <c r="I480" s="88" t="s">
        <v>600</v>
      </c>
      <c r="J480" s="88" t="s">
        <v>394</v>
      </c>
      <c r="K480" s="18">
        <v>728357605.21000004</v>
      </c>
      <c r="L480" s="18"/>
      <c r="M480" s="18"/>
      <c r="N480" s="18">
        <v>36417880.270000003</v>
      </c>
      <c r="O480" s="18"/>
      <c r="P480" s="18">
        <v>691939724.94000006</v>
      </c>
      <c r="Q480" s="20">
        <f>SUM(PAC!$M480:$P480)</f>
        <v>728357605.21000004</v>
      </c>
      <c r="R480" s="20"/>
      <c r="S480" s="20">
        <f>IF(PAC!$R480&gt;0,PAC!$R480,PAC!$Q480)</f>
        <v>728357605.21000004</v>
      </c>
      <c r="T480" s="20"/>
      <c r="U480" s="103" t="s">
        <v>594</v>
      </c>
      <c r="V480" s="103" t="s">
        <v>1764</v>
      </c>
      <c r="W480" s="104"/>
      <c r="X480" s="104" t="s">
        <v>1419</v>
      </c>
      <c r="Y480" s="101" t="s">
        <v>2476</v>
      </c>
      <c r="Z480" s="87"/>
      <c r="AA480" s="105"/>
      <c r="AB480" s="40" t="s">
        <v>1509</v>
      </c>
      <c r="AC480" s="40" t="s">
        <v>2526</v>
      </c>
      <c r="AD480" s="106">
        <v>46325</v>
      </c>
      <c r="AE480" s="102" t="s">
        <v>1946</v>
      </c>
      <c r="AF480" s="40" t="s">
        <v>1522</v>
      </c>
      <c r="AG480" s="40"/>
      <c r="AH480" s="40"/>
      <c r="AI480" s="40"/>
      <c r="AJ480" s="87"/>
      <c r="AK480" s="40"/>
      <c r="AL480" s="40"/>
      <c r="AM480" s="40"/>
      <c r="AN480" s="87">
        <v>46569</v>
      </c>
      <c r="AO480" s="87"/>
      <c r="AP480" s="87"/>
      <c r="AQ480" s="87"/>
      <c r="AR480" s="107"/>
      <c r="AS480" s="107"/>
      <c r="AT480" s="102" t="s">
        <v>2120</v>
      </c>
      <c r="AU480" s="40" t="s">
        <v>2525</v>
      </c>
      <c r="AV480" s="106"/>
      <c r="AW480" s="88" t="s">
        <v>2493</v>
      </c>
      <c r="AX480" s="109">
        <f>IFERROR(IF(PAC!$X480="F01 - CAPTAÇÃO DE RECURSO",1,""),"")</f>
        <v>1</v>
      </c>
      <c r="AY480" s="109" t="str">
        <f>IFERROR(IF(PAC!$X480="F02 - LICITAÇÃO",1,""),"")</f>
        <v/>
      </c>
      <c r="AZ480" s="110" t="str">
        <f>IFERROR(IF(PAC!$X$6:$X$581="F03 - EXECUÇÃO DO OBJETO",1,""),"")</f>
        <v/>
      </c>
      <c r="BA480" s="110" t="str">
        <f>IFERROR(IF(PAC!$X$6:$X$581="F04 - CONCLUÍDA",1,""),"")</f>
        <v/>
      </c>
      <c r="BB480" s="111">
        <f>IF(PAC!$R480&gt;0,0,PAC!$Q480)</f>
        <v>728357605.21000004</v>
      </c>
    </row>
    <row r="481" spans="1:54" s="1" customFormat="1" ht="174.95" customHeight="1" thickBot="1">
      <c r="A481" s="112">
        <f t="shared" si="8"/>
        <v>476</v>
      </c>
      <c r="B481" s="112">
        <v>2025</v>
      </c>
      <c r="C481" s="112" t="s">
        <v>605</v>
      </c>
      <c r="D481" s="112" t="s">
        <v>1010</v>
      </c>
      <c r="E481" s="130" t="s">
        <v>1735</v>
      </c>
      <c r="F481" s="112" t="s">
        <v>576</v>
      </c>
      <c r="G481" s="112" t="s">
        <v>596</v>
      </c>
      <c r="H481" s="115" t="s">
        <v>1243</v>
      </c>
      <c r="I481" s="112" t="s">
        <v>600</v>
      </c>
      <c r="J481" s="112" t="s">
        <v>95</v>
      </c>
      <c r="K481" s="31">
        <v>133533279.2481612</v>
      </c>
      <c r="L481" s="31"/>
      <c r="M481" s="31"/>
      <c r="N481" s="31">
        <v>6676654.4481611997</v>
      </c>
      <c r="O481" s="31"/>
      <c r="P481" s="31">
        <v>126856624.8</v>
      </c>
      <c r="Q481" s="33">
        <f>SUM(PAC!$M481:$P481)</f>
        <v>133533279.2481612</v>
      </c>
      <c r="R481" s="33"/>
      <c r="S481" s="33">
        <f>IF(PAC!$R481&gt;0,PAC!$R481,PAC!$Q481)</f>
        <v>133533279.2481612</v>
      </c>
      <c r="T481" s="33"/>
      <c r="U481" s="116" t="s">
        <v>594</v>
      </c>
      <c r="V481" s="116" t="s">
        <v>1764</v>
      </c>
      <c r="W481" s="117"/>
      <c r="X481" s="117" t="s">
        <v>1418</v>
      </c>
      <c r="Y481" s="113" t="s">
        <v>2473</v>
      </c>
      <c r="Z481" s="118"/>
      <c r="AA481" s="119"/>
      <c r="AB481" s="115" t="s">
        <v>1463</v>
      </c>
      <c r="AC481" s="119" t="s">
        <v>2318</v>
      </c>
      <c r="AD481" s="120">
        <v>46386</v>
      </c>
      <c r="AE481" s="119" t="s">
        <v>1739</v>
      </c>
      <c r="AF481" s="115" t="s">
        <v>1528</v>
      </c>
      <c r="AG481" s="115" t="s">
        <v>2248</v>
      </c>
      <c r="AH481" s="115"/>
      <c r="AI481" s="115"/>
      <c r="AJ481" s="118"/>
      <c r="AK481" s="115"/>
      <c r="AL481" s="115"/>
      <c r="AM481" s="115"/>
      <c r="AN481" s="118">
        <v>46539</v>
      </c>
      <c r="AO481" s="118"/>
      <c r="AP481" s="118"/>
      <c r="AQ481" s="118"/>
      <c r="AR481" s="121"/>
      <c r="AS481" s="121"/>
      <c r="AT481" s="114" t="s">
        <v>1749</v>
      </c>
      <c r="AU481" s="114" t="s">
        <v>2527</v>
      </c>
      <c r="AV481" s="120"/>
      <c r="AW481" s="119" t="s">
        <v>2275</v>
      </c>
      <c r="AX481" s="194" t="str">
        <f>IFERROR(IF(PAC!$X481="F01 - CAPTAÇÃO DE RECURSO",1,""),"")</f>
        <v/>
      </c>
      <c r="AY481" s="194">
        <f>IFERROR(IF(PAC!$X481="F02 - LICITAÇÃO",1,""),"")</f>
        <v>1</v>
      </c>
      <c r="AZ481" s="123" t="str">
        <f>IFERROR(IF(PAC!$X$6:$X$581="F03 - EXECUÇÃO DO OBJETO",1,""),"")</f>
        <v/>
      </c>
      <c r="BA481" s="123" t="str">
        <f>IFERROR(IF(PAC!$X$6:$X$581="F04 - CONCLUÍDA",1,""),"")</f>
        <v/>
      </c>
      <c r="BB481" s="191">
        <f>IF(PAC!$R481&gt;0,0,PAC!$Q481)</f>
        <v>133533279.2481612</v>
      </c>
    </row>
    <row r="482" spans="1:54" s="1" customFormat="1" ht="249.95" customHeight="1" thickBot="1">
      <c r="A482" s="88">
        <f t="shared" si="8"/>
        <v>477</v>
      </c>
      <c r="B482" s="88">
        <v>2025</v>
      </c>
      <c r="C482" s="88" t="s">
        <v>605</v>
      </c>
      <c r="D482" s="88" t="s">
        <v>1010</v>
      </c>
      <c r="E482" s="89" t="s">
        <v>1647</v>
      </c>
      <c r="F482" s="88" t="s">
        <v>576</v>
      </c>
      <c r="G482" s="88" t="s">
        <v>596</v>
      </c>
      <c r="H482" s="88" t="s">
        <v>1243</v>
      </c>
      <c r="I482" s="88" t="s">
        <v>600</v>
      </c>
      <c r="J482" s="88" t="s">
        <v>95</v>
      </c>
      <c r="K482" s="18">
        <v>17370501.865633313</v>
      </c>
      <c r="L482" s="18"/>
      <c r="M482" s="18"/>
      <c r="N482" s="18">
        <v>868523.85563331284</v>
      </c>
      <c r="O482" s="18"/>
      <c r="P482" s="18">
        <v>16501978.01</v>
      </c>
      <c r="Q482" s="20">
        <f>SUM(PAC!$M482:$P482)</f>
        <v>17370501.865633313</v>
      </c>
      <c r="R482" s="20"/>
      <c r="S482" s="20">
        <f>IF(PAC!$R482&gt;0,PAC!$R482,PAC!$Q482)</f>
        <v>17370501.865633313</v>
      </c>
      <c r="T482" s="20"/>
      <c r="U482" s="103" t="s">
        <v>594</v>
      </c>
      <c r="V482" s="103" t="s">
        <v>1764</v>
      </c>
      <c r="W482" s="104"/>
      <c r="X482" s="104" t="s">
        <v>1418</v>
      </c>
      <c r="Y482" s="101" t="s">
        <v>2472</v>
      </c>
      <c r="Z482" s="87"/>
      <c r="AA482" s="105"/>
      <c r="AB482" s="40" t="s">
        <v>1464</v>
      </c>
      <c r="AC482" s="40" t="s">
        <v>2601</v>
      </c>
      <c r="AD482" s="106">
        <v>46266</v>
      </c>
      <c r="AE482" s="40" t="s">
        <v>2599</v>
      </c>
      <c r="AF482" s="40" t="s">
        <v>1528</v>
      </c>
      <c r="AG482" s="40" t="s">
        <v>2251</v>
      </c>
      <c r="AH482" s="40"/>
      <c r="AI482" s="40"/>
      <c r="AJ482" s="87"/>
      <c r="AK482" s="40"/>
      <c r="AL482" s="40"/>
      <c r="AM482" s="40"/>
      <c r="AN482" s="87">
        <v>46244</v>
      </c>
      <c r="AO482" s="87">
        <v>46266</v>
      </c>
      <c r="AP482" s="87"/>
      <c r="AQ482" s="87"/>
      <c r="AR482" s="107"/>
      <c r="AS482" s="107"/>
      <c r="AT482" s="126" t="s">
        <v>1748</v>
      </c>
      <c r="AU482" s="126" t="s">
        <v>2600</v>
      </c>
      <c r="AV482" s="106"/>
      <c r="AW482" s="129" t="s">
        <v>1610</v>
      </c>
      <c r="AX482" s="109" t="str">
        <f>IFERROR(IF(PAC!$X482="F01 - CAPTAÇÃO DE RECURSO",1,""),"")</f>
        <v/>
      </c>
      <c r="AY482" s="109">
        <f>IFERROR(IF(PAC!$X482="F02 - LICITAÇÃO",1,""),"")</f>
        <v>1</v>
      </c>
      <c r="AZ482" s="110" t="str">
        <f>IFERROR(IF(PAC!$X$6:$X$581="F03 - EXECUÇÃO DO OBJETO",1,""),"")</f>
        <v/>
      </c>
      <c r="BA482" s="110" t="str">
        <f>IFERROR(IF(PAC!$X$6:$X$581="F04 - CONCLUÍDA",1,""),"")</f>
        <v/>
      </c>
      <c r="BB482" s="111">
        <f>IF(PAC!$R482&gt;0,0,PAC!$Q482)</f>
        <v>17370501.865633313</v>
      </c>
    </row>
    <row r="483" spans="1:54" s="1" customFormat="1" ht="244.5" customHeight="1" thickBot="1">
      <c r="A483" s="112">
        <f t="shared" si="8"/>
        <v>478</v>
      </c>
      <c r="B483" s="113">
        <v>2023</v>
      </c>
      <c r="C483" s="112" t="s">
        <v>605</v>
      </c>
      <c r="D483" s="112" t="s">
        <v>1010</v>
      </c>
      <c r="E483" s="114" t="s">
        <v>1649</v>
      </c>
      <c r="F483" s="112" t="s">
        <v>576</v>
      </c>
      <c r="G483" s="112" t="s">
        <v>596</v>
      </c>
      <c r="H483" s="115" t="s">
        <v>1243</v>
      </c>
      <c r="I483" s="112" t="s">
        <v>600</v>
      </c>
      <c r="J483" s="112" t="s">
        <v>192</v>
      </c>
      <c r="K483" s="31">
        <v>38026284.159999996</v>
      </c>
      <c r="L483" s="31"/>
      <c r="M483" s="31"/>
      <c r="N483" s="31">
        <v>2001383.77</v>
      </c>
      <c r="O483" s="31"/>
      <c r="P483" s="31">
        <v>38026284.159999996</v>
      </c>
      <c r="Q483" s="33">
        <f>SUM(PAC!$M483:$P483)</f>
        <v>40027667.93</v>
      </c>
      <c r="R483" s="33">
        <v>23140000</v>
      </c>
      <c r="S483" s="33">
        <f>IF(PAC!$R483&gt;0,PAC!$R483,PAC!$Q483)</f>
        <v>23140000</v>
      </c>
      <c r="T483" s="33" t="s">
        <v>1784</v>
      </c>
      <c r="U483" s="116" t="s">
        <v>1573</v>
      </c>
      <c r="V483" s="116" t="s">
        <v>1764</v>
      </c>
      <c r="W483" s="117"/>
      <c r="X483" s="117" t="s">
        <v>1694</v>
      </c>
      <c r="Y483" s="113" t="s">
        <v>2470</v>
      </c>
      <c r="Z483" s="121">
        <v>46895</v>
      </c>
      <c r="AA483" s="119">
        <v>0</v>
      </c>
      <c r="AB483" s="115" t="s">
        <v>1472</v>
      </c>
      <c r="AC483" s="122" t="s">
        <v>2266</v>
      </c>
      <c r="AD483" s="121">
        <v>46895</v>
      </c>
      <c r="AE483" s="127" t="s">
        <v>1472</v>
      </c>
      <c r="AF483" s="115" t="s">
        <v>534</v>
      </c>
      <c r="AG483" s="115" t="s">
        <v>2264</v>
      </c>
      <c r="AH483" s="115"/>
      <c r="AI483" s="115"/>
      <c r="AJ483" s="118"/>
      <c r="AK483" s="115"/>
      <c r="AL483" s="115"/>
      <c r="AM483" s="115"/>
      <c r="AN483" s="118">
        <v>46024</v>
      </c>
      <c r="AO483" s="118">
        <v>46100</v>
      </c>
      <c r="AP483" s="118">
        <v>46168</v>
      </c>
      <c r="AQ483" s="118">
        <v>46175</v>
      </c>
      <c r="AR483" s="121">
        <v>46895</v>
      </c>
      <c r="AS483" s="121">
        <v>46895</v>
      </c>
      <c r="AT483" s="125" t="s">
        <v>2538</v>
      </c>
      <c r="AU483" s="127" t="s">
        <v>2135</v>
      </c>
      <c r="AV483" s="120"/>
      <c r="AW483" s="119" t="s">
        <v>1651</v>
      </c>
      <c r="AX483" s="194" t="str">
        <f>IFERROR(IF(PAC!$X483="F01 - CAPTAÇÃO DE RECURSO",1,""),"")</f>
        <v/>
      </c>
      <c r="AY483" s="194" t="str">
        <f>IFERROR(IF(PAC!$X483="F02 - LICITAÇÃO",1,""),"")</f>
        <v/>
      </c>
      <c r="AZ483" s="123">
        <f>IFERROR(IF(PAC!$X$6:$X$581="F03 - EXECUÇÃO DO OBJETO",1,""),"")</f>
        <v>1</v>
      </c>
      <c r="BA483" s="123" t="str">
        <f>IFERROR(IF(PAC!$X$6:$X$581="F04 - CONCLUÍDA",1,""),"")</f>
        <v/>
      </c>
      <c r="BB483" s="191">
        <f>IF(PAC!$R483&gt;0,0,PAC!$Q483)</f>
        <v>0</v>
      </c>
    </row>
    <row r="484" spans="1:54" s="1" customFormat="1" ht="252">
      <c r="A484" s="88">
        <f t="shared" si="8"/>
        <v>479</v>
      </c>
      <c r="B484" s="88">
        <v>2025</v>
      </c>
      <c r="C484" s="88" t="s">
        <v>605</v>
      </c>
      <c r="D484" s="88" t="s">
        <v>1010</v>
      </c>
      <c r="E484" s="168" t="s">
        <v>2026</v>
      </c>
      <c r="F484" s="88" t="s">
        <v>576</v>
      </c>
      <c r="G484" s="88" t="s">
        <v>596</v>
      </c>
      <c r="H484" s="88" t="s">
        <v>1243</v>
      </c>
      <c r="I484" s="88" t="s">
        <v>600</v>
      </c>
      <c r="J484" s="88" t="s">
        <v>199</v>
      </c>
      <c r="K484" s="18">
        <v>14473177.810000001</v>
      </c>
      <c r="L484" s="18"/>
      <c r="M484" s="18"/>
      <c r="N484" s="18">
        <v>723658.8905000001</v>
      </c>
      <c r="O484" s="18"/>
      <c r="P484" s="18">
        <v>13749518.919500001</v>
      </c>
      <c r="Q484" s="20">
        <f>SUM(PAC!$M484:$P484)</f>
        <v>14473177.810000001</v>
      </c>
      <c r="R484" s="20">
        <v>12898101.859999999</v>
      </c>
      <c r="S484" s="20">
        <f>IF(PAC!$R484&gt;0,PAC!$R484,PAC!$Q484)</f>
        <v>12898101.859999999</v>
      </c>
      <c r="T484" s="20" t="s">
        <v>2027</v>
      </c>
      <c r="U484" s="103" t="s">
        <v>594</v>
      </c>
      <c r="V484" s="103" t="s">
        <v>1764</v>
      </c>
      <c r="W484" s="104"/>
      <c r="X484" s="104" t="s">
        <v>1419</v>
      </c>
      <c r="Y484" s="101" t="s">
        <v>2470</v>
      </c>
      <c r="Z484" s="87"/>
      <c r="AA484" s="105">
        <v>3</v>
      </c>
      <c r="AB484" s="40" t="s">
        <v>1509</v>
      </c>
      <c r="AC484" s="40" t="s">
        <v>2273</v>
      </c>
      <c r="AD484" s="106">
        <v>46325</v>
      </c>
      <c r="AE484" s="102" t="s">
        <v>1946</v>
      </c>
      <c r="AF484" s="40" t="s">
        <v>1521</v>
      </c>
      <c r="AG484" s="40"/>
      <c r="AH484" s="40"/>
      <c r="AI484" s="40"/>
      <c r="AJ484" s="87"/>
      <c r="AK484" s="40"/>
      <c r="AL484" s="40"/>
      <c r="AM484" s="40"/>
      <c r="AN484" s="87">
        <v>46073</v>
      </c>
      <c r="AO484" s="87">
        <v>46094</v>
      </c>
      <c r="AP484" s="87">
        <v>46140</v>
      </c>
      <c r="AQ484" s="87">
        <v>46146</v>
      </c>
      <c r="AR484" s="107">
        <v>46686</v>
      </c>
      <c r="AS484" s="107">
        <v>46686</v>
      </c>
      <c r="AT484" s="178" t="s">
        <v>2545</v>
      </c>
      <c r="AU484" s="40" t="s">
        <v>2234</v>
      </c>
      <c r="AV484" s="106"/>
      <c r="AW484" s="88" t="s">
        <v>1882</v>
      </c>
      <c r="AX484" s="109">
        <f>IFERROR(IF(PAC!$X484="F01 - CAPTAÇÃO DE RECURSO",1,""),"")</f>
        <v>1</v>
      </c>
      <c r="AY484" s="109" t="str">
        <f>IFERROR(IF(PAC!$X484="F02 - LICITAÇÃO",1,""),"")</f>
        <v/>
      </c>
      <c r="AZ484" s="110" t="str">
        <f>IFERROR(IF(PAC!$X$6:$X$581="F03 - EXECUÇÃO DO OBJETO",1,""),"")</f>
        <v/>
      </c>
      <c r="BA484" s="110" t="str">
        <f>IFERROR(IF(PAC!$X$6:$X$581="F04 - CONCLUÍDA",1,""),"")</f>
        <v/>
      </c>
      <c r="BB484" s="111">
        <f>IF(PAC!$R484&gt;0,0,PAC!$Q484)</f>
        <v>0</v>
      </c>
    </row>
    <row r="485" spans="1:54" s="1" customFormat="1" ht="189" hidden="1">
      <c r="A485" s="112">
        <f t="shared" si="8"/>
        <v>480</v>
      </c>
      <c r="B485" s="113">
        <v>2023</v>
      </c>
      <c r="C485" s="112" t="s">
        <v>605</v>
      </c>
      <c r="D485" s="112" t="s">
        <v>1010</v>
      </c>
      <c r="E485" s="114" t="s">
        <v>1814</v>
      </c>
      <c r="F485" s="112" t="s">
        <v>44</v>
      </c>
      <c r="G485" s="112" t="s">
        <v>448</v>
      </c>
      <c r="H485" s="115" t="s">
        <v>1249</v>
      </c>
      <c r="I485" s="112" t="s">
        <v>467</v>
      </c>
      <c r="J485" s="112" t="s">
        <v>64</v>
      </c>
      <c r="K485" s="31"/>
      <c r="L485" s="31">
        <v>10784587.66</v>
      </c>
      <c r="M485" s="31">
        <v>10784587.66</v>
      </c>
      <c r="N485" s="31">
        <v>688377.94</v>
      </c>
      <c r="O485" s="31">
        <v>11501428.6</v>
      </c>
      <c r="P485" s="31"/>
      <c r="Q485" s="33">
        <f>SUM(PAC!$M485:$P485)</f>
        <v>22974394.199999999</v>
      </c>
      <c r="R485" s="33">
        <v>18034899.440000001</v>
      </c>
      <c r="S485" s="33">
        <f>IF(PAC!$R485&gt;0,PAC!$R485,PAC!$Q485)</f>
        <v>18034899.440000001</v>
      </c>
      <c r="T485" s="33" t="s">
        <v>1595</v>
      </c>
      <c r="U485" s="116" t="s">
        <v>1572</v>
      </c>
      <c r="V485" s="116"/>
      <c r="W485" s="117">
        <v>15</v>
      </c>
      <c r="X485" s="117" t="s">
        <v>1694</v>
      </c>
      <c r="Y485" s="113" t="s">
        <v>2470</v>
      </c>
      <c r="Z485" s="118">
        <v>46356</v>
      </c>
      <c r="AA485" s="119">
        <v>53</v>
      </c>
      <c r="AB485" s="115" t="s">
        <v>1472</v>
      </c>
      <c r="AC485" s="115"/>
      <c r="AD485" s="120">
        <v>46271</v>
      </c>
      <c r="AE485" s="114"/>
      <c r="AF485" s="115" t="s">
        <v>650</v>
      </c>
      <c r="AG485" s="115" t="s">
        <v>472</v>
      </c>
      <c r="AH485" s="115" t="s">
        <v>977</v>
      </c>
      <c r="AI485" s="115"/>
      <c r="AJ485" s="118"/>
      <c r="AK485" s="115" t="s">
        <v>1079</v>
      </c>
      <c r="AL485" s="115" t="s">
        <v>1071</v>
      </c>
      <c r="AM485" s="115"/>
      <c r="AN485" s="118">
        <v>45583</v>
      </c>
      <c r="AO485" s="118">
        <v>45975</v>
      </c>
      <c r="AP485" s="118">
        <v>45770</v>
      </c>
      <c r="AQ485" s="118">
        <v>45821</v>
      </c>
      <c r="AR485" s="121">
        <v>46272</v>
      </c>
      <c r="AS485" s="121">
        <v>46356</v>
      </c>
      <c r="AT485" s="180" t="s">
        <v>1950</v>
      </c>
      <c r="AU485" s="122" t="s">
        <v>1855</v>
      </c>
      <c r="AV485" s="120"/>
      <c r="AW485" s="119" t="s">
        <v>471</v>
      </c>
      <c r="AX485" s="194" t="str">
        <f>IFERROR(IF(PAC!$X485="F01 - CAPTAÇÃO DE RECURSO",1,""),"")</f>
        <v/>
      </c>
      <c r="AY485" s="194" t="str">
        <f>IFERROR(IF(PAC!$X485="F02 - LICITAÇÃO",1,""),"")</f>
        <v/>
      </c>
      <c r="AZ485" s="123">
        <f>IFERROR(IF(PAC!$X$6:$X$581="F03 - EXECUÇÃO DO OBJETO",1,""),"")</f>
        <v>1</v>
      </c>
      <c r="BA485" s="123" t="str">
        <f>IFERROR(IF(PAC!$X$6:$X$581="F04 - CONCLUÍDA",1,""),"")</f>
        <v/>
      </c>
      <c r="BB485" s="191">
        <f>IF(PAC!$R485&gt;0,0,PAC!$Q485)</f>
        <v>0</v>
      </c>
    </row>
    <row r="486" spans="1:54" s="1" customFormat="1" ht="409.5" hidden="1">
      <c r="A486" s="88">
        <f t="shared" si="8"/>
        <v>481</v>
      </c>
      <c r="B486" s="101">
        <v>2023</v>
      </c>
      <c r="C486" s="88" t="s">
        <v>605</v>
      </c>
      <c r="D486" s="88" t="s">
        <v>1010</v>
      </c>
      <c r="E486" s="102" t="s">
        <v>1815</v>
      </c>
      <c r="F486" s="88" t="s">
        <v>44</v>
      </c>
      <c r="G486" s="88" t="s">
        <v>448</v>
      </c>
      <c r="H486" s="40" t="s">
        <v>1249</v>
      </c>
      <c r="I486" s="88" t="s">
        <v>467</v>
      </c>
      <c r="J486" s="88" t="s">
        <v>194</v>
      </c>
      <c r="K486" s="18"/>
      <c r="L486" s="18">
        <v>10784587.66</v>
      </c>
      <c r="M486" s="18">
        <v>10784587.66</v>
      </c>
      <c r="N486" s="18">
        <v>688377.94</v>
      </c>
      <c r="O486" s="18">
        <v>10242487.199999999</v>
      </c>
      <c r="P486" s="18"/>
      <c r="Q486" s="20">
        <f>SUM(PAC!$M486:$P486)</f>
        <v>21715452.799999997</v>
      </c>
      <c r="R486" s="20">
        <v>17046630.440000001</v>
      </c>
      <c r="S486" s="20">
        <f>IF(PAC!$R486&gt;0,PAC!$R486,PAC!$Q486)</f>
        <v>17046630.440000001</v>
      </c>
      <c r="T486" s="20" t="s">
        <v>1595</v>
      </c>
      <c r="U486" s="103" t="s">
        <v>1572</v>
      </c>
      <c r="V486" s="103"/>
      <c r="W486" s="104">
        <v>15</v>
      </c>
      <c r="X486" s="104" t="s">
        <v>1694</v>
      </c>
      <c r="Y486" s="101" t="s">
        <v>2470</v>
      </c>
      <c r="Z486" s="87">
        <v>46476</v>
      </c>
      <c r="AA486" s="105">
        <v>25</v>
      </c>
      <c r="AB486" s="40" t="s">
        <v>1472</v>
      </c>
      <c r="AC486" s="124"/>
      <c r="AD486" s="106">
        <v>46409</v>
      </c>
      <c r="AE486" s="102"/>
      <c r="AF486" s="40" t="s">
        <v>651</v>
      </c>
      <c r="AG486" s="40" t="s">
        <v>473</v>
      </c>
      <c r="AH486" s="40" t="s">
        <v>977</v>
      </c>
      <c r="AI486" s="40"/>
      <c r="AJ486" s="87"/>
      <c r="AK486" s="40" t="s">
        <v>1080</v>
      </c>
      <c r="AL486" s="40" t="s">
        <v>1075</v>
      </c>
      <c r="AM486" s="40"/>
      <c r="AN486" s="87">
        <v>45583</v>
      </c>
      <c r="AO486" s="87">
        <v>45975</v>
      </c>
      <c r="AP486" s="87">
        <v>45770</v>
      </c>
      <c r="AQ486" s="87">
        <v>45959</v>
      </c>
      <c r="AR486" s="107">
        <v>46272</v>
      </c>
      <c r="AS486" s="107">
        <v>46476</v>
      </c>
      <c r="AT486" s="102" t="s">
        <v>2226</v>
      </c>
      <c r="AU486" s="108" t="s">
        <v>1854</v>
      </c>
      <c r="AV486" s="106"/>
      <c r="AW486" s="105" t="s">
        <v>471</v>
      </c>
      <c r="AX486" s="109" t="str">
        <f>IFERROR(IF(PAC!$X486="F01 - CAPTAÇÃO DE RECURSO",1,""),"")</f>
        <v/>
      </c>
      <c r="AY486" s="109" t="str">
        <f>IFERROR(IF(PAC!$X486="F02 - LICITAÇÃO",1,""),"")</f>
        <v/>
      </c>
      <c r="AZ486" s="110">
        <f>IFERROR(IF(PAC!$X$6:$X$581="F03 - EXECUÇÃO DO OBJETO",1,""),"")</f>
        <v>1</v>
      </c>
      <c r="BA486" s="110" t="str">
        <f>IFERROR(IF(PAC!$X$6:$X$581="F04 - CONCLUÍDA",1,""),"")</f>
        <v/>
      </c>
      <c r="BB486" s="111">
        <f>IF(PAC!$R486&gt;0,0,PAC!$Q486)</f>
        <v>0</v>
      </c>
    </row>
    <row r="487" spans="1:54" s="1" customFormat="1" ht="81.75" hidden="1" customHeight="1" thickBot="1">
      <c r="A487" s="112">
        <f t="shared" si="8"/>
        <v>482</v>
      </c>
      <c r="B487" s="113">
        <v>2023</v>
      </c>
      <c r="C487" s="112" t="s">
        <v>605</v>
      </c>
      <c r="D487" s="112" t="s">
        <v>1010</v>
      </c>
      <c r="E487" s="114" t="s">
        <v>1816</v>
      </c>
      <c r="F487" s="112" t="s">
        <v>44</v>
      </c>
      <c r="G487" s="112" t="s">
        <v>448</v>
      </c>
      <c r="H487" s="115" t="s">
        <v>1249</v>
      </c>
      <c r="I487" s="112" t="s">
        <v>467</v>
      </c>
      <c r="J487" s="112" t="s">
        <v>291</v>
      </c>
      <c r="K487" s="31"/>
      <c r="L487" s="31">
        <v>10784587.66</v>
      </c>
      <c r="M487" s="31">
        <v>10784587.66</v>
      </c>
      <c r="N487" s="31">
        <v>688377.94</v>
      </c>
      <c r="O487" s="31">
        <v>10242487.199999999</v>
      </c>
      <c r="P487" s="31"/>
      <c r="Q487" s="33">
        <f>SUM(PAC!$M487:$P487)</f>
        <v>21715452.799999997</v>
      </c>
      <c r="R487" s="33">
        <v>16631306.07</v>
      </c>
      <c r="S487" s="33">
        <f>IF(PAC!$R487&gt;0,PAC!$R487,PAC!$Q487)</f>
        <v>16631306.07</v>
      </c>
      <c r="T487" s="33" t="s">
        <v>1595</v>
      </c>
      <c r="U487" s="116" t="s">
        <v>1572</v>
      </c>
      <c r="V487" s="116"/>
      <c r="W487" s="117">
        <v>15</v>
      </c>
      <c r="X487" s="117" t="s">
        <v>1694</v>
      </c>
      <c r="Y487" s="113" t="s">
        <v>2470</v>
      </c>
      <c r="Z487" s="118">
        <v>46568</v>
      </c>
      <c r="AA487" s="119">
        <v>15</v>
      </c>
      <c r="AB487" s="115" t="s">
        <v>1472</v>
      </c>
      <c r="AC487" s="115"/>
      <c r="AD487" s="120"/>
      <c r="AE487" s="114"/>
      <c r="AF487" s="115" t="s">
        <v>652</v>
      </c>
      <c r="AG487" s="115" t="s">
        <v>474</v>
      </c>
      <c r="AH487" s="115" t="s">
        <v>977</v>
      </c>
      <c r="AI487" s="115"/>
      <c r="AJ487" s="118"/>
      <c r="AK487" s="115" t="s">
        <v>1081</v>
      </c>
      <c r="AL487" s="115" t="s">
        <v>1539</v>
      </c>
      <c r="AM487" s="115"/>
      <c r="AN487" s="118">
        <v>45583</v>
      </c>
      <c r="AO487" s="118">
        <v>45975</v>
      </c>
      <c r="AP487" s="118">
        <v>45770</v>
      </c>
      <c r="AQ487" s="118">
        <v>46055</v>
      </c>
      <c r="AR487" s="121">
        <v>46272</v>
      </c>
      <c r="AS487" s="121">
        <v>46568</v>
      </c>
      <c r="AT487" s="114" t="s">
        <v>2227</v>
      </c>
      <c r="AU487" s="122" t="s">
        <v>1876</v>
      </c>
      <c r="AV487" s="120"/>
      <c r="AW487" s="119" t="s">
        <v>471</v>
      </c>
      <c r="AX487" s="194" t="str">
        <f>IFERROR(IF(PAC!$X487="F01 - CAPTAÇÃO DE RECURSO",1,""),"")</f>
        <v/>
      </c>
      <c r="AY487" s="194" t="str">
        <f>IFERROR(IF(PAC!$X487="F02 - LICITAÇÃO",1,""),"")</f>
        <v/>
      </c>
      <c r="AZ487" s="123">
        <f>IFERROR(IF(PAC!$X$6:$X$581="F03 - EXECUÇÃO DO OBJETO",1,""),"")</f>
        <v>1</v>
      </c>
      <c r="BA487" s="123" t="str">
        <f>IFERROR(IF(PAC!$X$6:$X$581="F04 - CONCLUÍDA",1,""),"")</f>
        <v/>
      </c>
      <c r="BB487" s="191">
        <f>IF(PAC!$R487&gt;0,0,PAC!$Q487)</f>
        <v>0</v>
      </c>
    </row>
    <row r="488" spans="1:54" s="1" customFormat="1" ht="74.25" hidden="1" customHeight="1" thickBot="1">
      <c r="A488" s="88">
        <f t="shared" si="8"/>
        <v>483</v>
      </c>
      <c r="B488" s="101">
        <v>2023</v>
      </c>
      <c r="C488" s="88" t="s">
        <v>605</v>
      </c>
      <c r="D488" s="88" t="s">
        <v>1010</v>
      </c>
      <c r="E488" s="102" t="s">
        <v>1817</v>
      </c>
      <c r="F488" s="88" t="s">
        <v>44</v>
      </c>
      <c r="G488" s="88" t="s">
        <v>448</v>
      </c>
      <c r="H488" s="40" t="s">
        <v>1249</v>
      </c>
      <c r="I488" s="88" t="s">
        <v>467</v>
      </c>
      <c r="J488" s="88" t="s">
        <v>303</v>
      </c>
      <c r="K488" s="18"/>
      <c r="L488" s="18">
        <v>11019329.449999999</v>
      </c>
      <c r="M488" s="18">
        <v>11019329.449999999</v>
      </c>
      <c r="N488" s="18">
        <v>703361.45</v>
      </c>
      <c r="O488" s="18">
        <v>9633913.1500000004</v>
      </c>
      <c r="P488" s="18"/>
      <c r="Q488" s="20">
        <f>SUM(PAC!$M488:$P488)</f>
        <v>21356604.049999997</v>
      </c>
      <c r="R488" s="20">
        <v>17085283.239999998</v>
      </c>
      <c r="S488" s="20">
        <f>IF(PAC!$R488&gt;0,PAC!$R488,PAC!$Q488)</f>
        <v>17085283.239999998</v>
      </c>
      <c r="T488" s="20" t="s">
        <v>1596</v>
      </c>
      <c r="U488" s="103" t="s">
        <v>1572</v>
      </c>
      <c r="V488" s="103"/>
      <c r="W488" s="104">
        <v>15</v>
      </c>
      <c r="X488" s="104" t="s">
        <v>1694</v>
      </c>
      <c r="Y488" s="101" t="s">
        <v>2470</v>
      </c>
      <c r="Z488" s="87">
        <v>46477</v>
      </c>
      <c r="AA488" s="105">
        <v>38.83</v>
      </c>
      <c r="AB488" s="40" t="s">
        <v>1472</v>
      </c>
      <c r="AC488" s="40"/>
      <c r="AD488" s="106">
        <v>46323</v>
      </c>
      <c r="AE488" s="102"/>
      <c r="AF488" s="40" t="s">
        <v>653</v>
      </c>
      <c r="AG488" s="40" t="s">
        <v>475</v>
      </c>
      <c r="AH488" s="40" t="s">
        <v>977</v>
      </c>
      <c r="AI488" s="40"/>
      <c r="AJ488" s="87"/>
      <c r="AK488" s="40" t="s">
        <v>1082</v>
      </c>
      <c r="AL488" s="40" t="s">
        <v>1074</v>
      </c>
      <c r="AM488" s="40"/>
      <c r="AN488" s="87"/>
      <c r="AO488" s="87"/>
      <c r="AP488" s="87"/>
      <c r="AQ488" s="87">
        <v>45873</v>
      </c>
      <c r="AR488" s="107"/>
      <c r="AS488" s="107">
        <v>46477</v>
      </c>
      <c r="AT488" s="102" t="s">
        <v>2228</v>
      </c>
      <c r="AU488" s="40" t="s">
        <v>1400</v>
      </c>
      <c r="AV488" s="106"/>
      <c r="AW488" s="105" t="s">
        <v>471</v>
      </c>
      <c r="AX488" s="109" t="str">
        <f>IFERROR(IF(PAC!$X488="F01 - CAPTAÇÃO DE RECURSO",1,""),"")</f>
        <v/>
      </c>
      <c r="AY488" s="109" t="str">
        <f>IFERROR(IF(PAC!$X488="F02 - LICITAÇÃO",1,""),"")</f>
        <v/>
      </c>
      <c r="AZ488" s="110">
        <f>IFERROR(IF(PAC!$X$6:$X$581="F03 - EXECUÇÃO DO OBJETO",1,""),"")</f>
        <v>1</v>
      </c>
      <c r="BA488" s="110" t="str">
        <f>IFERROR(IF(PAC!$X$6:$X$581="F04 - CONCLUÍDA",1,""),"")</f>
        <v/>
      </c>
      <c r="BB488" s="111">
        <f>IF(PAC!$R488&gt;0,0,PAC!$Q488)</f>
        <v>0</v>
      </c>
    </row>
    <row r="489" spans="1:54" s="1" customFormat="1" ht="78.75" hidden="1" customHeight="1" thickBot="1">
      <c r="A489" s="112">
        <f t="shared" si="8"/>
        <v>484</v>
      </c>
      <c r="B489" s="113">
        <v>2023</v>
      </c>
      <c r="C489" s="112" t="s">
        <v>605</v>
      </c>
      <c r="D489" s="112" t="s">
        <v>1010</v>
      </c>
      <c r="E489" s="114" t="s">
        <v>1818</v>
      </c>
      <c r="F489" s="112" t="s">
        <v>44</v>
      </c>
      <c r="G489" s="112" t="s">
        <v>448</v>
      </c>
      <c r="H489" s="115" t="s">
        <v>1249</v>
      </c>
      <c r="I489" s="112" t="s">
        <v>467</v>
      </c>
      <c r="J489" s="112" t="s">
        <v>313</v>
      </c>
      <c r="K489" s="31"/>
      <c r="L489" s="31">
        <v>10784587.66</v>
      </c>
      <c r="M489" s="31">
        <v>10784587.66</v>
      </c>
      <c r="N489" s="31">
        <v>688377.94</v>
      </c>
      <c r="O489" s="31">
        <v>8322002.8799999999</v>
      </c>
      <c r="P489" s="31"/>
      <c r="Q489" s="33">
        <f>SUM(PAC!$M489:$P489)</f>
        <v>19794968.48</v>
      </c>
      <c r="R489" s="33">
        <v>15835973.630000001</v>
      </c>
      <c r="S489" s="33">
        <f>IF(PAC!$R489&gt;0,PAC!$R489,PAC!$Q489)</f>
        <v>15835973.630000001</v>
      </c>
      <c r="T489" s="33" t="s">
        <v>1596</v>
      </c>
      <c r="U489" s="116" t="s">
        <v>1572</v>
      </c>
      <c r="V489" s="116"/>
      <c r="W489" s="117">
        <v>15</v>
      </c>
      <c r="X489" s="117" t="s">
        <v>1694</v>
      </c>
      <c r="Y489" s="113" t="s">
        <v>2470</v>
      </c>
      <c r="Z489" s="118">
        <v>46477</v>
      </c>
      <c r="AA489" s="119">
        <v>31.12</v>
      </c>
      <c r="AB489" s="115" t="s">
        <v>1472</v>
      </c>
      <c r="AC489" s="115"/>
      <c r="AD489" s="120">
        <v>46323</v>
      </c>
      <c r="AE489" s="114"/>
      <c r="AF489" s="115" t="s">
        <v>654</v>
      </c>
      <c r="AG489" s="115" t="s">
        <v>476</v>
      </c>
      <c r="AH489" s="115" t="s">
        <v>977</v>
      </c>
      <c r="AI489" s="115"/>
      <c r="AJ489" s="118"/>
      <c r="AK489" s="115" t="s">
        <v>1083</v>
      </c>
      <c r="AL489" s="115" t="s">
        <v>1073</v>
      </c>
      <c r="AM489" s="115"/>
      <c r="AN489" s="118"/>
      <c r="AO489" s="118"/>
      <c r="AP489" s="118"/>
      <c r="AQ489" s="118">
        <v>45873</v>
      </c>
      <c r="AR489" s="121"/>
      <c r="AS489" s="121">
        <v>46477</v>
      </c>
      <c r="AT489" s="114" t="s">
        <v>2229</v>
      </c>
      <c r="AU489" s="115" t="s">
        <v>1399</v>
      </c>
      <c r="AV489" s="120"/>
      <c r="AW489" s="119" t="s">
        <v>471</v>
      </c>
      <c r="AX489" s="194" t="str">
        <f>IFERROR(IF(PAC!$X489="F01 - CAPTAÇÃO DE RECURSO",1,""),"")</f>
        <v/>
      </c>
      <c r="AY489" s="194" t="str">
        <f>IFERROR(IF(PAC!$X489="F02 - LICITAÇÃO",1,""),"")</f>
        <v/>
      </c>
      <c r="AZ489" s="123">
        <f>IFERROR(IF(PAC!$X$6:$X$581="F03 - EXECUÇÃO DO OBJETO",1,""),"")</f>
        <v>1</v>
      </c>
      <c r="BA489" s="123" t="str">
        <f>IFERROR(IF(PAC!$X$6:$X$581="F04 - CONCLUÍDA",1,""),"")</f>
        <v/>
      </c>
      <c r="BB489" s="191">
        <f>IF(PAC!$R489&gt;0,0,PAC!$Q489)</f>
        <v>0</v>
      </c>
    </row>
    <row r="490" spans="1:54" s="1" customFormat="1" ht="21" hidden="1" customHeight="1" thickBot="1">
      <c r="A490" s="88">
        <f t="shared" si="8"/>
        <v>485</v>
      </c>
      <c r="B490" s="101">
        <v>2023</v>
      </c>
      <c r="C490" s="88" t="s">
        <v>605</v>
      </c>
      <c r="D490" s="88" t="s">
        <v>1010</v>
      </c>
      <c r="E490" s="102" t="s">
        <v>1819</v>
      </c>
      <c r="F490" s="88" t="s">
        <v>44</v>
      </c>
      <c r="G490" s="88" t="s">
        <v>448</v>
      </c>
      <c r="H490" s="40" t="s">
        <v>1249</v>
      </c>
      <c r="I490" s="88" t="s">
        <v>467</v>
      </c>
      <c r="J490" s="88" t="s">
        <v>329</v>
      </c>
      <c r="K490" s="18"/>
      <c r="L490" s="18">
        <v>10552768.220000001</v>
      </c>
      <c r="M490" s="18">
        <v>10552768.220000001</v>
      </c>
      <c r="N490" s="18">
        <v>673580.95</v>
      </c>
      <c r="O490" s="18">
        <v>6384667.7400000002</v>
      </c>
      <c r="P490" s="18"/>
      <c r="Q490" s="20">
        <f>SUM(PAC!$M490:$P490)</f>
        <v>17611016.91</v>
      </c>
      <c r="R490" s="20">
        <v>14088813.529999999</v>
      </c>
      <c r="S490" s="20">
        <f>IF(PAC!$R490&gt;0,PAC!$R490,PAC!$Q490)</f>
        <v>14088813.529999999</v>
      </c>
      <c r="T490" s="20" t="s">
        <v>1596</v>
      </c>
      <c r="U490" s="103" t="s">
        <v>1572</v>
      </c>
      <c r="V490" s="103"/>
      <c r="W490" s="104">
        <v>15</v>
      </c>
      <c r="X490" s="104" t="s">
        <v>1694</v>
      </c>
      <c r="Y490" s="101" t="s">
        <v>2470</v>
      </c>
      <c r="Z490" s="87">
        <v>46477</v>
      </c>
      <c r="AA490" s="105">
        <v>36.729999999999997</v>
      </c>
      <c r="AB490" s="40" t="s">
        <v>1472</v>
      </c>
      <c r="AC490" s="40"/>
      <c r="AD490" s="106">
        <v>46323</v>
      </c>
      <c r="AE490" s="102"/>
      <c r="AF490" s="40" t="s">
        <v>655</v>
      </c>
      <c r="AG490" s="40" t="s">
        <v>477</v>
      </c>
      <c r="AH490" s="40" t="s">
        <v>977</v>
      </c>
      <c r="AI490" s="40"/>
      <c r="AJ490" s="87"/>
      <c r="AK490" s="40" t="s">
        <v>1084</v>
      </c>
      <c r="AL490" s="40" t="s">
        <v>1072</v>
      </c>
      <c r="AM490" s="40"/>
      <c r="AN490" s="87"/>
      <c r="AO490" s="87"/>
      <c r="AP490" s="87"/>
      <c r="AQ490" s="87">
        <v>45873</v>
      </c>
      <c r="AR490" s="107"/>
      <c r="AS490" s="107">
        <v>46477</v>
      </c>
      <c r="AT490" s="102" t="s">
        <v>2230</v>
      </c>
      <c r="AU490" s="40" t="s">
        <v>1398</v>
      </c>
      <c r="AV490" s="106"/>
      <c r="AW490" s="105" t="s">
        <v>471</v>
      </c>
      <c r="AX490" s="109" t="str">
        <f>IFERROR(IF(PAC!$X490="F01 - CAPTAÇÃO DE RECURSO",1,""),"")</f>
        <v/>
      </c>
      <c r="AY490" s="109" t="str">
        <f>IFERROR(IF(PAC!$X490="F02 - LICITAÇÃO",1,""),"")</f>
        <v/>
      </c>
      <c r="AZ490" s="110">
        <f>IFERROR(IF(PAC!$X$6:$X$581="F03 - EXECUÇÃO DO OBJETO",1,""),"")</f>
        <v>1</v>
      </c>
      <c r="BA490" s="110" t="str">
        <f>IFERROR(IF(PAC!$X$6:$X$581="F04 - CONCLUÍDA",1,""),"")</f>
        <v/>
      </c>
      <c r="BB490" s="111">
        <f>IF(PAC!$R490&gt;0,0,PAC!$Q490)</f>
        <v>0</v>
      </c>
    </row>
    <row r="491" spans="1:54" s="1" customFormat="1" ht="409.5" hidden="1">
      <c r="A491" s="112">
        <f t="shared" si="8"/>
        <v>486</v>
      </c>
      <c r="B491" s="112">
        <v>2026</v>
      </c>
      <c r="C491" s="31" t="s">
        <v>605</v>
      </c>
      <c r="D491" s="31" t="s">
        <v>1010</v>
      </c>
      <c r="E491" s="130" t="s">
        <v>2062</v>
      </c>
      <c r="F491" s="112" t="s">
        <v>44</v>
      </c>
      <c r="G491" s="115" t="s">
        <v>448</v>
      </c>
      <c r="H491" s="112" t="s">
        <v>1249</v>
      </c>
      <c r="I491" s="112" t="s">
        <v>467</v>
      </c>
      <c r="J491" s="112" t="s">
        <v>338</v>
      </c>
      <c r="K491" s="31"/>
      <c r="L491" s="31"/>
      <c r="M491" s="31">
        <v>4251264.16</v>
      </c>
      <c r="N491" s="31">
        <v>42942.06</v>
      </c>
      <c r="O491" s="31"/>
      <c r="P491" s="31"/>
      <c r="Q491" s="33">
        <f>SUM(PAC!$M491:$P491)</f>
        <v>4294206.22</v>
      </c>
      <c r="R491" s="33"/>
      <c r="S491" s="33">
        <f>IF(PAC!$R491&gt;0,PAC!$R491,PAC!$Q491)</f>
        <v>4294206.22</v>
      </c>
      <c r="T491" s="33"/>
      <c r="U491" s="116" t="s">
        <v>1563</v>
      </c>
      <c r="V491" s="116"/>
      <c r="W491" s="117"/>
      <c r="X491" s="117" t="s">
        <v>1419</v>
      </c>
      <c r="Y491" s="113" t="s">
        <v>2473</v>
      </c>
      <c r="Z491" s="118">
        <v>46356</v>
      </c>
      <c r="AA491" s="119"/>
      <c r="AB491" s="115" t="s">
        <v>1457</v>
      </c>
      <c r="AC491" s="115" t="s">
        <v>2140</v>
      </c>
      <c r="AD491" s="120">
        <v>46356</v>
      </c>
      <c r="AE491" s="114" t="s">
        <v>2142</v>
      </c>
      <c r="AF491" s="115" t="s">
        <v>2086</v>
      </c>
      <c r="AG491" s="115" t="s">
        <v>2070</v>
      </c>
      <c r="AH491" s="115" t="s">
        <v>1974</v>
      </c>
      <c r="AI491" s="181"/>
      <c r="AJ491" s="118">
        <v>46265</v>
      </c>
      <c r="AK491" s="115"/>
      <c r="AL491" s="115"/>
      <c r="AM491" s="115"/>
      <c r="AN491" s="118"/>
      <c r="AO491" s="118"/>
      <c r="AP491" s="118"/>
      <c r="AQ491" s="118"/>
      <c r="AR491" s="121"/>
      <c r="AS491" s="121"/>
      <c r="AT491" s="114" t="s">
        <v>2762</v>
      </c>
      <c r="AU491" s="122"/>
      <c r="AV491" s="120"/>
      <c r="AW491" s="119" t="s">
        <v>2071</v>
      </c>
      <c r="AX491" s="194">
        <f>IFERROR(IF(PAC!$X491="F01 - CAPTAÇÃO DE RECURSO",1,""),"")</f>
        <v>1</v>
      </c>
      <c r="AY491" s="194" t="str">
        <f>IFERROR(IF(PAC!$X491="F02 - LICITAÇÃO",1,""),"")</f>
        <v/>
      </c>
      <c r="AZ491" s="123" t="str">
        <f>IFERROR(IF(PAC!$X$6:$X$581="F03 - EXECUÇÃO DO OBJETO",1,""),"")</f>
        <v/>
      </c>
      <c r="BA491" s="123" t="str">
        <f>IFERROR(IF(PAC!$X$6:$X$581="F04 - CONCLUÍDA",1,""),"")</f>
        <v/>
      </c>
      <c r="BB491" s="191">
        <f>IF(PAC!$R491&gt;0,0,PAC!$Q491)</f>
        <v>4294206.22</v>
      </c>
    </row>
    <row r="492" spans="1:54" s="1" customFormat="1" ht="409.5" hidden="1">
      <c r="A492" s="88">
        <f t="shared" si="8"/>
        <v>487</v>
      </c>
      <c r="B492" s="88">
        <v>2026</v>
      </c>
      <c r="C492" s="88" t="s">
        <v>605</v>
      </c>
      <c r="D492" s="88" t="s">
        <v>1010</v>
      </c>
      <c r="E492" s="168" t="s">
        <v>2063</v>
      </c>
      <c r="F492" s="18" t="s">
        <v>44</v>
      </c>
      <c r="G492" s="88" t="s">
        <v>448</v>
      </c>
      <c r="H492" s="88" t="s">
        <v>1249</v>
      </c>
      <c r="I492" s="88" t="s">
        <v>467</v>
      </c>
      <c r="J492" s="88" t="s">
        <v>338</v>
      </c>
      <c r="K492" s="18"/>
      <c r="L492" s="18"/>
      <c r="M492" s="18">
        <v>4075803.46</v>
      </c>
      <c r="N492" s="18">
        <v>41169.730000000003</v>
      </c>
      <c r="O492" s="18"/>
      <c r="P492" s="18"/>
      <c r="Q492" s="20">
        <f>SUM(PAC!$M492:$P492)</f>
        <v>4116973.19</v>
      </c>
      <c r="R492" s="20"/>
      <c r="S492" s="20">
        <f>IF(PAC!$R492&gt;0,PAC!$R492,PAC!$Q492)</f>
        <v>4116973.19</v>
      </c>
      <c r="T492" s="20"/>
      <c r="U492" s="103" t="s">
        <v>1563</v>
      </c>
      <c r="V492" s="103"/>
      <c r="W492" s="104"/>
      <c r="X492" s="104" t="s">
        <v>1419</v>
      </c>
      <c r="Y492" s="101" t="s">
        <v>2473</v>
      </c>
      <c r="Z492" s="87">
        <v>46356</v>
      </c>
      <c r="AA492" s="105"/>
      <c r="AB492" s="40" t="s">
        <v>1457</v>
      </c>
      <c r="AC492" s="40" t="s">
        <v>2141</v>
      </c>
      <c r="AD492" s="106">
        <v>46356</v>
      </c>
      <c r="AE492" s="102" t="s">
        <v>2142</v>
      </c>
      <c r="AF492" s="40" t="s">
        <v>2085</v>
      </c>
      <c r="AG492" s="40" t="s">
        <v>2069</v>
      </c>
      <c r="AH492" s="40" t="s">
        <v>1974</v>
      </c>
      <c r="AI492" s="40"/>
      <c r="AJ492" s="87">
        <v>46265</v>
      </c>
      <c r="AK492" s="40"/>
      <c r="AL492" s="40"/>
      <c r="AM492" s="40"/>
      <c r="AN492" s="87"/>
      <c r="AO492" s="87"/>
      <c r="AP492" s="87"/>
      <c r="AQ492" s="87"/>
      <c r="AR492" s="107"/>
      <c r="AS492" s="107"/>
      <c r="AT492" s="102" t="s">
        <v>2763</v>
      </c>
      <c r="AU492" s="40"/>
      <c r="AV492" s="106"/>
      <c r="AW492" s="105" t="s">
        <v>2072</v>
      </c>
      <c r="AX492" s="109">
        <f>IFERROR(IF(PAC!$X492="F01 - CAPTAÇÃO DE RECURSO",1,""),"")</f>
        <v>1</v>
      </c>
      <c r="AY492" s="109" t="str">
        <f>IFERROR(IF(PAC!$X492="F02 - LICITAÇÃO",1,""),"")</f>
        <v/>
      </c>
      <c r="AZ492" s="110" t="str">
        <f>IFERROR(IF(PAC!$X$6:$X$581="F03 - EXECUÇÃO DO OBJETO",1,""),"")</f>
        <v/>
      </c>
      <c r="BA492" s="110" t="str">
        <f>IFERROR(IF(PAC!$X$6:$X$581="F04 - CONCLUÍDA",1,""),"")</f>
        <v/>
      </c>
      <c r="BB492" s="111">
        <f>IF(PAC!$R492&gt;0,0,PAC!$Q492)</f>
        <v>4116973.19</v>
      </c>
    </row>
    <row r="493" spans="1:54" s="1" customFormat="1" ht="21" hidden="1" customHeight="1" thickBot="1">
      <c r="A493" s="112">
        <f t="shared" si="8"/>
        <v>488</v>
      </c>
      <c r="B493" s="112">
        <v>2026</v>
      </c>
      <c r="C493" s="112" t="s">
        <v>605</v>
      </c>
      <c r="D493" s="112" t="s">
        <v>1010</v>
      </c>
      <c r="E493" s="130" t="s">
        <v>2064</v>
      </c>
      <c r="F493" s="112" t="s">
        <v>44</v>
      </c>
      <c r="G493" s="115" t="s">
        <v>448</v>
      </c>
      <c r="H493" s="112" t="s">
        <v>1249</v>
      </c>
      <c r="I493" s="112" t="s">
        <v>467</v>
      </c>
      <c r="J493" s="112" t="s">
        <v>164</v>
      </c>
      <c r="K493" s="31"/>
      <c r="L493" s="31"/>
      <c r="M493" s="31">
        <v>3278590.85</v>
      </c>
      <c r="N493" s="31">
        <v>33117.08</v>
      </c>
      <c r="O493" s="31"/>
      <c r="P493" s="31"/>
      <c r="Q493" s="33">
        <f>SUM(PAC!$M493:$P493)</f>
        <v>3311707.93</v>
      </c>
      <c r="R493" s="33"/>
      <c r="S493" s="33">
        <f>IF(PAC!$R493&gt;0,PAC!$R493,PAC!$Q493)</f>
        <v>3311707.93</v>
      </c>
      <c r="T493" s="33"/>
      <c r="U493" s="116" t="s">
        <v>1563</v>
      </c>
      <c r="V493" s="116"/>
      <c r="W493" s="117"/>
      <c r="X493" s="117" t="s">
        <v>1419</v>
      </c>
      <c r="Y493" s="113" t="s">
        <v>2473</v>
      </c>
      <c r="Z493" s="118">
        <v>46356</v>
      </c>
      <c r="AA493" s="119"/>
      <c r="AB493" s="115" t="s">
        <v>1457</v>
      </c>
      <c r="AC493" s="115" t="s">
        <v>2141</v>
      </c>
      <c r="AD493" s="120">
        <v>46356</v>
      </c>
      <c r="AE493" s="114" t="s">
        <v>2142</v>
      </c>
      <c r="AF493" s="115" t="s">
        <v>2087</v>
      </c>
      <c r="AG493" s="115" t="s">
        <v>2068</v>
      </c>
      <c r="AH493" s="115" t="s">
        <v>1974</v>
      </c>
      <c r="AI493" s="115"/>
      <c r="AJ493" s="118">
        <v>46265</v>
      </c>
      <c r="AK493" s="115"/>
      <c r="AL493" s="115"/>
      <c r="AM493" s="115"/>
      <c r="AN493" s="118"/>
      <c r="AO493" s="118"/>
      <c r="AP493" s="118"/>
      <c r="AQ493" s="118"/>
      <c r="AR493" s="121"/>
      <c r="AS493" s="121"/>
      <c r="AT493" s="114" t="s">
        <v>2763</v>
      </c>
      <c r="AU493" s="122"/>
      <c r="AV493" s="120"/>
      <c r="AW493" s="119" t="s">
        <v>2073</v>
      </c>
      <c r="AX493" s="194">
        <f>IFERROR(IF(PAC!$X493="F01 - CAPTAÇÃO DE RECURSO",1,""),"")</f>
        <v>1</v>
      </c>
      <c r="AY493" s="194" t="str">
        <f>IFERROR(IF(PAC!$X493="F02 - LICITAÇÃO",1,""),"")</f>
        <v/>
      </c>
      <c r="AZ493" s="123" t="str">
        <f>IFERROR(IF(PAC!$X$6:$X$581="F03 - EXECUÇÃO DO OBJETO",1,""),"")</f>
        <v/>
      </c>
      <c r="BA493" s="123" t="str">
        <f>IFERROR(IF(PAC!$X$6:$X$581="F04 - CONCLUÍDA",1,""),"")</f>
        <v/>
      </c>
      <c r="BB493" s="191">
        <f>IF(PAC!$R493&gt;0,0,PAC!$Q493)</f>
        <v>3311707.93</v>
      </c>
    </row>
    <row r="494" spans="1:54" s="1" customFormat="1" ht="182.25" hidden="1" customHeight="1" thickBot="1">
      <c r="A494" s="88">
        <f t="shared" si="8"/>
        <v>489</v>
      </c>
      <c r="B494" s="88">
        <v>2026</v>
      </c>
      <c r="C494" s="18" t="s">
        <v>605</v>
      </c>
      <c r="D494" s="18" t="s">
        <v>1010</v>
      </c>
      <c r="E494" s="89" t="s">
        <v>2065</v>
      </c>
      <c r="F494" s="18" t="s">
        <v>44</v>
      </c>
      <c r="G494" s="40" t="s">
        <v>448</v>
      </c>
      <c r="H494" s="88" t="s">
        <v>1249</v>
      </c>
      <c r="I494" s="88" t="s">
        <v>467</v>
      </c>
      <c r="J494" s="88" t="s">
        <v>57</v>
      </c>
      <c r="K494" s="18"/>
      <c r="L494" s="18"/>
      <c r="M494" s="18">
        <v>4704532.43</v>
      </c>
      <c r="N494" s="18">
        <v>47520.53</v>
      </c>
      <c r="O494" s="18"/>
      <c r="P494" s="18"/>
      <c r="Q494" s="20">
        <f>SUM(PAC!$M494:$P494)</f>
        <v>4752052.96</v>
      </c>
      <c r="R494" s="20"/>
      <c r="S494" s="20">
        <f>IF(PAC!$R494&gt;0,PAC!$R494,PAC!$Q494)</f>
        <v>4752052.96</v>
      </c>
      <c r="T494" s="20"/>
      <c r="U494" s="103" t="s">
        <v>1563</v>
      </c>
      <c r="V494" s="103"/>
      <c r="W494" s="104"/>
      <c r="X494" s="104" t="s">
        <v>1419</v>
      </c>
      <c r="Y494" s="101" t="s">
        <v>2473</v>
      </c>
      <c r="Z494" s="87">
        <v>46356</v>
      </c>
      <c r="AA494" s="105"/>
      <c r="AB494" s="40" t="s">
        <v>1457</v>
      </c>
      <c r="AC494" s="40" t="s">
        <v>2141</v>
      </c>
      <c r="AD494" s="106">
        <v>46356</v>
      </c>
      <c r="AE494" s="102" t="s">
        <v>2142</v>
      </c>
      <c r="AF494" s="40" t="s">
        <v>2088</v>
      </c>
      <c r="AG494" s="40" t="s">
        <v>2067</v>
      </c>
      <c r="AH494" s="40" t="s">
        <v>1974</v>
      </c>
      <c r="AI494" s="40"/>
      <c r="AJ494" s="87">
        <v>46265</v>
      </c>
      <c r="AK494" s="40"/>
      <c r="AL494" s="40"/>
      <c r="AM494" s="40"/>
      <c r="AN494" s="87"/>
      <c r="AO494" s="87"/>
      <c r="AP494" s="87"/>
      <c r="AQ494" s="87"/>
      <c r="AR494" s="107"/>
      <c r="AS494" s="107"/>
      <c r="AT494" s="102" t="s">
        <v>2764</v>
      </c>
      <c r="AU494" s="108"/>
      <c r="AV494" s="106"/>
      <c r="AW494" s="105" t="s">
        <v>2074</v>
      </c>
      <c r="AX494" s="109">
        <f>IFERROR(IF(PAC!$X494="F01 - CAPTAÇÃO DE RECURSO",1,""),"")</f>
        <v>1</v>
      </c>
      <c r="AY494" s="109" t="str">
        <f>IFERROR(IF(PAC!$X494="F02 - LICITAÇÃO",1,""),"")</f>
        <v/>
      </c>
      <c r="AZ494" s="110" t="str">
        <f>IFERROR(IF(PAC!$X$6:$X$581="F03 - EXECUÇÃO DO OBJETO",1,""),"")</f>
        <v/>
      </c>
      <c r="BA494" s="110" t="str">
        <f>IFERROR(IF(PAC!$X$6:$X$581="F04 - CONCLUÍDA",1,""),"")</f>
        <v/>
      </c>
      <c r="BB494" s="111">
        <f>IF(PAC!$R494&gt;0,0,PAC!$Q494)</f>
        <v>4752052.96</v>
      </c>
    </row>
    <row r="495" spans="1:54" s="1" customFormat="1" ht="409.5" hidden="1">
      <c r="A495" s="112">
        <f t="shared" si="8"/>
        <v>490</v>
      </c>
      <c r="B495" s="113">
        <v>2023</v>
      </c>
      <c r="C495" s="112" t="s">
        <v>605</v>
      </c>
      <c r="D495" s="112" t="s">
        <v>1010</v>
      </c>
      <c r="E495" s="114" t="s">
        <v>1388</v>
      </c>
      <c r="F495" s="112" t="s">
        <v>51</v>
      </c>
      <c r="G495" s="112" t="s">
        <v>516</v>
      </c>
      <c r="H495" s="115" t="s">
        <v>1244</v>
      </c>
      <c r="I495" s="112" t="s">
        <v>1240</v>
      </c>
      <c r="J495" s="112" t="s">
        <v>361</v>
      </c>
      <c r="K495" s="31">
        <v>426000000</v>
      </c>
      <c r="L495" s="31">
        <v>426000000</v>
      </c>
      <c r="M495" s="31">
        <v>150000000</v>
      </c>
      <c r="N495" s="31">
        <v>86374738.829999998</v>
      </c>
      <c r="O495" s="31"/>
      <c r="P495" s="31">
        <v>154864809.03</v>
      </c>
      <c r="Q495" s="33">
        <f>SUM(PAC!$M495:$P495)</f>
        <v>391239547.86000001</v>
      </c>
      <c r="R495" s="33">
        <v>388129296.66000003</v>
      </c>
      <c r="S495" s="33">
        <f>IF(PAC!$R495&gt;0,PAC!$R495,PAC!$Q495)</f>
        <v>388129296.66000003</v>
      </c>
      <c r="T495" s="33" t="s">
        <v>1594</v>
      </c>
      <c r="U495" s="116" t="s">
        <v>1576</v>
      </c>
      <c r="V495" s="116" t="s">
        <v>1764</v>
      </c>
      <c r="W495" s="117">
        <v>59</v>
      </c>
      <c r="X495" s="117" t="s">
        <v>1694</v>
      </c>
      <c r="Y495" s="113" t="s">
        <v>2470</v>
      </c>
      <c r="Z495" s="118">
        <v>47744</v>
      </c>
      <c r="AA495" s="119"/>
      <c r="AB495" s="115"/>
      <c r="AC495" s="115"/>
      <c r="AD495" s="120"/>
      <c r="AE495" s="114" t="s">
        <v>1790</v>
      </c>
      <c r="AF495" s="115" t="s">
        <v>981</v>
      </c>
      <c r="AG495" s="115" t="s">
        <v>2288</v>
      </c>
      <c r="AH495" s="115" t="s">
        <v>977</v>
      </c>
      <c r="AI495" s="115"/>
      <c r="AJ495" s="118"/>
      <c r="AK495" s="115" t="s">
        <v>1189</v>
      </c>
      <c r="AL495" s="115"/>
      <c r="AM495" s="115"/>
      <c r="AN495" s="118">
        <v>45860</v>
      </c>
      <c r="AO495" s="118">
        <v>45938</v>
      </c>
      <c r="AP495" s="118">
        <v>45953</v>
      </c>
      <c r="AQ495" s="118">
        <v>45974</v>
      </c>
      <c r="AR495" s="121">
        <v>47744</v>
      </c>
      <c r="AS495" s="121">
        <v>47744</v>
      </c>
      <c r="AT495" s="114" t="s">
        <v>2683</v>
      </c>
      <c r="AU495" s="182" t="s">
        <v>2137</v>
      </c>
      <c r="AV495" s="120"/>
      <c r="AW495" s="119"/>
      <c r="AX495" s="194" t="str">
        <f>IFERROR(IF(PAC!$X495="F01 - CAPTAÇÃO DE RECURSO",1,""),"")</f>
        <v/>
      </c>
      <c r="AY495" s="194" t="str">
        <f>IFERROR(IF(PAC!$X495="F02 - LICITAÇÃO",1,""),"")</f>
        <v/>
      </c>
      <c r="AZ495" s="123">
        <f>IFERROR(IF(PAC!$X$6:$X$581="F03 - EXECUÇÃO DO OBJETO",1,""),"")</f>
        <v>1</v>
      </c>
      <c r="BA495" s="123" t="str">
        <f>IFERROR(IF(PAC!$X$6:$X$581="F04 - CONCLUÍDA",1,""),"")</f>
        <v/>
      </c>
      <c r="BB495" s="191">
        <f>IF(PAC!$R495&gt;0,0,PAC!$Q495)</f>
        <v>0</v>
      </c>
    </row>
    <row r="496" spans="1:54" s="1" customFormat="1" ht="409.5" hidden="1">
      <c r="A496" s="88">
        <f t="shared" si="8"/>
        <v>491</v>
      </c>
      <c r="B496" s="101">
        <v>2023</v>
      </c>
      <c r="C496" s="88" t="s">
        <v>610</v>
      </c>
      <c r="D496" s="88" t="s">
        <v>1010</v>
      </c>
      <c r="E496" s="102" t="s">
        <v>2129</v>
      </c>
      <c r="F496" s="88" t="s">
        <v>51</v>
      </c>
      <c r="G496" s="88" t="s">
        <v>516</v>
      </c>
      <c r="H496" s="40" t="s">
        <v>1244</v>
      </c>
      <c r="I496" s="88" t="s">
        <v>1240</v>
      </c>
      <c r="J496" s="88" t="s">
        <v>401</v>
      </c>
      <c r="K496" s="18"/>
      <c r="L496" s="18">
        <v>16084250</v>
      </c>
      <c r="M496" s="18">
        <v>16084250</v>
      </c>
      <c r="N496" s="18"/>
      <c r="O496" s="18"/>
      <c r="P496" s="18"/>
      <c r="Q496" s="20">
        <f>SUM(PAC!$M496:$P496)</f>
        <v>16084250</v>
      </c>
      <c r="R496" s="20"/>
      <c r="S496" s="20">
        <f>IF(PAC!$R496&gt;0,PAC!$R496,PAC!$Q496)</f>
        <v>16084250</v>
      </c>
      <c r="T496" s="20"/>
      <c r="U496" s="103" t="s">
        <v>1570</v>
      </c>
      <c r="V496" s="103"/>
      <c r="W496" s="104">
        <v>19</v>
      </c>
      <c r="X496" s="104" t="s">
        <v>1419</v>
      </c>
      <c r="Y496" s="101" t="s">
        <v>2473</v>
      </c>
      <c r="Z496" s="87"/>
      <c r="AA496" s="105"/>
      <c r="AB496" s="40" t="s">
        <v>1459</v>
      </c>
      <c r="AC496" s="40" t="s">
        <v>2286</v>
      </c>
      <c r="AD496" s="106"/>
      <c r="AE496" s="102" t="s">
        <v>1386</v>
      </c>
      <c r="AF496" s="40" t="s">
        <v>640</v>
      </c>
      <c r="AG496" s="40" t="s">
        <v>712</v>
      </c>
      <c r="AH496" s="40" t="s">
        <v>1974</v>
      </c>
      <c r="AI496" s="40" t="s">
        <v>985</v>
      </c>
      <c r="AJ496" s="87">
        <v>46748</v>
      </c>
      <c r="AK496" s="40" t="s">
        <v>1188</v>
      </c>
      <c r="AL496" s="40"/>
      <c r="AM496" s="40"/>
      <c r="AN496" s="87">
        <v>46225</v>
      </c>
      <c r="AO496" s="87"/>
      <c r="AP496" s="87"/>
      <c r="AQ496" s="87"/>
      <c r="AR496" s="107"/>
      <c r="AS496" s="107"/>
      <c r="AT496" s="102" t="s">
        <v>2231</v>
      </c>
      <c r="AU496" s="40" t="s">
        <v>2232</v>
      </c>
      <c r="AV496" s="106"/>
      <c r="AW496" s="105" t="s">
        <v>1016</v>
      </c>
      <c r="AX496" s="109">
        <f>IFERROR(IF(PAC!$X496="F01 - CAPTAÇÃO DE RECURSO",1,""),"")</f>
        <v>1</v>
      </c>
      <c r="AY496" s="109" t="str">
        <f>IFERROR(IF(PAC!$X496="F02 - LICITAÇÃO",1,""),"")</f>
        <v/>
      </c>
      <c r="AZ496" s="110" t="str">
        <f>IFERROR(IF(PAC!$X$6:$X$581="F03 - EXECUÇÃO DO OBJETO",1,""),"")</f>
        <v/>
      </c>
      <c r="BA496" s="110" t="str">
        <f>IFERROR(IF(PAC!$X$6:$X$581="F04 - CONCLUÍDA",1,""),"")</f>
        <v/>
      </c>
      <c r="BB496" s="111">
        <f>IF(PAC!$R496&gt;0,0,PAC!$Q496)</f>
        <v>16084250</v>
      </c>
    </row>
    <row r="497" spans="1:54" s="1" customFormat="1" ht="87.75" hidden="1" customHeight="1" thickBot="1">
      <c r="A497" s="112">
        <f t="shared" si="8"/>
        <v>492</v>
      </c>
      <c r="B497" s="112">
        <v>2025</v>
      </c>
      <c r="C497" s="112" t="s">
        <v>605</v>
      </c>
      <c r="D497" s="112" t="s">
        <v>1010</v>
      </c>
      <c r="E497" s="130" t="s">
        <v>1960</v>
      </c>
      <c r="F497" s="115" t="s">
        <v>51</v>
      </c>
      <c r="G497" s="115" t="s">
        <v>516</v>
      </c>
      <c r="H497" s="112" t="s">
        <v>1244</v>
      </c>
      <c r="I497" s="112" t="s">
        <v>1240</v>
      </c>
      <c r="J497" s="112" t="s">
        <v>361</v>
      </c>
      <c r="K497" s="31">
        <v>604847135.78999996</v>
      </c>
      <c r="L497" s="31">
        <v>108299086.12</v>
      </c>
      <c r="M497" s="31">
        <v>108299086.12</v>
      </c>
      <c r="N497" s="31"/>
      <c r="O497" s="31"/>
      <c r="P497" s="31">
        <v>604847135.78999996</v>
      </c>
      <c r="Q497" s="33">
        <f>SUM(PAC!$M497:$P497)</f>
        <v>713146221.90999997</v>
      </c>
      <c r="R497" s="33"/>
      <c r="S497" s="33">
        <f>IF(PAC!$R497&gt;0,PAC!$R497,PAC!$Q497)</f>
        <v>713146221.90999997</v>
      </c>
      <c r="T497" s="33"/>
      <c r="U497" s="116" t="s">
        <v>1565</v>
      </c>
      <c r="V497" s="116" t="s">
        <v>1764</v>
      </c>
      <c r="W497" s="117">
        <v>36</v>
      </c>
      <c r="X497" s="117" t="s">
        <v>1418</v>
      </c>
      <c r="Y497" s="113" t="s">
        <v>2472</v>
      </c>
      <c r="Z497" s="118"/>
      <c r="AA497" s="119"/>
      <c r="AB497" s="115" t="s">
        <v>1464</v>
      </c>
      <c r="AC497" s="115" t="s">
        <v>2284</v>
      </c>
      <c r="AD497" s="120"/>
      <c r="AE497" s="114" t="s">
        <v>1961</v>
      </c>
      <c r="AF497" s="115" t="s">
        <v>1962</v>
      </c>
      <c r="AG497" s="115" t="s">
        <v>1857</v>
      </c>
      <c r="AH497" s="115" t="s">
        <v>1974</v>
      </c>
      <c r="AI497" s="115"/>
      <c r="AJ497" s="118"/>
      <c r="AK497" s="115"/>
      <c r="AL497" s="115"/>
      <c r="AM497" s="115"/>
      <c r="AN497" s="118">
        <v>46163</v>
      </c>
      <c r="AO497" s="118">
        <v>46245</v>
      </c>
      <c r="AP497" s="118"/>
      <c r="AQ497" s="118"/>
      <c r="AR497" s="121"/>
      <c r="AS497" s="121"/>
      <c r="AT497" s="114" t="s">
        <v>2452</v>
      </c>
      <c r="AU497" s="122" t="s">
        <v>2285</v>
      </c>
      <c r="AV497" s="120"/>
      <c r="AW497" s="119"/>
      <c r="AX497" s="194" t="str">
        <f>IFERROR(IF(PAC!$X497="F01 - CAPTAÇÃO DE RECURSO",1,""),"")</f>
        <v/>
      </c>
      <c r="AY497" s="194">
        <f>IFERROR(IF(PAC!$X497="F02 - LICITAÇÃO",1,""),"")</f>
        <v>1</v>
      </c>
      <c r="AZ497" s="123" t="str">
        <f>IFERROR(IF(PAC!$X$6:$X$581="F03 - EXECUÇÃO DO OBJETO",1,""),"")</f>
        <v/>
      </c>
      <c r="BA497" s="123" t="str">
        <f>IFERROR(IF(PAC!$X$6:$X$581="F04 - CONCLUÍDA",1,""),"")</f>
        <v/>
      </c>
      <c r="BB497" s="191">
        <f>IF(PAC!$R497&gt;0,0,PAC!$Q497)</f>
        <v>713146221.90999997</v>
      </c>
    </row>
    <row r="498" spans="1:54" s="1" customFormat="1" ht="21" hidden="1" customHeight="1" thickBot="1">
      <c r="A498" s="88">
        <f t="shared" si="8"/>
        <v>493</v>
      </c>
      <c r="B498" s="88">
        <v>2023</v>
      </c>
      <c r="C498" s="88" t="s">
        <v>605</v>
      </c>
      <c r="D498" s="88" t="s">
        <v>1010</v>
      </c>
      <c r="E498" s="89" t="s">
        <v>2678</v>
      </c>
      <c r="F498" s="40" t="s">
        <v>53</v>
      </c>
      <c r="G498" s="40" t="s">
        <v>503</v>
      </c>
      <c r="H498" s="88" t="s">
        <v>1244</v>
      </c>
      <c r="I498" s="88" t="s">
        <v>1238</v>
      </c>
      <c r="J498" s="88" t="s">
        <v>361</v>
      </c>
      <c r="K498" s="18"/>
      <c r="L498" s="18"/>
      <c r="M498" s="18">
        <v>2479018.11</v>
      </c>
      <c r="N498" s="18"/>
      <c r="O498" s="18"/>
      <c r="P498" s="18"/>
      <c r="Q498" s="20">
        <f>SUM(PAC!$M498:$P498)</f>
        <v>2479018.11</v>
      </c>
      <c r="R498" s="20"/>
      <c r="S498" s="20">
        <f>IF(PAC!$R498&gt;0,PAC!$R498,PAC!$Q498)</f>
        <v>2479018.11</v>
      </c>
      <c r="T498" s="20"/>
      <c r="U498" s="103" t="s">
        <v>1566</v>
      </c>
      <c r="V498" s="103" t="s">
        <v>1764</v>
      </c>
      <c r="W498" s="104">
        <v>9</v>
      </c>
      <c r="X498" s="104" t="s">
        <v>1418</v>
      </c>
      <c r="Y498" s="101" t="s">
        <v>2472</v>
      </c>
      <c r="Z498" s="87"/>
      <c r="AA498" s="105"/>
      <c r="AB498" s="40" t="s">
        <v>1464</v>
      </c>
      <c r="AC498" s="40" t="s">
        <v>2677</v>
      </c>
      <c r="AD498" s="106">
        <v>46274</v>
      </c>
      <c r="AE498" s="102" t="s">
        <v>2681</v>
      </c>
      <c r="AF498" s="40" t="s">
        <v>2679</v>
      </c>
      <c r="AG498" s="40" t="s">
        <v>1277</v>
      </c>
      <c r="AH498" s="40"/>
      <c r="AI498" s="40"/>
      <c r="AJ498" s="87"/>
      <c r="AK498" s="40"/>
      <c r="AL498" s="40"/>
      <c r="AM498" s="40"/>
      <c r="AN498" s="87">
        <v>46248</v>
      </c>
      <c r="AO498" s="87">
        <v>46274</v>
      </c>
      <c r="AP498" s="87"/>
      <c r="AQ498" s="87"/>
      <c r="AR498" s="107"/>
      <c r="AS498" s="107"/>
      <c r="AT498" s="128" t="s">
        <v>2765</v>
      </c>
      <c r="AU498" s="108" t="s">
        <v>2680</v>
      </c>
      <c r="AV498" s="106"/>
      <c r="AW498" s="129"/>
      <c r="AX498" s="109" t="str">
        <f>IFERROR(IF(PAC!$X498="F01 - CAPTAÇÃO DE RECURSO",1,""),"")</f>
        <v/>
      </c>
      <c r="AY498" s="109">
        <f>IFERROR(IF(PAC!$X498="F02 - LICITAÇÃO",1,""),"")</f>
        <v>1</v>
      </c>
      <c r="AZ498" s="110" t="str">
        <f>IFERROR(IF(PAC!$X$6:$X$581="F03 - EXECUÇÃO DO OBJETO",1,""),"")</f>
        <v/>
      </c>
      <c r="BA498" s="110" t="str">
        <f>IFERROR(IF(PAC!$X$6:$X$581="F04 - CONCLUÍDA",1,""),"")</f>
        <v/>
      </c>
      <c r="BB498" s="111">
        <f>IF(PAC!$R498&gt;0,0,PAC!$Q498)</f>
        <v>2479018.11</v>
      </c>
    </row>
    <row r="499" spans="1:54" s="1" customFormat="1" ht="21" hidden="1" customHeight="1" thickBot="1">
      <c r="A499" s="112">
        <f t="shared" si="8"/>
        <v>494</v>
      </c>
      <c r="B499" s="112"/>
      <c r="C499" s="112"/>
      <c r="D499" s="112"/>
      <c r="E499" s="130"/>
      <c r="F499" s="115"/>
      <c r="G499" s="115"/>
      <c r="H499" s="112"/>
      <c r="I499" s="112"/>
      <c r="J499" s="112"/>
      <c r="K499" s="31"/>
      <c r="L499" s="31"/>
      <c r="M499" s="31"/>
      <c r="N499" s="31"/>
      <c r="O499" s="31"/>
      <c r="P499" s="31"/>
      <c r="Q499" s="33">
        <f>SUM(PAC!$M499:$P499)</f>
        <v>0</v>
      </c>
      <c r="R499" s="33"/>
      <c r="S499" s="33">
        <f>IF(PAC!$R499&gt;0,PAC!$R499,PAC!$Q499)</f>
        <v>0</v>
      </c>
      <c r="T499" s="33"/>
      <c r="U499" s="116" t="s">
        <v>1493</v>
      </c>
      <c r="V499" s="116"/>
      <c r="W499" s="117"/>
      <c r="X499" s="117"/>
      <c r="Y499" s="113"/>
      <c r="Z499" s="118"/>
      <c r="AA499" s="119"/>
      <c r="AB499" s="115"/>
      <c r="AC499" s="115"/>
      <c r="AD499" s="120"/>
      <c r="AE499" s="114"/>
      <c r="AF499" s="115"/>
      <c r="AG499" s="115"/>
      <c r="AH499" s="115"/>
      <c r="AI499" s="115"/>
      <c r="AJ499" s="118"/>
      <c r="AK499" s="115"/>
      <c r="AL499" s="115"/>
      <c r="AM499" s="115"/>
      <c r="AN499" s="118"/>
      <c r="AO499" s="118"/>
      <c r="AP499" s="118"/>
      <c r="AQ499" s="118"/>
      <c r="AR499" s="121"/>
      <c r="AS499" s="121"/>
      <c r="AT499" s="114"/>
      <c r="AU499" s="122"/>
      <c r="AV499" s="120"/>
      <c r="AW499" s="131"/>
      <c r="AX499" s="194" t="str">
        <f>IFERROR(IF(PAC!$X499="F01 - CAPTAÇÃO DE RECURSO",1,""),"")</f>
        <v/>
      </c>
      <c r="AY499" s="194" t="str">
        <f>IFERROR(IF(PAC!$X499="F02 - LICITAÇÃO",1,""),"")</f>
        <v/>
      </c>
      <c r="AZ499" s="123" t="str">
        <f>IFERROR(IF(PAC!$X$6:$X$581="F03 - EXECUÇÃO DO OBJETO",1,""),"")</f>
        <v/>
      </c>
      <c r="BA499" s="123" t="str">
        <f>IFERROR(IF(PAC!$X$6:$X$581="F04 - CONCLUÍDA",1,""),"")</f>
        <v/>
      </c>
      <c r="BB499" s="191">
        <f>IF(PAC!$R499&gt;0,0,PAC!$Q499)</f>
        <v>0</v>
      </c>
    </row>
    <row r="500" spans="1:54" s="1" customFormat="1" ht="21" hidden="1" customHeight="1" thickBot="1">
      <c r="A500" s="88">
        <f t="shared" si="8"/>
        <v>495</v>
      </c>
      <c r="B500" s="88"/>
      <c r="C500" s="88"/>
      <c r="D500" s="88"/>
      <c r="E500" s="89"/>
      <c r="F500" s="40"/>
      <c r="G500" s="40"/>
      <c r="H500" s="88"/>
      <c r="I500" s="88"/>
      <c r="J500" s="88"/>
      <c r="K500" s="18"/>
      <c r="L500" s="18"/>
      <c r="M500" s="18"/>
      <c r="N500" s="18"/>
      <c r="O500" s="18"/>
      <c r="P500" s="18"/>
      <c r="Q500" s="20">
        <f>SUM(PAC!$M500:$P500)</f>
        <v>0</v>
      </c>
      <c r="R500" s="20"/>
      <c r="S500" s="20">
        <f>IF(PAC!$R500&gt;0,PAC!$R500,PAC!$Q500)</f>
        <v>0</v>
      </c>
      <c r="T500" s="20"/>
      <c r="U500" s="103" t="s">
        <v>1493</v>
      </c>
      <c r="V500" s="103"/>
      <c r="W500" s="104"/>
      <c r="X500" s="104"/>
      <c r="Y500" s="101"/>
      <c r="Z500" s="87"/>
      <c r="AA500" s="105"/>
      <c r="AB500" s="40"/>
      <c r="AC500" s="40"/>
      <c r="AD500" s="106"/>
      <c r="AE500" s="102"/>
      <c r="AF500" s="40"/>
      <c r="AG500" s="40"/>
      <c r="AH500" s="40"/>
      <c r="AI500" s="40"/>
      <c r="AJ500" s="87"/>
      <c r="AK500" s="40"/>
      <c r="AL500" s="40"/>
      <c r="AM500" s="40"/>
      <c r="AN500" s="87"/>
      <c r="AO500" s="87"/>
      <c r="AP500" s="87"/>
      <c r="AQ500" s="87"/>
      <c r="AR500" s="107"/>
      <c r="AS500" s="107"/>
      <c r="AT500" s="102"/>
      <c r="AU500" s="108"/>
      <c r="AV500" s="106"/>
      <c r="AW500" s="129"/>
      <c r="AX500" s="109" t="str">
        <f>IFERROR(IF(PAC!$X500="F01 - CAPTAÇÃO DE RECURSO",1,""),"")</f>
        <v/>
      </c>
      <c r="AY500" s="109" t="str">
        <f>IFERROR(IF(PAC!$X500="F02 - LICITAÇÃO",1,""),"")</f>
        <v/>
      </c>
      <c r="AZ500" s="110" t="str">
        <f>IFERROR(IF(PAC!$X$6:$X$581="F03 - EXECUÇÃO DO OBJETO",1,""),"")</f>
        <v/>
      </c>
      <c r="BA500" s="110" t="str">
        <f>IFERROR(IF(PAC!$X$6:$X$581="F04 - CONCLUÍDA",1,""),"")</f>
        <v/>
      </c>
      <c r="BB500" s="111">
        <f>IF(PAC!$R500&gt;0,0,PAC!$Q500)</f>
        <v>0</v>
      </c>
    </row>
    <row r="501" spans="1:54" s="1" customFormat="1" ht="21" hidden="1" customHeight="1" thickBot="1">
      <c r="A501" s="112">
        <f t="shared" si="8"/>
        <v>496</v>
      </c>
      <c r="B501" s="112"/>
      <c r="C501" s="112"/>
      <c r="D501" s="112"/>
      <c r="E501" s="130"/>
      <c r="F501" s="115"/>
      <c r="G501" s="115"/>
      <c r="H501" s="112"/>
      <c r="I501" s="112"/>
      <c r="J501" s="112"/>
      <c r="K501" s="31"/>
      <c r="L501" s="31"/>
      <c r="M501" s="31"/>
      <c r="N501" s="31"/>
      <c r="O501" s="31"/>
      <c r="P501" s="31"/>
      <c r="Q501" s="33">
        <f>SUM(PAC!$M501:$P501)</f>
        <v>0</v>
      </c>
      <c r="R501" s="33"/>
      <c r="S501" s="33">
        <f>IF(PAC!$R501&gt;0,PAC!$R501,PAC!$Q501)</f>
        <v>0</v>
      </c>
      <c r="T501" s="33"/>
      <c r="U501" s="116" t="s">
        <v>1493</v>
      </c>
      <c r="V501" s="116"/>
      <c r="W501" s="117"/>
      <c r="X501" s="117"/>
      <c r="Y501" s="113"/>
      <c r="Z501" s="118"/>
      <c r="AA501" s="119"/>
      <c r="AB501" s="115"/>
      <c r="AC501" s="115"/>
      <c r="AD501" s="120"/>
      <c r="AE501" s="114"/>
      <c r="AF501" s="115"/>
      <c r="AG501" s="115"/>
      <c r="AH501" s="115"/>
      <c r="AI501" s="115"/>
      <c r="AJ501" s="118"/>
      <c r="AK501" s="115"/>
      <c r="AL501" s="115"/>
      <c r="AM501" s="115"/>
      <c r="AN501" s="118"/>
      <c r="AO501" s="118"/>
      <c r="AP501" s="118"/>
      <c r="AQ501" s="118"/>
      <c r="AR501" s="121"/>
      <c r="AS501" s="121"/>
      <c r="AT501" s="114"/>
      <c r="AU501" s="122"/>
      <c r="AV501" s="120"/>
      <c r="AW501" s="131"/>
      <c r="AX501" s="194" t="str">
        <f>IFERROR(IF(PAC!$X501="F01 - CAPTAÇÃO DE RECURSO",1,""),"")</f>
        <v/>
      </c>
      <c r="AY501" s="194" t="str">
        <f>IFERROR(IF(PAC!$X501="F02 - LICITAÇÃO",1,""),"")</f>
        <v/>
      </c>
      <c r="AZ501" s="123" t="str">
        <f>IFERROR(IF(PAC!$X$6:$X$581="F03 - EXECUÇÃO DO OBJETO",1,""),"")</f>
        <v/>
      </c>
      <c r="BA501" s="123" t="str">
        <f>IFERROR(IF(PAC!$X$6:$X$581="F04 - CONCLUÍDA",1,""),"")</f>
        <v/>
      </c>
      <c r="BB501" s="191">
        <f>IF(PAC!$R501&gt;0,0,PAC!$Q501)</f>
        <v>0</v>
      </c>
    </row>
    <row r="502" spans="1:54" s="1" customFormat="1" ht="21" hidden="1" customHeight="1" thickBot="1">
      <c r="A502" s="88">
        <f t="shared" si="8"/>
        <v>497</v>
      </c>
      <c r="B502" s="88"/>
      <c r="C502" s="88"/>
      <c r="D502" s="88"/>
      <c r="E502" s="89"/>
      <c r="F502" s="40"/>
      <c r="G502" s="40"/>
      <c r="H502" s="88"/>
      <c r="I502" s="88"/>
      <c r="J502" s="88"/>
      <c r="K502" s="18"/>
      <c r="L502" s="18"/>
      <c r="M502" s="18"/>
      <c r="N502" s="18"/>
      <c r="O502" s="18"/>
      <c r="P502" s="18"/>
      <c r="Q502" s="20">
        <f>SUM(PAC!$M502:$P502)</f>
        <v>0</v>
      </c>
      <c r="R502" s="20"/>
      <c r="S502" s="20">
        <f>IF(PAC!$R502&gt;0,PAC!$R502,PAC!$Q502)</f>
        <v>0</v>
      </c>
      <c r="T502" s="20"/>
      <c r="U502" s="103" t="s">
        <v>1493</v>
      </c>
      <c r="V502" s="103"/>
      <c r="W502" s="104"/>
      <c r="X502" s="104"/>
      <c r="Y502" s="101"/>
      <c r="Z502" s="87"/>
      <c r="AA502" s="105"/>
      <c r="AB502" s="40"/>
      <c r="AC502" s="40"/>
      <c r="AD502" s="106"/>
      <c r="AE502" s="102"/>
      <c r="AF502" s="40"/>
      <c r="AG502" s="40"/>
      <c r="AH502" s="40"/>
      <c r="AI502" s="40"/>
      <c r="AJ502" s="87"/>
      <c r="AK502" s="40"/>
      <c r="AL502" s="40"/>
      <c r="AM502" s="40"/>
      <c r="AN502" s="87"/>
      <c r="AO502" s="87"/>
      <c r="AP502" s="87"/>
      <c r="AQ502" s="87"/>
      <c r="AR502" s="107"/>
      <c r="AS502" s="107"/>
      <c r="AT502" s="102"/>
      <c r="AU502" s="108"/>
      <c r="AV502" s="106"/>
      <c r="AW502" s="129"/>
      <c r="AX502" s="109" t="str">
        <f>IFERROR(IF(PAC!$X502="F01 - CAPTAÇÃO DE RECURSO",1,""),"")</f>
        <v/>
      </c>
      <c r="AY502" s="109" t="str">
        <f>IFERROR(IF(PAC!$X502="F02 - LICITAÇÃO",1,""),"")</f>
        <v/>
      </c>
      <c r="AZ502" s="110" t="str">
        <f>IFERROR(IF(PAC!$X$6:$X$581="F03 - EXECUÇÃO DO OBJETO",1,""),"")</f>
        <v/>
      </c>
      <c r="BA502" s="110" t="str">
        <f>IFERROR(IF(PAC!$X$6:$X$581="F04 - CONCLUÍDA",1,""),"")</f>
        <v/>
      </c>
      <c r="BB502" s="111">
        <f>IF(PAC!$R502&gt;0,0,PAC!$Q502)</f>
        <v>0</v>
      </c>
    </row>
    <row r="503" spans="1:54" s="1" customFormat="1" ht="21" hidden="1" customHeight="1" thickBot="1">
      <c r="A503" s="112">
        <f t="shared" si="8"/>
        <v>498</v>
      </c>
      <c r="B503" s="112"/>
      <c r="C503" s="112"/>
      <c r="D503" s="112"/>
      <c r="E503" s="130"/>
      <c r="F503" s="115"/>
      <c r="G503" s="115"/>
      <c r="H503" s="112"/>
      <c r="I503" s="112"/>
      <c r="J503" s="112"/>
      <c r="K503" s="31"/>
      <c r="L503" s="31"/>
      <c r="M503" s="31"/>
      <c r="N503" s="31"/>
      <c r="O503" s="31"/>
      <c r="P503" s="31"/>
      <c r="Q503" s="33">
        <f>SUM(PAC!$M503:$P503)</f>
        <v>0</v>
      </c>
      <c r="R503" s="33"/>
      <c r="S503" s="33">
        <f>IF(PAC!$R503&gt;0,PAC!$R503,PAC!$Q503)</f>
        <v>0</v>
      </c>
      <c r="T503" s="33"/>
      <c r="U503" s="116" t="s">
        <v>1493</v>
      </c>
      <c r="V503" s="116"/>
      <c r="W503" s="117"/>
      <c r="X503" s="117"/>
      <c r="Y503" s="113"/>
      <c r="Z503" s="118"/>
      <c r="AA503" s="119"/>
      <c r="AB503" s="115"/>
      <c r="AC503" s="115"/>
      <c r="AD503" s="120"/>
      <c r="AE503" s="114"/>
      <c r="AF503" s="115"/>
      <c r="AG503" s="115"/>
      <c r="AH503" s="115"/>
      <c r="AI503" s="115"/>
      <c r="AJ503" s="118"/>
      <c r="AK503" s="115"/>
      <c r="AL503" s="115"/>
      <c r="AM503" s="115"/>
      <c r="AN503" s="118"/>
      <c r="AO503" s="118"/>
      <c r="AP503" s="118"/>
      <c r="AQ503" s="118"/>
      <c r="AR503" s="121"/>
      <c r="AS503" s="121"/>
      <c r="AT503" s="114"/>
      <c r="AU503" s="122"/>
      <c r="AV503" s="120"/>
      <c r="AW503" s="131"/>
      <c r="AX503" s="194" t="str">
        <f>IFERROR(IF(PAC!$X503="F01 - CAPTAÇÃO DE RECURSO",1,""),"")</f>
        <v/>
      </c>
      <c r="AY503" s="194" t="str">
        <f>IFERROR(IF(PAC!$X503="F02 - LICITAÇÃO",1,""),"")</f>
        <v/>
      </c>
      <c r="AZ503" s="123" t="str">
        <f>IFERROR(IF(PAC!$X$6:$X$581="F03 - EXECUÇÃO DO OBJETO",1,""),"")</f>
        <v/>
      </c>
      <c r="BA503" s="123" t="str">
        <f>IFERROR(IF(PAC!$X$6:$X$581="F04 - CONCLUÍDA",1,""),"")</f>
        <v/>
      </c>
      <c r="BB503" s="191">
        <f>IF(PAC!$R503&gt;0,0,PAC!$Q503)</f>
        <v>0</v>
      </c>
    </row>
    <row r="504" spans="1:54" s="1" customFormat="1" ht="21" hidden="1" customHeight="1" thickBot="1">
      <c r="A504" s="88">
        <f t="shared" si="8"/>
        <v>499</v>
      </c>
      <c r="B504" s="88"/>
      <c r="C504" s="88"/>
      <c r="D504" s="88"/>
      <c r="E504" s="89"/>
      <c r="F504" s="40"/>
      <c r="G504" s="40"/>
      <c r="H504" s="88"/>
      <c r="I504" s="88"/>
      <c r="J504" s="88"/>
      <c r="K504" s="18"/>
      <c r="L504" s="18"/>
      <c r="M504" s="18"/>
      <c r="N504" s="18"/>
      <c r="O504" s="18"/>
      <c r="P504" s="18"/>
      <c r="Q504" s="20">
        <f>SUM(PAC!$M504:$P504)</f>
        <v>0</v>
      </c>
      <c r="R504" s="20"/>
      <c r="S504" s="20">
        <f>IF(PAC!$R504&gt;0,PAC!$R504,PAC!$Q504)</f>
        <v>0</v>
      </c>
      <c r="T504" s="20"/>
      <c r="U504" s="103" t="s">
        <v>1493</v>
      </c>
      <c r="V504" s="103"/>
      <c r="W504" s="104"/>
      <c r="X504" s="104"/>
      <c r="Y504" s="101"/>
      <c r="Z504" s="87"/>
      <c r="AA504" s="105"/>
      <c r="AB504" s="40"/>
      <c r="AC504" s="40"/>
      <c r="AD504" s="106"/>
      <c r="AE504" s="102"/>
      <c r="AF504" s="40"/>
      <c r="AG504" s="40"/>
      <c r="AH504" s="40"/>
      <c r="AI504" s="40"/>
      <c r="AJ504" s="87"/>
      <c r="AK504" s="40"/>
      <c r="AL504" s="40"/>
      <c r="AM504" s="40"/>
      <c r="AN504" s="87"/>
      <c r="AO504" s="87"/>
      <c r="AP504" s="87"/>
      <c r="AQ504" s="87"/>
      <c r="AR504" s="107"/>
      <c r="AS504" s="107"/>
      <c r="AT504" s="102"/>
      <c r="AU504" s="108"/>
      <c r="AV504" s="106"/>
      <c r="AW504" s="129"/>
      <c r="AX504" s="109" t="str">
        <f>IFERROR(IF(PAC!$X504="F01 - CAPTAÇÃO DE RECURSO",1,""),"")</f>
        <v/>
      </c>
      <c r="AY504" s="109" t="str">
        <f>IFERROR(IF(PAC!$X504="F02 - LICITAÇÃO",1,""),"")</f>
        <v/>
      </c>
      <c r="AZ504" s="110" t="str">
        <f>IFERROR(IF(PAC!$X$6:$X$581="F03 - EXECUÇÃO DO OBJETO",1,""),"")</f>
        <v/>
      </c>
      <c r="BA504" s="110" t="str">
        <f>IFERROR(IF(PAC!$X$6:$X$581="F04 - CONCLUÍDA",1,""),"")</f>
        <v/>
      </c>
      <c r="BB504" s="111">
        <f>IF(PAC!$R504&gt;0,0,PAC!$Q504)</f>
        <v>0</v>
      </c>
    </row>
    <row r="505" spans="1:54" s="1" customFormat="1" ht="21" hidden="1" customHeight="1" thickBot="1">
      <c r="A505" s="112">
        <f t="shared" si="8"/>
        <v>500</v>
      </c>
      <c r="B505" s="112"/>
      <c r="C505" s="112"/>
      <c r="D505" s="112"/>
      <c r="E505" s="130"/>
      <c r="F505" s="115"/>
      <c r="G505" s="115"/>
      <c r="H505" s="112"/>
      <c r="I505" s="112"/>
      <c r="J505" s="112"/>
      <c r="K505" s="31"/>
      <c r="L505" s="31"/>
      <c r="M505" s="31"/>
      <c r="N505" s="31"/>
      <c r="O505" s="31"/>
      <c r="P505" s="31"/>
      <c r="Q505" s="33">
        <f>SUM(PAC!$M505:$P505)</f>
        <v>0</v>
      </c>
      <c r="R505" s="33"/>
      <c r="S505" s="33">
        <f>IF(PAC!$R505&gt;0,PAC!$R505,PAC!$Q505)</f>
        <v>0</v>
      </c>
      <c r="T505" s="33"/>
      <c r="U505" s="116" t="s">
        <v>1493</v>
      </c>
      <c r="V505" s="116"/>
      <c r="W505" s="117"/>
      <c r="X505" s="117"/>
      <c r="Y505" s="113"/>
      <c r="Z505" s="118"/>
      <c r="AA505" s="119"/>
      <c r="AB505" s="115"/>
      <c r="AC505" s="115"/>
      <c r="AD505" s="120"/>
      <c r="AE505" s="114"/>
      <c r="AF505" s="115"/>
      <c r="AG505" s="115"/>
      <c r="AH505" s="115"/>
      <c r="AI505" s="115"/>
      <c r="AJ505" s="118"/>
      <c r="AK505" s="115"/>
      <c r="AL505" s="115"/>
      <c r="AM505" s="115"/>
      <c r="AN505" s="118"/>
      <c r="AO505" s="118"/>
      <c r="AP505" s="118"/>
      <c r="AQ505" s="118"/>
      <c r="AR505" s="121"/>
      <c r="AS505" s="121"/>
      <c r="AT505" s="114"/>
      <c r="AU505" s="122"/>
      <c r="AV505" s="120"/>
      <c r="AW505" s="131"/>
      <c r="AX505" s="194" t="str">
        <f>IFERROR(IF(PAC!$X505="F01 - CAPTAÇÃO DE RECURSO",1,""),"")</f>
        <v/>
      </c>
      <c r="AY505" s="194" t="str">
        <f>IFERROR(IF(PAC!$X505="F02 - LICITAÇÃO",1,""),"")</f>
        <v/>
      </c>
      <c r="AZ505" s="123" t="str">
        <f>IFERROR(IF(PAC!$X$6:$X$581="F03 - EXECUÇÃO DO OBJETO",1,""),"")</f>
        <v/>
      </c>
      <c r="BA505" s="123" t="str">
        <f>IFERROR(IF(PAC!$X$6:$X$581="F04 - CONCLUÍDA",1,""),"")</f>
        <v/>
      </c>
      <c r="BB505" s="191">
        <f>IF(PAC!$R505&gt;0,0,PAC!$Q505)</f>
        <v>0</v>
      </c>
    </row>
    <row r="506" spans="1:54" s="1" customFormat="1" ht="21" hidden="1" customHeight="1" thickBot="1">
      <c r="A506" s="88">
        <f t="shared" si="8"/>
        <v>501</v>
      </c>
      <c r="B506" s="88"/>
      <c r="C506" s="88"/>
      <c r="D506" s="88"/>
      <c r="E506" s="89"/>
      <c r="F506" s="40"/>
      <c r="G506" s="40"/>
      <c r="H506" s="88"/>
      <c r="I506" s="88"/>
      <c r="J506" s="88"/>
      <c r="K506" s="18"/>
      <c r="L506" s="18"/>
      <c r="M506" s="18"/>
      <c r="N506" s="18"/>
      <c r="O506" s="18"/>
      <c r="P506" s="18"/>
      <c r="Q506" s="20">
        <f>SUM(PAC!$M506:$P506)</f>
        <v>0</v>
      </c>
      <c r="R506" s="20"/>
      <c r="S506" s="20">
        <f>IF(PAC!$R506&gt;0,PAC!$R506,PAC!$Q506)</f>
        <v>0</v>
      </c>
      <c r="T506" s="20"/>
      <c r="U506" s="103" t="s">
        <v>1493</v>
      </c>
      <c r="V506" s="103"/>
      <c r="W506" s="104"/>
      <c r="X506" s="104"/>
      <c r="Y506" s="101"/>
      <c r="Z506" s="87"/>
      <c r="AA506" s="105"/>
      <c r="AB506" s="40"/>
      <c r="AC506" s="40"/>
      <c r="AD506" s="106"/>
      <c r="AE506" s="102"/>
      <c r="AF506" s="40"/>
      <c r="AG506" s="40"/>
      <c r="AH506" s="40"/>
      <c r="AI506" s="40"/>
      <c r="AJ506" s="87"/>
      <c r="AK506" s="40"/>
      <c r="AL506" s="40"/>
      <c r="AM506" s="40"/>
      <c r="AN506" s="87"/>
      <c r="AO506" s="87"/>
      <c r="AP506" s="87"/>
      <c r="AQ506" s="87"/>
      <c r="AR506" s="107"/>
      <c r="AS506" s="107"/>
      <c r="AT506" s="102"/>
      <c r="AU506" s="108"/>
      <c r="AV506" s="106"/>
      <c r="AW506" s="129"/>
      <c r="AX506" s="109" t="str">
        <f>IFERROR(IF(PAC!$X506="F01 - CAPTAÇÃO DE RECURSO",1,""),"")</f>
        <v/>
      </c>
      <c r="AY506" s="109" t="str">
        <f>IFERROR(IF(PAC!$X506="F02 - LICITAÇÃO",1,""),"")</f>
        <v/>
      </c>
      <c r="AZ506" s="110" t="str">
        <f>IFERROR(IF(PAC!$X$6:$X$581="F03 - EXECUÇÃO DO OBJETO",1,""),"")</f>
        <v/>
      </c>
      <c r="BA506" s="110" t="str">
        <f>IFERROR(IF(PAC!$X$6:$X$581="F04 - CONCLUÍDA",1,""),"")</f>
        <v/>
      </c>
      <c r="BB506" s="111">
        <f>IF(PAC!$R506&gt;0,0,PAC!$Q506)</f>
        <v>0</v>
      </c>
    </row>
    <row r="507" spans="1:54" s="1" customFormat="1" ht="21" hidden="1" customHeight="1" thickBot="1">
      <c r="A507" s="112">
        <f t="shared" si="8"/>
        <v>502</v>
      </c>
      <c r="B507" s="112"/>
      <c r="C507" s="112"/>
      <c r="D507" s="112"/>
      <c r="E507" s="130"/>
      <c r="F507" s="115"/>
      <c r="G507" s="115"/>
      <c r="H507" s="112"/>
      <c r="I507" s="112"/>
      <c r="J507" s="112"/>
      <c r="K507" s="31"/>
      <c r="L507" s="31"/>
      <c r="M507" s="31"/>
      <c r="N507" s="31"/>
      <c r="O507" s="31"/>
      <c r="P507" s="31"/>
      <c r="Q507" s="33">
        <f>SUM(PAC!$M507:$P507)</f>
        <v>0</v>
      </c>
      <c r="R507" s="33"/>
      <c r="S507" s="33">
        <f>IF(PAC!$R507&gt;0,PAC!$R507,PAC!$Q507)</f>
        <v>0</v>
      </c>
      <c r="T507" s="33"/>
      <c r="U507" s="116" t="s">
        <v>1493</v>
      </c>
      <c r="V507" s="116"/>
      <c r="W507" s="117"/>
      <c r="X507" s="117"/>
      <c r="Y507" s="113"/>
      <c r="Z507" s="118"/>
      <c r="AA507" s="119"/>
      <c r="AB507" s="115"/>
      <c r="AC507" s="115"/>
      <c r="AD507" s="120"/>
      <c r="AE507" s="114"/>
      <c r="AF507" s="115"/>
      <c r="AG507" s="115"/>
      <c r="AH507" s="115"/>
      <c r="AI507" s="115"/>
      <c r="AJ507" s="118"/>
      <c r="AK507" s="115"/>
      <c r="AL507" s="115"/>
      <c r="AM507" s="115"/>
      <c r="AN507" s="118"/>
      <c r="AO507" s="118"/>
      <c r="AP507" s="118"/>
      <c r="AQ507" s="118"/>
      <c r="AR507" s="121"/>
      <c r="AS507" s="121"/>
      <c r="AT507" s="114"/>
      <c r="AU507" s="122"/>
      <c r="AV507" s="120"/>
      <c r="AW507" s="131"/>
      <c r="AX507" s="194" t="str">
        <f>IFERROR(IF(PAC!$X507="F01 - CAPTAÇÃO DE RECURSO",1,""),"")</f>
        <v/>
      </c>
      <c r="AY507" s="194" t="str">
        <f>IFERROR(IF(PAC!$X507="F02 - LICITAÇÃO",1,""),"")</f>
        <v/>
      </c>
      <c r="AZ507" s="123" t="str">
        <f>IFERROR(IF(PAC!$X$6:$X$581="F03 - EXECUÇÃO DO OBJETO",1,""),"")</f>
        <v/>
      </c>
      <c r="BA507" s="123" t="str">
        <f>IFERROR(IF(PAC!$X$6:$X$581="F04 - CONCLUÍDA",1,""),"")</f>
        <v/>
      </c>
      <c r="BB507" s="191">
        <f>IF(PAC!$R507&gt;0,0,PAC!$Q507)</f>
        <v>0</v>
      </c>
    </row>
    <row r="508" spans="1:54" s="1" customFormat="1" ht="21" hidden="1" customHeight="1" thickBot="1">
      <c r="A508" s="88">
        <f t="shared" si="8"/>
        <v>503</v>
      </c>
      <c r="B508" s="88"/>
      <c r="C508" s="88"/>
      <c r="D508" s="88"/>
      <c r="E508" s="89"/>
      <c r="F508" s="40"/>
      <c r="G508" s="40"/>
      <c r="H508" s="88"/>
      <c r="I508" s="88"/>
      <c r="J508" s="88"/>
      <c r="K508" s="18"/>
      <c r="L508" s="18"/>
      <c r="M508" s="18"/>
      <c r="N508" s="18"/>
      <c r="O508" s="18"/>
      <c r="P508" s="18"/>
      <c r="Q508" s="20">
        <f>SUM(PAC!$M508:$P508)</f>
        <v>0</v>
      </c>
      <c r="R508" s="20"/>
      <c r="S508" s="20">
        <f>IF(PAC!$R508&gt;0,PAC!$R508,PAC!$Q508)</f>
        <v>0</v>
      </c>
      <c r="T508" s="20"/>
      <c r="U508" s="103" t="s">
        <v>1493</v>
      </c>
      <c r="V508" s="103"/>
      <c r="W508" s="104"/>
      <c r="X508" s="104"/>
      <c r="Y508" s="101"/>
      <c r="Z508" s="87"/>
      <c r="AA508" s="105"/>
      <c r="AB508" s="40"/>
      <c r="AC508" s="40"/>
      <c r="AD508" s="106"/>
      <c r="AE508" s="102"/>
      <c r="AF508" s="40"/>
      <c r="AG508" s="40"/>
      <c r="AH508" s="40"/>
      <c r="AI508" s="40"/>
      <c r="AJ508" s="87"/>
      <c r="AK508" s="40"/>
      <c r="AL508" s="40"/>
      <c r="AM508" s="40"/>
      <c r="AN508" s="87"/>
      <c r="AO508" s="87"/>
      <c r="AP508" s="87"/>
      <c r="AQ508" s="87"/>
      <c r="AR508" s="107"/>
      <c r="AS508" s="107"/>
      <c r="AT508" s="102"/>
      <c r="AU508" s="108"/>
      <c r="AV508" s="106"/>
      <c r="AW508" s="129"/>
      <c r="AX508" s="109" t="str">
        <f>IFERROR(IF(PAC!$X508="F01 - CAPTAÇÃO DE RECURSO",1,""),"")</f>
        <v/>
      </c>
      <c r="AY508" s="109" t="str">
        <f>IFERROR(IF(PAC!$X508="F02 - LICITAÇÃO",1,""),"")</f>
        <v/>
      </c>
      <c r="AZ508" s="110" t="str">
        <f>IFERROR(IF(PAC!$X$6:$X$581="F03 - EXECUÇÃO DO OBJETO",1,""),"")</f>
        <v/>
      </c>
      <c r="BA508" s="110" t="str">
        <f>IFERROR(IF(PAC!$X$6:$X$581="F04 - CONCLUÍDA",1,""),"")</f>
        <v/>
      </c>
      <c r="BB508" s="111">
        <f>IF(PAC!$R508&gt;0,0,PAC!$Q508)</f>
        <v>0</v>
      </c>
    </row>
    <row r="509" spans="1:54" s="1" customFormat="1" ht="21" hidden="1" customHeight="1" thickBot="1">
      <c r="A509" s="112">
        <f t="shared" si="8"/>
        <v>504</v>
      </c>
      <c r="B509" s="112"/>
      <c r="C509" s="112"/>
      <c r="D509" s="112"/>
      <c r="E509" s="130"/>
      <c r="F509" s="115"/>
      <c r="G509" s="115"/>
      <c r="H509" s="112"/>
      <c r="I509" s="112"/>
      <c r="J509" s="112"/>
      <c r="K509" s="31"/>
      <c r="L509" s="31"/>
      <c r="M509" s="31"/>
      <c r="N509" s="31"/>
      <c r="O509" s="31"/>
      <c r="P509" s="31"/>
      <c r="Q509" s="33">
        <f>SUM(PAC!$M509:$P509)</f>
        <v>0</v>
      </c>
      <c r="R509" s="33"/>
      <c r="S509" s="33">
        <f>IF(PAC!$R509&gt;0,PAC!$R509,PAC!$Q509)</f>
        <v>0</v>
      </c>
      <c r="T509" s="33"/>
      <c r="U509" s="116" t="s">
        <v>1493</v>
      </c>
      <c r="V509" s="116"/>
      <c r="W509" s="117"/>
      <c r="X509" s="117"/>
      <c r="Y509" s="113"/>
      <c r="Z509" s="118"/>
      <c r="AA509" s="119"/>
      <c r="AB509" s="115"/>
      <c r="AC509" s="115"/>
      <c r="AD509" s="120"/>
      <c r="AE509" s="114"/>
      <c r="AF509" s="115"/>
      <c r="AG509" s="115"/>
      <c r="AH509" s="115"/>
      <c r="AI509" s="115"/>
      <c r="AJ509" s="118"/>
      <c r="AK509" s="115"/>
      <c r="AL509" s="115"/>
      <c r="AM509" s="115"/>
      <c r="AN509" s="118"/>
      <c r="AO509" s="118"/>
      <c r="AP509" s="118"/>
      <c r="AQ509" s="118"/>
      <c r="AR509" s="121"/>
      <c r="AS509" s="121"/>
      <c r="AT509" s="114"/>
      <c r="AU509" s="122"/>
      <c r="AV509" s="120"/>
      <c r="AW509" s="131"/>
      <c r="AX509" s="194" t="str">
        <f>IFERROR(IF(PAC!$X509="F01 - CAPTAÇÃO DE RECURSO",1,""),"")</f>
        <v/>
      </c>
      <c r="AY509" s="194" t="str">
        <f>IFERROR(IF(PAC!$X509="F02 - LICITAÇÃO",1,""),"")</f>
        <v/>
      </c>
      <c r="AZ509" s="123" t="str">
        <f>IFERROR(IF(PAC!$X$6:$X$581="F03 - EXECUÇÃO DO OBJETO",1,""),"")</f>
        <v/>
      </c>
      <c r="BA509" s="123" t="str">
        <f>IFERROR(IF(PAC!$X$6:$X$581="F04 - CONCLUÍDA",1,""),"")</f>
        <v/>
      </c>
      <c r="BB509" s="191">
        <f>IF(PAC!$R509&gt;0,0,PAC!$Q509)</f>
        <v>0</v>
      </c>
    </row>
    <row r="510" spans="1:54" s="1" customFormat="1" ht="21" hidden="1" customHeight="1" thickBot="1">
      <c r="A510" s="88">
        <f t="shared" si="8"/>
        <v>505</v>
      </c>
      <c r="B510" s="88"/>
      <c r="C510" s="88"/>
      <c r="D510" s="88"/>
      <c r="E510" s="89"/>
      <c r="F510" s="40"/>
      <c r="G510" s="40"/>
      <c r="H510" s="88"/>
      <c r="I510" s="88"/>
      <c r="J510" s="88"/>
      <c r="K510" s="18"/>
      <c r="L510" s="18"/>
      <c r="M510" s="18"/>
      <c r="N510" s="18"/>
      <c r="O510" s="18"/>
      <c r="P510" s="18"/>
      <c r="Q510" s="20">
        <f>SUM(PAC!$M510:$P510)</f>
        <v>0</v>
      </c>
      <c r="R510" s="20"/>
      <c r="S510" s="20">
        <f>IF(PAC!$R510&gt;0,PAC!$R510,PAC!$Q510)</f>
        <v>0</v>
      </c>
      <c r="T510" s="20"/>
      <c r="U510" s="103" t="s">
        <v>1493</v>
      </c>
      <c r="V510" s="103"/>
      <c r="W510" s="104"/>
      <c r="X510" s="104"/>
      <c r="Y510" s="101"/>
      <c r="Z510" s="87"/>
      <c r="AA510" s="105"/>
      <c r="AB510" s="40"/>
      <c r="AC510" s="40"/>
      <c r="AD510" s="106"/>
      <c r="AE510" s="102"/>
      <c r="AF510" s="40"/>
      <c r="AG510" s="40"/>
      <c r="AH510" s="40"/>
      <c r="AI510" s="40"/>
      <c r="AJ510" s="87"/>
      <c r="AK510" s="40"/>
      <c r="AL510" s="40"/>
      <c r="AM510" s="40"/>
      <c r="AN510" s="87"/>
      <c r="AO510" s="87"/>
      <c r="AP510" s="87"/>
      <c r="AQ510" s="87"/>
      <c r="AR510" s="107"/>
      <c r="AS510" s="107"/>
      <c r="AT510" s="102"/>
      <c r="AU510" s="108"/>
      <c r="AV510" s="106"/>
      <c r="AW510" s="129"/>
      <c r="AX510" s="109" t="str">
        <f>IFERROR(IF(PAC!$X510="F01 - CAPTAÇÃO DE RECURSO",1,""),"")</f>
        <v/>
      </c>
      <c r="AY510" s="109" t="str">
        <f>IFERROR(IF(PAC!$X510="F02 - LICITAÇÃO",1,""),"")</f>
        <v/>
      </c>
      <c r="AZ510" s="110" t="str">
        <f>IFERROR(IF(PAC!$X$6:$X$581="F03 - EXECUÇÃO DO OBJETO",1,""),"")</f>
        <v/>
      </c>
      <c r="BA510" s="110" t="str">
        <f>IFERROR(IF(PAC!$X$6:$X$581="F04 - CONCLUÍDA",1,""),"")</f>
        <v/>
      </c>
      <c r="BB510" s="111">
        <f>IF(PAC!$R510&gt;0,0,PAC!$Q510)</f>
        <v>0</v>
      </c>
    </row>
    <row r="511" spans="1:54" s="1" customFormat="1" ht="21" hidden="1" customHeight="1" thickBot="1">
      <c r="A511" s="112">
        <f t="shared" si="8"/>
        <v>506</v>
      </c>
      <c r="B511" s="112"/>
      <c r="C511" s="112"/>
      <c r="D511" s="112"/>
      <c r="E511" s="130"/>
      <c r="F511" s="115"/>
      <c r="G511" s="115"/>
      <c r="H511" s="112"/>
      <c r="I511" s="112"/>
      <c r="J511" s="112"/>
      <c r="K511" s="31"/>
      <c r="L511" s="31"/>
      <c r="M511" s="31"/>
      <c r="N511" s="31"/>
      <c r="O511" s="31"/>
      <c r="P511" s="31"/>
      <c r="Q511" s="33">
        <f>SUM(PAC!$M511:$P511)</f>
        <v>0</v>
      </c>
      <c r="R511" s="33"/>
      <c r="S511" s="33">
        <f>IF(PAC!$R511&gt;0,PAC!$R511,PAC!$Q511)</f>
        <v>0</v>
      </c>
      <c r="T511" s="33"/>
      <c r="U511" s="116" t="s">
        <v>1493</v>
      </c>
      <c r="V511" s="116"/>
      <c r="W511" s="117"/>
      <c r="X511" s="117"/>
      <c r="Y511" s="113"/>
      <c r="Z511" s="118"/>
      <c r="AA511" s="119"/>
      <c r="AB511" s="115"/>
      <c r="AC511" s="115"/>
      <c r="AD511" s="120"/>
      <c r="AE511" s="114"/>
      <c r="AF511" s="115"/>
      <c r="AG511" s="115"/>
      <c r="AH511" s="115"/>
      <c r="AI511" s="115"/>
      <c r="AJ511" s="118"/>
      <c r="AK511" s="115"/>
      <c r="AL511" s="115"/>
      <c r="AM511" s="115"/>
      <c r="AN511" s="118"/>
      <c r="AO511" s="118"/>
      <c r="AP511" s="118"/>
      <c r="AQ511" s="118"/>
      <c r="AR511" s="121"/>
      <c r="AS511" s="121"/>
      <c r="AT511" s="114"/>
      <c r="AU511" s="122"/>
      <c r="AV511" s="120"/>
      <c r="AW511" s="131"/>
      <c r="AX511" s="194" t="str">
        <f>IFERROR(IF(PAC!$X511="F01 - CAPTAÇÃO DE RECURSO",1,""),"")</f>
        <v/>
      </c>
      <c r="AY511" s="194" t="str">
        <f>IFERROR(IF(PAC!$X511="F02 - LICITAÇÃO",1,""),"")</f>
        <v/>
      </c>
      <c r="AZ511" s="123" t="str">
        <f>IFERROR(IF(PAC!$X$6:$X$581="F03 - EXECUÇÃO DO OBJETO",1,""),"")</f>
        <v/>
      </c>
      <c r="BA511" s="123" t="str">
        <f>IFERROR(IF(PAC!$X$6:$X$581="F04 - CONCLUÍDA",1,""),"")</f>
        <v/>
      </c>
      <c r="BB511" s="191">
        <f>IF(PAC!$R511&gt;0,0,PAC!$Q511)</f>
        <v>0</v>
      </c>
    </row>
    <row r="512" spans="1:54" s="1" customFormat="1" ht="21" hidden="1" customHeight="1" thickBot="1">
      <c r="A512" s="88">
        <f t="shared" si="8"/>
        <v>507</v>
      </c>
      <c r="B512" s="88"/>
      <c r="C512" s="88"/>
      <c r="D512" s="88"/>
      <c r="E512" s="89"/>
      <c r="F512" s="40"/>
      <c r="G512" s="40"/>
      <c r="H512" s="88"/>
      <c r="I512" s="88"/>
      <c r="J512" s="88"/>
      <c r="K512" s="18"/>
      <c r="L512" s="18"/>
      <c r="M512" s="18"/>
      <c r="N512" s="18"/>
      <c r="O512" s="18"/>
      <c r="P512" s="18"/>
      <c r="Q512" s="20">
        <f>SUM(PAC!$M512:$P512)</f>
        <v>0</v>
      </c>
      <c r="R512" s="20"/>
      <c r="S512" s="20">
        <f>IF(PAC!$R512&gt;0,PAC!$R512,PAC!$Q512)</f>
        <v>0</v>
      </c>
      <c r="T512" s="20"/>
      <c r="U512" s="103" t="s">
        <v>1493</v>
      </c>
      <c r="V512" s="103"/>
      <c r="W512" s="104"/>
      <c r="X512" s="104"/>
      <c r="Y512" s="101"/>
      <c r="Z512" s="87"/>
      <c r="AA512" s="105"/>
      <c r="AB512" s="40"/>
      <c r="AC512" s="40"/>
      <c r="AD512" s="106"/>
      <c r="AE512" s="102"/>
      <c r="AF512" s="40"/>
      <c r="AG512" s="40"/>
      <c r="AH512" s="40"/>
      <c r="AI512" s="40"/>
      <c r="AJ512" s="87"/>
      <c r="AK512" s="40"/>
      <c r="AL512" s="40"/>
      <c r="AM512" s="40"/>
      <c r="AN512" s="87"/>
      <c r="AO512" s="87"/>
      <c r="AP512" s="87"/>
      <c r="AQ512" s="87"/>
      <c r="AR512" s="107"/>
      <c r="AS512" s="107"/>
      <c r="AT512" s="102"/>
      <c r="AU512" s="108"/>
      <c r="AV512" s="106"/>
      <c r="AW512" s="129"/>
      <c r="AX512" s="109" t="str">
        <f>IFERROR(IF(PAC!$X512="F01 - CAPTAÇÃO DE RECURSO",1,""),"")</f>
        <v/>
      </c>
      <c r="AY512" s="109" t="str">
        <f>IFERROR(IF(PAC!$X512="F02 - LICITAÇÃO",1,""),"")</f>
        <v/>
      </c>
      <c r="AZ512" s="110" t="str">
        <f>IFERROR(IF(PAC!$X$6:$X$581="F03 - EXECUÇÃO DO OBJETO",1,""),"")</f>
        <v/>
      </c>
      <c r="BA512" s="110" t="str">
        <f>IFERROR(IF(PAC!$X$6:$X$581="F04 - CONCLUÍDA",1,""),"")</f>
        <v/>
      </c>
      <c r="BB512" s="111">
        <f>IF(PAC!$R512&gt;0,0,PAC!$Q512)</f>
        <v>0</v>
      </c>
    </row>
    <row r="513" spans="1:54" s="1" customFormat="1" ht="21" hidden="1" customHeight="1" thickBot="1">
      <c r="A513" s="112">
        <f t="shared" si="8"/>
        <v>508</v>
      </c>
      <c r="B513" s="112"/>
      <c r="C513" s="112"/>
      <c r="D513" s="112"/>
      <c r="E513" s="130"/>
      <c r="F513" s="115"/>
      <c r="G513" s="115"/>
      <c r="H513" s="112"/>
      <c r="I513" s="112"/>
      <c r="J513" s="112"/>
      <c r="K513" s="31"/>
      <c r="L513" s="31"/>
      <c r="M513" s="31"/>
      <c r="N513" s="31"/>
      <c r="O513" s="31"/>
      <c r="P513" s="31"/>
      <c r="Q513" s="33">
        <f>SUM(PAC!$M513:$P513)</f>
        <v>0</v>
      </c>
      <c r="R513" s="33"/>
      <c r="S513" s="33">
        <f>IF(PAC!$R513&gt;0,PAC!$R513,PAC!$Q513)</f>
        <v>0</v>
      </c>
      <c r="T513" s="33"/>
      <c r="U513" s="116" t="s">
        <v>1493</v>
      </c>
      <c r="V513" s="116"/>
      <c r="W513" s="117"/>
      <c r="X513" s="117"/>
      <c r="Y513" s="113"/>
      <c r="Z513" s="118"/>
      <c r="AA513" s="119"/>
      <c r="AB513" s="115"/>
      <c r="AC513" s="115"/>
      <c r="AD513" s="120"/>
      <c r="AE513" s="114"/>
      <c r="AF513" s="115"/>
      <c r="AG513" s="115"/>
      <c r="AH513" s="115"/>
      <c r="AI513" s="115"/>
      <c r="AJ513" s="118"/>
      <c r="AK513" s="115"/>
      <c r="AL513" s="115"/>
      <c r="AM513" s="115"/>
      <c r="AN513" s="118"/>
      <c r="AO513" s="118"/>
      <c r="AP513" s="118"/>
      <c r="AQ513" s="118"/>
      <c r="AR513" s="121"/>
      <c r="AS513" s="121"/>
      <c r="AT513" s="114"/>
      <c r="AU513" s="122"/>
      <c r="AV513" s="120"/>
      <c r="AW513" s="131"/>
      <c r="AX513" s="194" t="str">
        <f>IFERROR(IF(PAC!$X513="F01 - CAPTAÇÃO DE RECURSO",1,""),"")</f>
        <v/>
      </c>
      <c r="AY513" s="194" t="str">
        <f>IFERROR(IF(PAC!$X513="F02 - LICITAÇÃO",1,""),"")</f>
        <v/>
      </c>
      <c r="AZ513" s="123" t="str">
        <f>IFERROR(IF(PAC!$X$6:$X$581="F03 - EXECUÇÃO DO OBJETO",1,""),"")</f>
        <v/>
      </c>
      <c r="BA513" s="123" t="str">
        <f>IFERROR(IF(PAC!$X$6:$X$581="F04 - CONCLUÍDA",1,""),"")</f>
        <v/>
      </c>
      <c r="BB513" s="191">
        <f>IF(PAC!$R513&gt;0,0,PAC!$Q513)</f>
        <v>0</v>
      </c>
    </row>
    <row r="514" spans="1:54" s="1" customFormat="1" ht="21" hidden="1" customHeight="1" thickBot="1">
      <c r="A514" s="88">
        <f t="shared" si="8"/>
        <v>509</v>
      </c>
      <c r="B514" s="88"/>
      <c r="C514" s="88"/>
      <c r="D514" s="88"/>
      <c r="E514" s="89"/>
      <c r="F514" s="40"/>
      <c r="G514" s="40"/>
      <c r="H514" s="88"/>
      <c r="I514" s="88"/>
      <c r="J514" s="88"/>
      <c r="K514" s="18"/>
      <c r="L514" s="18"/>
      <c r="M514" s="18"/>
      <c r="N514" s="18"/>
      <c r="O514" s="18"/>
      <c r="P514" s="18"/>
      <c r="Q514" s="20">
        <f>SUM(PAC!$M514:$P514)</f>
        <v>0</v>
      </c>
      <c r="R514" s="20"/>
      <c r="S514" s="20">
        <f>IF(PAC!$R514&gt;0,PAC!$R514,PAC!$Q514)</f>
        <v>0</v>
      </c>
      <c r="T514" s="20"/>
      <c r="U514" s="103" t="s">
        <v>1493</v>
      </c>
      <c r="V514" s="103"/>
      <c r="W514" s="104"/>
      <c r="X514" s="104"/>
      <c r="Y514" s="101"/>
      <c r="Z514" s="87"/>
      <c r="AA514" s="105"/>
      <c r="AB514" s="40"/>
      <c r="AC514" s="40"/>
      <c r="AD514" s="106"/>
      <c r="AE514" s="102"/>
      <c r="AF514" s="40"/>
      <c r="AG514" s="40"/>
      <c r="AH514" s="40"/>
      <c r="AI514" s="40"/>
      <c r="AJ514" s="87"/>
      <c r="AK514" s="40"/>
      <c r="AL514" s="40"/>
      <c r="AM514" s="40"/>
      <c r="AN514" s="87"/>
      <c r="AO514" s="87"/>
      <c r="AP514" s="87"/>
      <c r="AQ514" s="87"/>
      <c r="AR514" s="107"/>
      <c r="AS514" s="107"/>
      <c r="AT514" s="102"/>
      <c r="AU514" s="108"/>
      <c r="AV514" s="106"/>
      <c r="AW514" s="129"/>
      <c r="AX514" s="109" t="str">
        <f>IFERROR(IF(PAC!$X514="F01 - CAPTAÇÃO DE RECURSO",1,""),"")</f>
        <v/>
      </c>
      <c r="AY514" s="109" t="str">
        <f>IFERROR(IF(PAC!$X514="F02 - LICITAÇÃO",1,""),"")</f>
        <v/>
      </c>
      <c r="AZ514" s="110" t="str">
        <f>IFERROR(IF(PAC!$X$6:$X$581="F03 - EXECUÇÃO DO OBJETO",1,""),"")</f>
        <v/>
      </c>
      <c r="BA514" s="110" t="str">
        <f>IFERROR(IF(PAC!$X$6:$X$581="F04 - CONCLUÍDA",1,""),"")</f>
        <v/>
      </c>
      <c r="BB514" s="111">
        <f>IF(PAC!$R514&gt;0,0,PAC!$Q514)</f>
        <v>0</v>
      </c>
    </row>
    <row r="515" spans="1:54" s="1" customFormat="1" ht="21" hidden="1" customHeight="1" thickBot="1">
      <c r="A515" s="112">
        <f t="shared" si="8"/>
        <v>510</v>
      </c>
      <c r="B515" s="112"/>
      <c r="C515" s="112"/>
      <c r="D515" s="112"/>
      <c r="E515" s="130"/>
      <c r="F515" s="115"/>
      <c r="G515" s="115"/>
      <c r="H515" s="112"/>
      <c r="I515" s="112"/>
      <c r="J515" s="112"/>
      <c r="K515" s="31"/>
      <c r="L515" s="31"/>
      <c r="M515" s="31"/>
      <c r="N515" s="31"/>
      <c r="O515" s="31"/>
      <c r="P515" s="31"/>
      <c r="Q515" s="33">
        <f>SUM(PAC!$M515:$P515)</f>
        <v>0</v>
      </c>
      <c r="R515" s="33"/>
      <c r="S515" s="33">
        <f>IF(PAC!$R515&gt;0,PAC!$R515,PAC!$Q515)</f>
        <v>0</v>
      </c>
      <c r="T515" s="33"/>
      <c r="U515" s="116" t="s">
        <v>1493</v>
      </c>
      <c r="V515" s="116"/>
      <c r="W515" s="117"/>
      <c r="X515" s="117"/>
      <c r="Y515" s="113"/>
      <c r="Z515" s="118"/>
      <c r="AA515" s="119"/>
      <c r="AB515" s="115"/>
      <c r="AC515" s="115"/>
      <c r="AD515" s="120"/>
      <c r="AE515" s="114"/>
      <c r="AF515" s="115"/>
      <c r="AG515" s="115"/>
      <c r="AH515" s="115"/>
      <c r="AI515" s="115"/>
      <c r="AJ515" s="118"/>
      <c r="AK515" s="115"/>
      <c r="AL515" s="115"/>
      <c r="AM515" s="115"/>
      <c r="AN515" s="118"/>
      <c r="AO515" s="118"/>
      <c r="AP515" s="118"/>
      <c r="AQ515" s="118"/>
      <c r="AR515" s="121"/>
      <c r="AS515" s="121"/>
      <c r="AT515" s="114"/>
      <c r="AU515" s="122"/>
      <c r="AV515" s="120"/>
      <c r="AW515" s="131"/>
      <c r="AX515" s="194" t="str">
        <f>IFERROR(IF(PAC!$X515="F01 - CAPTAÇÃO DE RECURSO",1,""),"")</f>
        <v/>
      </c>
      <c r="AY515" s="194" t="str">
        <f>IFERROR(IF(PAC!$X515="F02 - LICITAÇÃO",1,""),"")</f>
        <v/>
      </c>
      <c r="AZ515" s="123" t="str">
        <f>IFERROR(IF(PAC!$X$6:$X$581="F03 - EXECUÇÃO DO OBJETO",1,""),"")</f>
        <v/>
      </c>
      <c r="BA515" s="123" t="str">
        <f>IFERROR(IF(PAC!$X$6:$X$581="F04 - CONCLUÍDA",1,""),"")</f>
        <v/>
      </c>
      <c r="BB515" s="191">
        <f>IF(PAC!$R515&gt;0,0,PAC!$Q515)</f>
        <v>0</v>
      </c>
    </row>
    <row r="516" spans="1:54" s="1" customFormat="1" ht="21" hidden="1" customHeight="1" thickBot="1">
      <c r="A516" s="88">
        <f t="shared" si="8"/>
        <v>511</v>
      </c>
      <c r="B516" s="88"/>
      <c r="C516" s="88"/>
      <c r="D516" s="88"/>
      <c r="E516" s="89"/>
      <c r="F516" s="40"/>
      <c r="G516" s="40"/>
      <c r="H516" s="88"/>
      <c r="I516" s="88"/>
      <c r="J516" s="88"/>
      <c r="K516" s="18"/>
      <c r="L516" s="18"/>
      <c r="M516" s="18"/>
      <c r="N516" s="18"/>
      <c r="O516" s="18"/>
      <c r="P516" s="18"/>
      <c r="Q516" s="20">
        <f>SUM(PAC!$M516:$P516)</f>
        <v>0</v>
      </c>
      <c r="R516" s="20"/>
      <c r="S516" s="20">
        <f>IF(PAC!$R516&gt;0,PAC!$R516,PAC!$Q516)</f>
        <v>0</v>
      </c>
      <c r="T516" s="20"/>
      <c r="U516" s="103" t="s">
        <v>1493</v>
      </c>
      <c r="V516" s="103"/>
      <c r="W516" s="104"/>
      <c r="X516" s="104"/>
      <c r="Y516" s="101"/>
      <c r="Z516" s="87"/>
      <c r="AA516" s="105"/>
      <c r="AB516" s="40"/>
      <c r="AC516" s="40"/>
      <c r="AD516" s="106"/>
      <c r="AE516" s="102"/>
      <c r="AF516" s="40"/>
      <c r="AG516" s="40"/>
      <c r="AH516" s="40"/>
      <c r="AI516" s="40"/>
      <c r="AJ516" s="87"/>
      <c r="AK516" s="40"/>
      <c r="AL516" s="40"/>
      <c r="AM516" s="40"/>
      <c r="AN516" s="87"/>
      <c r="AO516" s="87"/>
      <c r="AP516" s="87"/>
      <c r="AQ516" s="87"/>
      <c r="AR516" s="107"/>
      <c r="AS516" s="107"/>
      <c r="AT516" s="102"/>
      <c r="AU516" s="108"/>
      <c r="AV516" s="106"/>
      <c r="AW516" s="129"/>
      <c r="AX516" s="109" t="str">
        <f>IFERROR(IF(PAC!$X516="F01 - CAPTAÇÃO DE RECURSO",1,""),"")</f>
        <v/>
      </c>
      <c r="AY516" s="109" t="str">
        <f>IFERROR(IF(PAC!$X516="F02 - LICITAÇÃO",1,""),"")</f>
        <v/>
      </c>
      <c r="AZ516" s="110" t="str">
        <f>IFERROR(IF(PAC!$X$6:$X$581="F03 - EXECUÇÃO DO OBJETO",1,""),"")</f>
        <v/>
      </c>
      <c r="BA516" s="110" t="str">
        <f>IFERROR(IF(PAC!$X$6:$X$581="F04 - CONCLUÍDA",1,""),"")</f>
        <v/>
      </c>
      <c r="BB516" s="111">
        <f>IF(PAC!$R516&gt;0,0,PAC!$Q516)</f>
        <v>0</v>
      </c>
    </row>
    <row r="517" spans="1:54" s="1" customFormat="1" ht="21" hidden="1" customHeight="1" thickBot="1">
      <c r="A517" s="112">
        <f t="shared" ref="A517:A580" si="9">ROW()-5</f>
        <v>512</v>
      </c>
      <c r="B517" s="112"/>
      <c r="C517" s="112"/>
      <c r="D517" s="112"/>
      <c r="E517" s="130"/>
      <c r="F517" s="115"/>
      <c r="G517" s="115"/>
      <c r="H517" s="112"/>
      <c r="I517" s="112"/>
      <c r="J517" s="112"/>
      <c r="K517" s="31"/>
      <c r="L517" s="31"/>
      <c r="M517" s="31"/>
      <c r="N517" s="31"/>
      <c r="O517" s="31"/>
      <c r="P517" s="31"/>
      <c r="Q517" s="33">
        <f>SUM(PAC!$M517:$P517)</f>
        <v>0</v>
      </c>
      <c r="R517" s="33"/>
      <c r="S517" s="33">
        <f>IF(PAC!$R517&gt;0,PAC!$R517,PAC!$Q517)</f>
        <v>0</v>
      </c>
      <c r="T517" s="33"/>
      <c r="U517" s="116" t="s">
        <v>1493</v>
      </c>
      <c r="V517" s="116"/>
      <c r="W517" s="117"/>
      <c r="X517" s="117"/>
      <c r="Y517" s="113"/>
      <c r="Z517" s="118"/>
      <c r="AA517" s="119"/>
      <c r="AB517" s="115"/>
      <c r="AC517" s="115"/>
      <c r="AD517" s="120"/>
      <c r="AE517" s="114"/>
      <c r="AF517" s="115"/>
      <c r="AG517" s="115"/>
      <c r="AH517" s="115"/>
      <c r="AI517" s="115"/>
      <c r="AJ517" s="118"/>
      <c r="AK517" s="115"/>
      <c r="AL517" s="115"/>
      <c r="AM517" s="115"/>
      <c r="AN517" s="118"/>
      <c r="AO517" s="118"/>
      <c r="AP517" s="118"/>
      <c r="AQ517" s="118"/>
      <c r="AR517" s="121"/>
      <c r="AS517" s="121"/>
      <c r="AT517" s="114"/>
      <c r="AU517" s="122"/>
      <c r="AV517" s="120"/>
      <c r="AW517" s="131"/>
      <c r="AX517" s="194" t="str">
        <f>IFERROR(IF(PAC!$X517="F01 - CAPTAÇÃO DE RECURSO",1,""),"")</f>
        <v/>
      </c>
      <c r="AY517" s="194" t="str">
        <f>IFERROR(IF(PAC!$X517="F02 - LICITAÇÃO",1,""),"")</f>
        <v/>
      </c>
      <c r="AZ517" s="123" t="str">
        <f>IFERROR(IF(PAC!$X$6:$X$581="F03 - EXECUÇÃO DO OBJETO",1,""),"")</f>
        <v/>
      </c>
      <c r="BA517" s="123" t="str">
        <f>IFERROR(IF(PAC!$X$6:$X$581="F04 - CONCLUÍDA",1,""),"")</f>
        <v/>
      </c>
      <c r="BB517" s="191">
        <f>IF(PAC!$R517&gt;0,0,PAC!$Q517)</f>
        <v>0</v>
      </c>
    </row>
    <row r="518" spans="1:54" s="1" customFormat="1" ht="21" hidden="1" customHeight="1" thickBot="1">
      <c r="A518" s="88">
        <f t="shared" si="9"/>
        <v>513</v>
      </c>
      <c r="B518" s="88"/>
      <c r="C518" s="88"/>
      <c r="D518" s="88"/>
      <c r="E518" s="89"/>
      <c r="F518" s="40"/>
      <c r="G518" s="40"/>
      <c r="H518" s="88"/>
      <c r="I518" s="88"/>
      <c r="J518" s="88"/>
      <c r="K518" s="18"/>
      <c r="L518" s="18"/>
      <c r="M518" s="18"/>
      <c r="N518" s="18"/>
      <c r="O518" s="18"/>
      <c r="P518" s="18"/>
      <c r="Q518" s="20">
        <f>SUM(PAC!$M518:$P518)</f>
        <v>0</v>
      </c>
      <c r="R518" s="20"/>
      <c r="S518" s="20">
        <f>IF(PAC!$R518&gt;0,PAC!$R518,PAC!$Q518)</f>
        <v>0</v>
      </c>
      <c r="T518" s="20"/>
      <c r="U518" s="103" t="s">
        <v>1493</v>
      </c>
      <c r="V518" s="103"/>
      <c r="W518" s="104"/>
      <c r="X518" s="104"/>
      <c r="Y518" s="101"/>
      <c r="Z518" s="87"/>
      <c r="AA518" s="105"/>
      <c r="AB518" s="40"/>
      <c r="AC518" s="40"/>
      <c r="AD518" s="106"/>
      <c r="AE518" s="102"/>
      <c r="AF518" s="40"/>
      <c r="AG518" s="40"/>
      <c r="AH518" s="40"/>
      <c r="AI518" s="40"/>
      <c r="AJ518" s="87"/>
      <c r="AK518" s="40"/>
      <c r="AL518" s="40"/>
      <c r="AM518" s="40"/>
      <c r="AN518" s="87"/>
      <c r="AO518" s="87"/>
      <c r="AP518" s="87"/>
      <c r="AQ518" s="87"/>
      <c r="AR518" s="107"/>
      <c r="AS518" s="107"/>
      <c r="AT518" s="102"/>
      <c r="AU518" s="108"/>
      <c r="AV518" s="106"/>
      <c r="AW518" s="129"/>
      <c r="AX518" s="109" t="str">
        <f>IFERROR(IF(PAC!$X518="F01 - CAPTAÇÃO DE RECURSO",1,""),"")</f>
        <v/>
      </c>
      <c r="AY518" s="109" t="str">
        <f>IFERROR(IF(PAC!$X518="F02 - LICITAÇÃO",1,""),"")</f>
        <v/>
      </c>
      <c r="AZ518" s="110" t="str">
        <f>IFERROR(IF(PAC!$X$6:$X$581="F03 - EXECUÇÃO DO OBJETO",1,""),"")</f>
        <v/>
      </c>
      <c r="BA518" s="110" t="str">
        <f>IFERROR(IF(PAC!$X$6:$X$581="F04 - CONCLUÍDA",1,""),"")</f>
        <v/>
      </c>
      <c r="BB518" s="111">
        <f>IF(PAC!$R518&gt;0,0,PAC!$Q518)</f>
        <v>0</v>
      </c>
    </row>
    <row r="519" spans="1:54" s="1" customFormat="1" ht="21" hidden="1" customHeight="1" thickBot="1">
      <c r="A519" s="112">
        <f t="shared" si="9"/>
        <v>514</v>
      </c>
      <c r="B519" s="112"/>
      <c r="C519" s="112"/>
      <c r="D519" s="112"/>
      <c r="E519" s="130"/>
      <c r="F519" s="115"/>
      <c r="G519" s="115"/>
      <c r="H519" s="112"/>
      <c r="I519" s="112"/>
      <c r="J519" s="112"/>
      <c r="K519" s="31"/>
      <c r="L519" s="31"/>
      <c r="M519" s="31"/>
      <c r="N519" s="31"/>
      <c r="O519" s="31"/>
      <c r="P519" s="31"/>
      <c r="Q519" s="33">
        <f>SUM(PAC!$M519:$P519)</f>
        <v>0</v>
      </c>
      <c r="R519" s="33"/>
      <c r="S519" s="33">
        <f>IF(PAC!$R519&gt;0,PAC!$R519,PAC!$Q519)</f>
        <v>0</v>
      </c>
      <c r="T519" s="33"/>
      <c r="U519" s="116" t="s">
        <v>1493</v>
      </c>
      <c r="V519" s="116"/>
      <c r="W519" s="117"/>
      <c r="X519" s="117"/>
      <c r="Y519" s="113"/>
      <c r="Z519" s="118"/>
      <c r="AA519" s="119"/>
      <c r="AB519" s="115"/>
      <c r="AC519" s="115"/>
      <c r="AD519" s="120"/>
      <c r="AE519" s="114"/>
      <c r="AF519" s="115"/>
      <c r="AG519" s="115"/>
      <c r="AH519" s="115"/>
      <c r="AI519" s="115"/>
      <c r="AJ519" s="118"/>
      <c r="AK519" s="115"/>
      <c r="AL519" s="115"/>
      <c r="AM519" s="115"/>
      <c r="AN519" s="118"/>
      <c r="AO519" s="118"/>
      <c r="AP519" s="118"/>
      <c r="AQ519" s="118"/>
      <c r="AR519" s="121"/>
      <c r="AS519" s="121"/>
      <c r="AT519" s="114"/>
      <c r="AU519" s="122"/>
      <c r="AV519" s="120"/>
      <c r="AW519" s="131"/>
      <c r="AX519" s="194" t="str">
        <f>IFERROR(IF(PAC!$X519="F01 - CAPTAÇÃO DE RECURSO",1,""),"")</f>
        <v/>
      </c>
      <c r="AY519" s="194" t="str">
        <f>IFERROR(IF(PAC!$X519="F02 - LICITAÇÃO",1,""),"")</f>
        <v/>
      </c>
      <c r="AZ519" s="123" t="str">
        <f>IFERROR(IF(PAC!$X$6:$X$581="F03 - EXECUÇÃO DO OBJETO",1,""),"")</f>
        <v/>
      </c>
      <c r="BA519" s="123" t="str">
        <f>IFERROR(IF(PAC!$X$6:$X$581="F04 - CONCLUÍDA",1,""),"")</f>
        <v/>
      </c>
      <c r="BB519" s="191">
        <f>IF(PAC!$R519&gt;0,0,PAC!$Q519)</f>
        <v>0</v>
      </c>
    </row>
    <row r="520" spans="1:54" s="1" customFormat="1" ht="21" hidden="1" customHeight="1" thickBot="1">
      <c r="A520" s="88">
        <f t="shared" si="9"/>
        <v>515</v>
      </c>
      <c r="B520" s="88"/>
      <c r="C520" s="88"/>
      <c r="D520" s="88"/>
      <c r="E520" s="89"/>
      <c r="F520" s="40"/>
      <c r="G520" s="40"/>
      <c r="H520" s="88"/>
      <c r="I520" s="88"/>
      <c r="J520" s="88"/>
      <c r="K520" s="18"/>
      <c r="L520" s="18"/>
      <c r="M520" s="18"/>
      <c r="N520" s="18"/>
      <c r="O520" s="18"/>
      <c r="P520" s="18"/>
      <c r="Q520" s="20">
        <f>SUM(PAC!$M520:$P520)</f>
        <v>0</v>
      </c>
      <c r="R520" s="20"/>
      <c r="S520" s="20">
        <f>IF(PAC!$R520&gt;0,PAC!$R520,PAC!$Q520)</f>
        <v>0</v>
      </c>
      <c r="T520" s="20"/>
      <c r="U520" s="103" t="s">
        <v>1493</v>
      </c>
      <c r="V520" s="103"/>
      <c r="W520" s="104"/>
      <c r="X520" s="104"/>
      <c r="Y520" s="101"/>
      <c r="Z520" s="87"/>
      <c r="AA520" s="105"/>
      <c r="AB520" s="40"/>
      <c r="AC520" s="40"/>
      <c r="AD520" s="106"/>
      <c r="AE520" s="102"/>
      <c r="AF520" s="40"/>
      <c r="AG520" s="40"/>
      <c r="AH520" s="40"/>
      <c r="AI520" s="40"/>
      <c r="AJ520" s="87"/>
      <c r="AK520" s="40"/>
      <c r="AL520" s="40"/>
      <c r="AM520" s="40"/>
      <c r="AN520" s="87"/>
      <c r="AO520" s="87"/>
      <c r="AP520" s="87"/>
      <c r="AQ520" s="87"/>
      <c r="AR520" s="107"/>
      <c r="AS520" s="107"/>
      <c r="AT520" s="102"/>
      <c r="AU520" s="108"/>
      <c r="AV520" s="106"/>
      <c r="AW520" s="129"/>
      <c r="AX520" s="109" t="str">
        <f>IFERROR(IF(PAC!$X520="F01 - CAPTAÇÃO DE RECURSO",1,""),"")</f>
        <v/>
      </c>
      <c r="AY520" s="109" t="str">
        <f>IFERROR(IF(PAC!$X520="F02 - LICITAÇÃO",1,""),"")</f>
        <v/>
      </c>
      <c r="AZ520" s="110" t="str">
        <f>IFERROR(IF(PAC!$X$6:$X$581="F03 - EXECUÇÃO DO OBJETO",1,""),"")</f>
        <v/>
      </c>
      <c r="BA520" s="110" t="str">
        <f>IFERROR(IF(PAC!$X$6:$X$581="F04 - CONCLUÍDA",1,""),"")</f>
        <v/>
      </c>
      <c r="BB520" s="111">
        <f>IF(PAC!$R520&gt;0,0,PAC!$Q520)</f>
        <v>0</v>
      </c>
    </row>
    <row r="521" spans="1:54" s="1" customFormat="1" ht="21" hidden="1" customHeight="1" thickBot="1">
      <c r="A521" s="112">
        <f t="shared" si="9"/>
        <v>516</v>
      </c>
      <c r="B521" s="112"/>
      <c r="C521" s="112"/>
      <c r="D521" s="112"/>
      <c r="E521" s="130"/>
      <c r="F521" s="115"/>
      <c r="G521" s="115"/>
      <c r="H521" s="112"/>
      <c r="I521" s="112"/>
      <c r="J521" s="112"/>
      <c r="K521" s="31"/>
      <c r="L521" s="31"/>
      <c r="M521" s="31"/>
      <c r="N521" s="31"/>
      <c r="O521" s="31"/>
      <c r="P521" s="31"/>
      <c r="Q521" s="33">
        <f>SUM(PAC!$M521:$P521)</f>
        <v>0</v>
      </c>
      <c r="R521" s="33"/>
      <c r="S521" s="33">
        <f>IF(PAC!$R521&gt;0,PAC!$R521,PAC!$Q521)</f>
        <v>0</v>
      </c>
      <c r="T521" s="33"/>
      <c r="U521" s="116" t="s">
        <v>1493</v>
      </c>
      <c r="V521" s="116"/>
      <c r="W521" s="117"/>
      <c r="X521" s="117"/>
      <c r="Y521" s="113"/>
      <c r="Z521" s="118"/>
      <c r="AA521" s="119"/>
      <c r="AB521" s="115"/>
      <c r="AC521" s="115"/>
      <c r="AD521" s="120"/>
      <c r="AE521" s="114"/>
      <c r="AF521" s="115"/>
      <c r="AG521" s="115"/>
      <c r="AH521" s="115"/>
      <c r="AI521" s="115"/>
      <c r="AJ521" s="118"/>
      <c r="AK521" s="115"/>
      <c r="AL521" s="115"/>
      <c r="AM521" s="115"/>
      <c r="AN521" s="118"/>
      <c r="AO521" s="118"/>
      <c r="AP521" s="118"/>
      <c r="AQ521" s="118"/>
      <c r="AR521" s="121"/>
      <c r="AS521" s="121"/>
      <c r="AT521" s="114"/>
      <c r="AU521" s="122"/>
      <c r="AV521" s="120"/>
      <c r="AW521" s="131"/>
      <c r="AX521" s="194" t="str">
        <f>IFERROR(IF(PAC!$X521="F01 - CAPTAÇÃO DE RECURSO",1,""),"")</f>
        <v/>
      </c>
      <c r="AY521" s="194" t="str">
        <f>IFERROR(IF(PAC!$X521="F02 - LICITAÇÃO",1,""),"")</f>
        <v/>
      </c>
      <c r="AZ521" s="123" t="str">
        <f>IFERROR(IF(PAC!$X$6:$X$581="F03 - EXECUÇÃO DO OBJETO",1,""),"")</f>
        <v/>
      </c>
      <c r="BA521" s="123" t="str">
        <f>IFERROR(IF(PAC!$X$6:$X$581="F04 - CONCLUÍDA",1,""),"")</f>
        <v/>
      </c>
      <c r="BB521" s="191">
        <f>IF(PAC!$R521&gt;0,0,PAC!$Q521)</f>
        <v>0</v>
      </c>
    </row>
    <row r="522" spans="1:54" s="1" customFormat="1" ht="21" hidden="1" customHeight="1" thickBot="1">
      <c r="A522" s="88">
        <f t="shared" si="9"/>
        <v>517</v>
      </c>
      <c r="B522" s="88"/>
      <c r="C522" s="88"/>
      <c r="D522" s="88"/>
      <c r="E522" s="89"/>
      <c r="F522" s="40"/>
      <c r="G522" s="40"/>
      <c r="H522" s="88"/>
      <c r="I522" s="88"/>
      <c r="J522" s="88"/>
      <c r="K522" s="18"/>
      <c r="L522" s="18"/>
      <c r="M522" s="18"/>
      <c r="N522" s="18"/>
      <c r="O522" s="18"/>
      <c r="P522" s="18"/>
      <c r="Q522" s="20">
        <f>SUM(PAC!$M522:$P522)</f>
        <v>0</v>
      </c>
      <c r="R522" s="20"/>
      <c r="S522" s="20">
        <f>IF(PAC!$R522&gt;0,PAC!$R522,PAC!$Q522)</f>
        <v>0</v>
      </c>
      <c r="T522" s="20"/>
      <c r="U522" s="103" t="s">
        <v>1493</v>
      </c>
      <c r="V522" s="103"/>
      <c r="W522" s="104"/>
      <c r="X522" s="104"/>
      <c r="Y522" s="101"/>
      <c r="Z522" s="87"/>
      <c r="AA522" s="105"/>
      <c r="AB522" s="40"/>
      <c r="AC522" s="40"/>
      <c r="AD522" s="106"/>
      <c r="AE522" s="102"/>
      <c r="AF522" s="40"/>
      <c r="AG522" s="40"/>
      <c r="AH522" s="40"/>
      <c r="AI522" s="40"/>
      <c r="AJ522" s="87"/>
      <c r="AK522" s="40"/>
      <c r="AL522" s="40"/>
      <c r="AM522" s="40"/>
      <c r="AN522" s="87"/>
      <c r="AO522" s="87"/>
      <c r="AP522" s="87"/>
      <c r="AQ522" s="87"/>
      <c r="AR522" s="107"/>
      <c r="AS522" s="107"/>
      <c r="AT522" s="102"/>
      <c r="AU522" s="108"/>
      <c r="AV522" s="106"/>
      <c r="AW522" s="129"/>
      <c r="AX522" s="109" t="str">
        <f>IFERROR(IF(PAC!$X522="F01 - CAPTAÇÃO DE RECURSO",1,""),"")</f>
        <v/>
      </c>
      <c r="AY522" s="109" t="str">
        <f>IFERROR(IF(PAC!$X522="F02 - LICITAÇÃO",1,""),"")</f>
        <v/>
      </c>
      <c r="AZ522" s="110" t="str">
        <f>IFERROR(IF(PAC!$X$6:$X$581="F03 - EXECUÇÃO DO OBJETO",1,""),"")</f>
        <v/>
      </c>
      <c r="BA522" s="110" t="str">
        <f>IFERROR(IF(PAC!$X$6:$X$581="F04 - CONCLUÍDA",1,""),"")</f>
        <v/>
      </c>
      <c r="BB522" s="111">
        <f>IF(PAC!$R522&gt;0,0,PAC!$Q522)</f>
        <v>0</v>
      </c>
    </row>
    <row r="523" spans="1:54" s="1" customFormat="1" ht="21" hidden="1" customHeight="1" thickBot="1">
      <c r="A523" s="112">
        <f t="shared" si="9"/>
        <v>518</v>
      </c>
      <c r="B523" s="112"/>
      <c r="C523" s="112"/>
      <c r="D523" s="112"/>
      <c r="E523" s="130"/>
      <c r="F523" s="115"/>
      <c r="G523" s="115"/>
      <c r="H523" s="112"/>
      <c r="I523" s="112"/>
      <c r="J523" s="112"/>
      <c r="K523" s="31"/>
      <c r="L523" s="31"/>
      <c r="M523" s="31"/>
      <c r="N523" s="31"/>
      <c r="O523" s="31"/>
      <c r="P523" s="31"/>
      <c r="Q523" s="33">
        <f>SUM(PAC!$M523:$P523)</f>
        <v>0</v>
      </c>
      <c r="R523" s="33"/>
      <c r="S523" s="33">
        <f>IF(PAC!$R523&gt;0,PAC!$R523,PAC!$Q523)</f>
        <v>0</v>
      </c>
      <c r="T523" s="33"/>
      <c r="U523" s="116" t="s">
        <v>1493</v>
      </c>
      <c r="V523" s="116"/>
      <c r="W523" s="117"/>
      <c r="X523" s="117"/>
      <c r="Y523" s="113"/>
      <c r="Z523" s="118"/>
      <c r="AA523" s="119"/>
      <c r="AB523" s="115"/>
      <c r="AC523" s="115"/>
      <c r="AD523" s="120"/>
      <c r="AE523" s="114"/>
      <c r="AF523" s="115"/>
      <c r="AG523" s="115"/>
      <c r="AH523" s="115"/>
      <c r="AI523" s="115"/>
      <c r="AJ523" s="118"/>
      <c r="AK523" s="115"/>
      <c r="AL523" s="115"/>
      <c r="AM523" s="115"/>
      <c r="AN523" s="118"/>
      <c r="AO523" s="118"/>
      <c r="AP523" s="118"/>
      <c r="AQ523" s="118"/>
      <c r="AR523" s="121"/>
      <c r="AS523" s="121"/>
      <c r="AT523" s="114"/>
      <c r="AU523" s="122"/>
      <c r="AV523" s="120"/>
      <c r="AW523" s="131"/>
      <c r="AX523" s="194" t="str">
        <f>IFERROR(IF(PAC!$X523="F01 - CAPTAÇÃO DE RECURSO",1,""),"")</f>
        <v/>
      </c>
      <c r="AY523" s="194" t="str">
        <f>IFERROR(IF(PAC!$X523="F02 - LICITAÇÃO",1,""),"")</f>
        <v/>
      </c>
      <c r="AZ523" s="123" t="str">
        <f>IFERROR(IF(PAC!$X$6:$X$581="F03 - EXECUÇÃO DO OBJETO",1,""),"")</f>
        <v/>
      </c>
      <c r="BA523" s="123" t="str">
        <f>IFERROR(IF(PAC!$X$6:$X$581="F04 - CONCLUÍDA",1,""),"")</f>
        <v/>
      </c>
      <c r="BB523" s="191">
        <f>IF(PAC!$R523&gt;0,0,PAC!$Q523)</f>
        <v>0</v>
      </c>
    </row>
    <row r="524" spans="1:54" s="1" customFormat="1" ht="21" hidden="1" customHeight="1" thickBot="1">
      <c r="A524" s="88">
        <f t="shared" si="9"/>
        <v>519</v>
      </c>
      <c r="B524" s="88"/>
      <c r="C524" s="88"/>
      <c r="D524" s="88"/>
      <c r="E524" s="89"/>
      <c r="F524" s="40"/>
      <c r="G524" s="40"/>
      <c r="H524" s="88"/>
      <c r="I524" s="88"/>
      <c r="J524" s="88"/>
      <c r="K524" s="18"/>
      <c r="L524" s="18"/>
      <c r="M524" s="18"/>
      <c r="N524" s="18"/>
      <c r="O524" s="18"/>
      <c r="P524" s="18"/>
      <c r="Q524" s="20">
        <f>SUM(PAC!$M524:$P524)</f>
        <v>0</v>
      </c>
      <c r="R524" s="20"/>
      <c r="S524" s="20">
        <f>IF(PAC!$R524&gt;0,PAC!$R524,PAC!$Q524)</f>
        <v>0</v>
      </c>
      <c r="T524" s="20"/>
      <c r="U524" s="103" t="s">
        <v>1493</v>
      </c>
      <c r="V524" s="103"/>
      <c r="W524" s="104"/>
      <c r="X524" s="104"/>
      <c r="Y524" s="101"/>
      <c r="Z524" s="87"/>
      <c r="AA524" s="105"/>
      <c r="AB524" s="40"/>
      <c r="AC524" s="40"/>
      <c r="AD524" s="106"/>
      <c r="AE524" s="102"/>
      <c r="AF524" s="40"/>
      <c r="AG524" s="40"/>
      <c r="AH524" s="40"/>
      <c r="AI524" s="40"/>
      <c r="AJ524" s="87"/>
      <c r="AK524" s="40"/>
      <c r="AL524" s="40"/>
      <c r="AM524" s="40"/>
      <c r="AN524" s="87"/>
      <c r="AO524" s="87"/>
      <c r="AP524" s="87"/>
      <c r="AQ524" s="87"/>
      <c r="AR524" s="107"/>
      <c r="AS524" s="107"/>
      <c r="AT524" s="102"/>
      <c r="AU524" s="108"/>
      <c r="AV524" s="106"/>
      <c r="AW524" s="129"/>
      <c r="AX524" s="109" t="str">
        <f>IFERROR(IF(PAC!$X524="F01 - CAPTAÇÃO DE RECURSO",1,""),"")</f>
        <v/>
      </c>
      <c r="AY524" s="109" t="str">
        <f>IFERROR(IF(PAC!$X524="F02 - LICITAÇÃO",1,""),"")</f>
        <v/>
      </c>
      <c r="AZ524" s="110" t="str">
        <f>IFERROR(IF(PAC!$X$6:$X$581="F03 - EXECUÇÃO DO OBJETO",1,""),"")</f>
        <v/>
      </c>
      <c r="BA524" s="110" t="str">
        <f>IFERROR(IF(PAC!$X$6:$X$581="F04 - CONCLUÍDA",1,""),"")</f>
        <v/>
      </c>
      <c r="BB524" s="111">
        <f>IF(PAC!$R524&gt;0,0,PAC!$Q524)</f>
        <v>0</v>
      </c>
    </row>
    <row r="525" spans="1:54" s="1" customFormat="1" ht="21" hidden="1" customHeight="1" thickBot="1">
      <c r="A525" s="112">
        <f t="shared" si="9"/>
        <v>520</v>
      </c>
      <c r="B525" s="112"/>
      <c r="C525" s="112"/>
      <c r="D525" s="112"/>
      <c r="E525" s="130"/>
      <c r="F525" s="115"/>
      <c r="G525" s="115"/>
      <c r="H525" s="112"/>
      <c r="I525" s="112"/>
      <c r="J525" s="112"/>
      <c r="K525" s="31"/>
      <c r="L525" s="31"/>
      <c r="M525" s="31"/>
      <c r="N525" s="31"/>
      <c r="O525" s="31"/>
      <c r="P525" s="31"/>
      <c r="Q525" s="33">
        <f>SUM(PAC!$M525:$P525)</f>
        <v>0</v>
      </c>
      <c r="R525" s="33"/>
      <c r="S525" s="33">
        <f>IF(PAC!$R525&gt;0,PAC!$R525,PAC!$Q525)</f>
        <v>0</v>
      </c>
      <c r="T525" s="33"/>
      <c r="U525" s="116" t="s">
        <v>1493</v>
      </c>
      <c r="V525" s="116"/>
      <c r="W525" s="117"/>
      <c r="X525" s="117"/>
      <c r="Y525" s="113"/>
      <c r="Z525" s="118"/>
      <c r="AA525" s="119"/>
      <c r="AB525" s="115"/>
      <c r="AC525" s="115"/>
      <c r="AD525" s="120"/>
      <c r="AE525" s="114"/>
      <c r="AF525" s="115"/>
      <c r="AG525" s="115"/>
      <c r="AH525" s="115"/>
      <c r="AI525" s="115"/>
      <c r="AJ525" s="118"/>
      <c r="AK525" s="115"/>
      <c r="AL525" s="115"/>
      <c r="AM525" s="115"/>
      <c r="AN525" s="118"/>
      <c r="AO525" s="118"/>
      <c r="AP525" s="118"/>
      <c r="AQ525" s="118"/>
      <c r="AR525" s="121"/>
      <c r="AS525" s="121"/>
      <c r="AT525" s="114"/>
      <c r="AU525" s="122"/>
      <c r="AV525" s="120"/>
      <c r="AW525" s="131"/>
      <c r="AX525" s="194" t="str">
        <f>IFERROR(IF(PAC!$X525="F01 - CAPTAÇÃO DE RECURSO",1,""),"")</f>
        <v/>
      </c>
      <c r="AY525" s="194" t="str">
        <f>IFERROR(IF(PAC!$X525="F02 - LICITAÇÃO",1,""),"")</f>
        <v/>
      </c>
      <c r="AZ525" s="123" t="str">
        <f>IFERROR(IF(PAC!$X$6:$X$581="F03 - EXECUÇÃO DO OBJETO",1,""),"")</f>
        <v/>
      </c>
      <c r="BA525" s="123" t="str">
        <f>IFERROR(IF(PAC!$X$6:$X$581="F04 - CONCLUÍDA",1,""),"")</f>
        <v/>
      </c>
      <c r="BB525" s="191">
        <f>IF(PAC!$R525&gt;0,0,PAC!$Q525)</f>
        <v>0</v>
      </c>
    </row>
    <row r="526" spans="1:54" s="1" customFormat="1" ht="21" hidden="1" customHeight="1" thickBot="1">
      <c r="A526" s="88">
        <f t="shared" si="9"/>
        <v>521</v>
      </c>
      <c r="B526" s="88"/>
      <c r="C526" s="88"/>
      <c r="D526" s="88"/>
      <c r="E526" s="89"/>
      <c r="F526" s="40"/>
      <c r="G526" s="40"/>
      <c r="H526" s="88"/>
      <c r="I526" s="88"/>
      <c r="J526" s="88"/>
      <c r="K526" s="18"/>
      <c r="L526" s="18"/>
      <c r="M526" s="18"/>
      <c r="N526" s="18"/>
      <c r="O526" s="18"/>
      <c r="P526" s="18"/>
      <c r="Q526" s="20">
        <f>SUM(PAC!$M526:$P526)</f>
        <v>0</v>
      </c>
      <c r="R526" s="20"/>
      <c r="S526" s="20">
        <f>IF(PAC!$R526&gt;0,PAC!$R526,PAC!$Q526)</f>
        <v>0</v>
      </c>
      <c r="T526" s="20"/>
      <c r="U526" s="103" t="s">
        <v>1493</v>
      </c>
      <c r="V526" s="103"/>
      <c r="W526" s="104"/>
      <c r="X526" s="104"/>
      <c r="Y526" s="101"/>
      <c r="Z526" s="87"/>
      <c r="AA526" s="105"/>
      <c r="AB526" s="40"/>
      <c r="AC526" s="40"/>
      <c r="AD526" s="106"/>
      <c r="AE526" s="102"/>
      <c r="AF526" s="40"/>
      <c r="AG526" s="40"/>
      <c r="AH526" s="40"/>
      <c r="AI526" s="40"/>
      <c r="AJ526" s="87"/>
      <c r="AK526" s="40"/>
      <c r="AL526" s="40"/>
      <c r="AM526" s="40"/>
      <c r="AN526" s="87"/>
      <c r="AO526" s="87"/>
      <c r="AP526" s="87"/>
      <c r="AQ526" s="87"/>
      <c r="AR526" s="107"/>
      <c r="AS526" s="107"/>
      <c r="AT526" s="102"/>
      <c r="AU526" s="108"/>
      <c r="AV526" s="106"/>
      <c r="AW526" s="129"/>
      <c r="AX526" s="109" t="str">
        <f>IFERROR(IF(PAC!$X526="F01 - CAPTAÇÃO DE RECURSO",1,""),"")</f>
        <v/>
      </c>
      <c r="AY526" s="109" t="str">
        <f>IFERROR(IF(PAC!$X526="F02 - LICITAÇÃO",1,""),"")</f>
        <v/>
      </c>
      <c r="AZ526" s="110" t="str">
        <f>IFERROR(IF(PAC!$X$6:$X$581="F03 - EXECUÇÃO DO OBJETO",1,""),"")</f>
        <v/>
      </c>
      <c r="BA526" s="110" t="str">
        <f>IFERROR(IF(PAC!$X$6:$X$581="F04 - CONCLUÍDA",1,""),"")</f>
        <v/>
      </c>
      <c r="BB526" s="111">
        <f>IF(PAC!$R526&gt;0,0,PAC!$Q526)</f>
        <v>0</v>
      </c>
    </row>
    <row r="527" spans="1:54" s="1" customFormat="1" ht="21" hidden="1" customHeight="1" thickBot="1">
      <c r="A527" s="112">
        <f t="shared" si="9"/>
        <v>522</v>
      </c>
      <c r="B527" s="112"/>
      <c r="C527" s="112"/>
      <c r="D527" s="112"/>
      <c r="E527" s="130"/>
      <c r="F527" s="115"/>
      <c r="G527" s="115"/>
      <c r="H527" s="112"/>
      <c r="I527" s="112"/>
      <c r="J527" s="112"/>
      <c r="K527" s="31"/>
      <c r="L527" s="31"/>
      <c r="M527" s="31"/>
      <c r="N527" s="31"/>
      <c r="O527" s="31"/>
      <c r="P527" s="31"/>
      <c r="Q527" s="33">
        <f>SUM(PAC!$M527:$P527)</f>
        <v>0</v>
      </c>
      <c r="R527" s="33"/>
      <c r="S527" s="33">
        <f>IF(PAC!$R527&gt;0,PAC!$R527,PAC!$Q527)</f>
        <v>0</v>
      </c>
      <c r="T527" s="33"/>
      <c r="U527" s="116" t="s">
        <v>1493</v>
      </c>
      <c r="V527" s="116"/>
      <c r="W527" s="117"/>
      <c r="X527" s="117"/>
      <c r="Y527" s="113"/>
      <c r="Z527" s="118"/>
      <c r="AA527" s="119"/>
      <c r="AB527" s="115"/>
      <c r="AC527" s="115"/>
      <c r="AD527" s="120"/>
      <c r="AE527" s="114"/>
      <c r="AF527" s="115"/>
      <c r="AG527" s="115"/>
      <c r="AH527" s="115"/>
      <c r="AI527" s="115"/>
      <c r="AJ527" s="118"/>
      <c r="AK527" s="115"/>
      <c r="AL527" s="115"/>
      <c r="AM527" s="115"/>
      <c r="AN527" s="118"/>
      <c r="AO527" s="118"/>
      <c r="AP527" s="118"/>
      <c r="AQ527" s="118"/>
      <c r="AR527" s="121"/>
      <c r="AS527" s="121"/>
      <c r="AT527" s="114"/>
      <c r="AU527" s="122"/>
      <c r="AV527" s="120"/>
      <c r="AW527" s="131"/>
      <c r="AX527" s="194" t="str">
        <f>IFERROR(IF(PAC!$X527="F01 - CAPTAÇÃO DE RECURSO",1,""),"")</f>
        <v/>
      </c>
      <c r="AY527" s="194" t="str">
        <f>IFERROR(IF(PAC!$X527="F02 - LICITAÇÃO",1,""),"")</f>
        <v/>
      </c>
      <c r="AZ527" s="123" t="str">
        <f>IFERROR(IF(PAC!$X$6:$X$581="F03 - EXECUÇÃO DO OBJETO",1,""),"")</f>
        <v/>
      </c>
      <c r="BA527" s="123" t="str">
        <f>IFERROR(IF(PAC!$X$6:$X$581="F04 - CONCLUÍDA",1,""),"")</f>
        <v/>
      </c>
      <c r="BB527" s="191">
        <f>IF(PAC!$R527&gt;0,0,PAC!$Q527)</f>
        <v>0</v>
      </c>
    </row>
    <row r="528" spans="1:54" s="1" customFormat="1" ht="21" hidden="1" customHeight="1" thickBot="1">
      <c r="A528" s="88">
        <f t="shared" si="9"/>
        <v>523</v>
      </c>
      <c r="B528" s="88"/>
      <c r="C528" s="88"/>
      <c r="D528" s="88"/>
      <c r="E528" s="89"/>
      <c r="F528" s="40"/>
      <c r="G528" s="40"/>
      <c r="H528" s="88"/>
      <c r="I528" s="88"/>
      <c r="J528" s="88"/>
      <c r="K528" s="18"/>
      <c r="L528" s="18"/>
      <c r="M528" s="18"/>
      <c r="N528" s="18"/>
      <c r="O528" s="18"/>
      <c r="P528" s="18"/>
      <c r="Q528" s="20">
        <f>SUM(PAC!$M528:$P528)</f>
        <v>0</v>
      </c>
      <c r="R528" s="20"/>
      <c r="S528" s="20">
        <f>IF(PAC!$R528&gt;0,PAC!$R528,PAC!$Q528)</f>
        <v>0</v>
      </c>
      <c r="T528" s="20"/>
      <c r="U528" s="103" t="s">
        <v>1493</v>
      </c>
      <c r="V528" s="103"/>
      <c r="W528" s="104"/>
      <c r="X528" s="104"/>
      <c r="Y528" s="101"/>
      <c r="Z528" s="87"/>
      <c r="AA528" s="105"/>
      <c r="AB528" s="40"/>
      <c r="AC528" s="40"/>
      <c r="AD528" s="106"/>
      <c r="AE528" s="102"/>
      <c r="AF528" s="40"/>
      <c r="AG528" s="40"/>
      <c r="AH528" s="40"/>
      <c r="AI528" s="40"/>
      <c r="AJ528" s="87"/>
      <c r="AK528" s="40"/>
      <c r="AL528" s="40"/>
      <c r="AM528" s="40"/>
      <c r="AN528" s="87"/>
      <c r="AO528" s="87"/>
      <c r="AP528" s="87"/>
      <c r="AQ528" s="87"/>
      <c r="AR528" s="107"/>
      <c r="AS528" s="107"/>
      <c r="AT528" s="102"/>
      <c r="AU528" s="108"/>
      <c r="AV528" s="106"/>
      <c r="AW528" s="129"/>
      <c r="AX528" s="109" t="str">
        <f>IFERROR(IF(PAC!$X528="F01 - CAPTAÇÃO DE RECURSO",1,""),"")</f>
        <v/>
      </c>
      <c r="AY528" s="109" t="str">
        <f>IFERROR(IF(PAC!$X528="F02 - LICITAÇÃO",1,""),"")</f>
        <v/>
      </c>
      <c r="AZ528" s="110" t="str">
        <f>IFERROR(IF(PAC!$X$6:$X$581="F03 - EXECUÇÃO DO OBJETO",1,""),"")</f>
        <v/>
      </c>
      <c r="BA528" s="110" t="str">
        <f>IFERROR(IF(PAC!$X$6:$X$581="F04 - CONCLUÍDA",1,""),"")</f>
        <v/>
      </c>
      <c r="BB528" s="111">
        <f>IF(PAC!$R528&gt;0,0,PAC!$Q528)</f>
        <v>0</v>
      </c>
    </row>
    <row r="529" spans="1:54" s="1" customFormat="1" ht="21" hidden="1" customHeight="1" thickBot="1">
      <c r="A529" s="112">
        <f t="shared" si="9"/>
        <v>524</v>
      </c>
      <c r="B529" s="112"/>
      <c r="C529" s="112"/>
      <c r="D529" s="112"/>
      <c r="E529" s="130"/>
      <c r="F529" s="115"/>
      <c r="G529" s="115"/>
      <c r="H529" s="112"/>
      <c r="I529" s="112"/>
      <c r="J529" s="112"/>
      <c r="K529" s="31"/>
      <c r="L529" s="31"/>
      <c r="M529" s="31"/>
      <c r="N529" s="31"/>
      <c r="O529" s="31"/>
      <c r="P529" s="31"/>
      <c r="Q529" s="33">
        <f>SUM(PAC!$M529:$P529)</f>
        <v>0</v>
      </c>
      <c r="R529" s="33"/>
      <c r="S529" s="33">
        <f>IF(PAC!$R529&gt;0,PAC!$R529,PAC!$Q529)</f>
        <v>0</v>
      </c>
      <c r="T529" s="33"/>
      <c r="U529" s="116" t="s">
        <v>1493</v>
      </c>
      <c r="V529" s="116"/>
      <c r="W529" s="117"/>
      <c r="X529" s="117"/>
      <c r="Y529" s="113"/>
      <c r="Z529" s="118"/>
      <c r="AA529" s="119"/>
      <c r="AB529" s="115"/>
      <c r="AC529" s="115"/>
      <c r="AD529" s="120"/>
      <c r="AE529" s="114"/>
      <c r="AF529" s="115"/>
      <c r="AG529" s="115"/>
      <c r="AH529" s="115"/>
      <c r="AI529" s="115"/>
      <c r="AJ529" s="118"/>
      <c r="AK529" s="115"/>
      <c r="AL529" s="115"/>
      <c r="AM529" s="115"/>
      <c r="AN529" s="118"/>
      <c r="AO529" s="118"/>
      <c r="AP529" s="118"/>
      <c r="AQ529" s="118"/>
      <c r="AR529" s="121"/>
      <c r="AS529" s="121"/>
      <c r="AT529" s="114"/>
      <c r="AU529" s="122"/>
      <c r="AV529" s="120"/>
      <c r="AW529" s="131"/>
      <c r="AX529" s="194" t="str">
        <f>IFERROR(IF(PAC!$X529="F01 - CAPTAÇÃO DE RECURSO",1,""),"")</f>
        <v/>
      </c>
      <c r="AY529" s="194" t="str">
        <f>IFERROR(IF(PAC!$X529="F02 - LICITAÇÃO",1,""),"")</f>
        <v/>
      </c>
      <c r="AZ529" s="123" t="str">
        <f>IFERROR(IF(PAC!$X$6:$X$581="F03 - EXECUÇÃO DO OBJETO",1,""),"")</f>
        <v/>
      </c>
      <c r="BA529" s="123" t="str">
        <f>IFERROR(IF(PAC!$X$6:$X$581="F04 - CONCLUÍDA",1,""),"")</f>
        <v/>
      </c>
      <c r="BB529" s="191">
        <f>IF(PAC!$R529&gt;0,0,PAC!$Q529)</f>
        <v>0</v>
      </c>
    </row>
    <row r="530" spans="1:54" s="1" customFormat="1" ht="21" hidden="1" customHeight="1" thickBot="1">
      <c r="A530" s="88">
        <f t="shared" si="9"/>
        <v>525</v>
      </c>
      <c r="B530" s="88"/>
      <c r="C530" s="88"/>
      <c r="D530" s="88"/>
      <c r="E530" s="89"/>
      <c r="F530" s="40"/>
      <c r="G530" s="40"/>
      <c r="H530" s="88"/>
      <c r="I530" s="88"/>
      <c r="J530" s="88"/>
      <c r="K530" s="18"/>
      <c r="L530" s="18"/>
      <c r="M530" s="18"/>
      <c r="N530" s="18"/>
      <c r="O530" s="18"/>
      <c r="P530" s="18"/>
      <c r="Q530" s="20">
        <f>SUM(PAC!$M530:$P530)</f>
        <v>0</v>
      </c>
      <c r="R530" s="20"/>
      <c r="S530" s="20">
        <f>IF(PAC!$R530&gt;0,PAC!$R530,PAC!$Q530)</f>
        <v>0</v>
      </c>
      <c r="T530" s="20"/>
      <c r="U530" s="103" t="s">
        <v>1493</v>
      </c>
      <c r="V530" s="103"/>
      <c r="W530" s="104"/>
      <c r="X530" s="104"/>
      <c r="Y530" s="101"/>
      <c r="Z530" s="87"/>
      <c r="AA530" s="105"/>
      <c r="AB530" s="40"/>
      <c r="AC530" s="40"/>
      <c r="AD530" s="106"/>
      <c r="AE530" s="102"/>
      <c r="AF530" s="40"/>
      <c r="AG530" s="40"/>
      <c r="AH530" s="40"/>
      <c r="AI530" s="40"/>
      <c r="AJ530" s="87"/>
      <c r="AK530" s="40"/>
      <c r="AL530" s="40"/>
      <c r="AM530" s="40"/>
      <c r="AN530" s="87"/>
      <c r="AO530" s="87"/>
      <c r="AP530" s="87"/>
      <c r="AQ530" s="87"/>
      <c r="AR530" s="107"/>
      <c r="AS530" s="107"/>
      <c r="AT530" s="102"/>
      <c r="AU530" s="108"/>
      <c r="AV530" s="106"/>
      <c r="AW530" s="129"/>
      <c r="AX530" s="109" t="str">
        <f>IFERROR(IF(PAC!$X530="F01 - CAPTAÇÃO DE RECURSO",1,""),"")</f>
        <v/>
      </c>
      <c r="AY530" s="109" t="str">
        <f>IFERROR(IF(PAC!$X530="F02 - LICITAÇÃO",1,""),"")</f>
        <v/>
      </c>
      <c r="AZ530" s="110" t="str">
        <f>IFERROR(IF(PAC!$X$6:$X$581="F03 - EXECUÇÃO DO OBJETO",1,""),"")</f>
        <v/>
      </c>
      <c r="BA530" s="110" t="str">
        <f>IFERROR(IF(PAC!$X$6:$X$581="F04 - CONCLUÍDA",1,""),"")</f>
        <v/>
      </c>
      <c r="BB530" s="111">
        <f>IF(PAC!$R530&gt;0,0,PAC!$Q530)</f>
        <v>0</v>
      </c>
    </row>
    <row r="531" spans="1:54" s="1" customFormat="1" ht="21" hidden="1" customHeight="1" thickBot="1">
      <c r="A531" s="112">
        <f t="shared" si="9"/>
        <v>526</v>
      </c>
      <c r="B531" s="112"/>
      <c r="C531" s="112"/>
      <c r="D531" s="112"/>
      <c r="E531" s="130"/>
      <c r="F531" s="115"/>
      <c r="G531" s="115"/>
      <c r="H531" s="112"/>
      <c r="I531" s="112"/>
      <c r="J531" s="112"/>
      <c r="K531" s="31"/>
      <c r="L531" s="31"/>
      <c r="M531" s="31"/>
      <c r="N531" s="31"/>
      <c r="O531" s="31"/>
      <c r="P531" s="31"/>
      <c r="Q531" s="33">
        <f>SUM(PAC!$M531:$P531)</f>
        <v>0</v>
      </c>
      <c r="R531" s="33"/>
      <c r="S531" s="33">
        <f>IF(PAC!$R531&gt;0,PAC!$R531,PAC!$Q531)</f>
        <v>0</v>
      </c>
      <c r="T531" s="33"/>
      <c r="U531" s="116" t="s">
        <v>1493</v>
      </c>
      <c r="V531" s="116"/>
      <c r="W531" s="117"/>
      <c r="X531" s="117"/>
      <c r="Y531" s="113"/>
      <c r="Z531" s="118"/>
      <c r="AA531" s="119"/>
      <c r="AB531" s="115"/>
      <c r="AC531" s="115"/>
      <c r="AD531" s="120"/>
      <c r="AE531" s="114"/>
      <c r="AF531" s="115"/>
      <c r="AG531" s="115"/>
      <c r="AH531" s="115"/>
      <c r="AI531" s="115"/>
      <c r="AJ531" s="118"/>
      <c r="AK531" s="115"/>
      <c r="AL531" s="115"/>
      <c r="AM531" s="115"/>
      <c r="AN531" s="118"/>
      <c r="AO531" s="118"/>
      <c r="AP531" s="118"/>
      <c r="AQ531" s="118"/>
      <c r="AR531" s="121"/>
      <c r="AS531" s="121"/>
      <c r="AT531" s="114"/>
      <c r="AU531" s="122"/>
      <c r="AV531" s="120"/>
      <c r="AW531" s="131"/>
      <c r="AX531" s="194" t="str">
        <f>IFERROR(IF(PAC!$X531="F01 - CAPTAÇÃO DE RECURSO",1,""),"")</f>
        <v/>
      </c>
      <c r="AY531" s="194" t="str">
        <f>IFERROR(IF(PAC!$X531="F02 - LICITAÇÃO",1,""),"")</f>
        <v/>
      </c>
      <c r="AZ531" s="123" t="str">
        <f>IFERROR(IF(PAC!$X$6:$X$581="F03 - EXECUÇÃO DO OBJETO",1,""),"")</f>
        <v/>
      </c>
      <c r="BA531" s="123" t="str">
        <f>IFERROR(IF(PAC!$X$6:$X$581="F04 - CONCLUÍDA",1,""),"")</f>
        <v/>
      </c>
      <c r="BB531" s="191">
        <f>IF(PAC!$R531&gt;0,0,PAC!$Q531)</f>
        <v>0</v>
      </c>
    </row>
    <row r="532" spans="1:54" s="1" customFormat="1" ht="21" hidden="1" customHeight="1" thickBot="1">
      <c r="A532" s="88">
        <f t="shared" si="9"/>
        <v>527</v>
      </c>
      <c r="B532" s="88"/>
      <c r="C532" s="88"/>
      <c r="D532" s="88"/>
      <c r="E532" s="89"/>
      <c r="F532" s="40"/>
      <c r="G532" s="40"/>
      <c r="H532" s="88"/>
      <c r="I532" s="88"/>
      <c r="J532" s="88"/>
      <c r="K532" s="18"/>
      <c r="L532" s="18"/>
      <c r="M532" s="18"/>
      <c r="N532" s="18"/>
      <c r="O532" s="18"/>
      <c r="P532" s="18"/>
      <c r="Q532" s="20">
        <f>SUM(PAC!$M532:$P532)</f>
        <v>0</v>
      </c>
      <c r="R532" s="20"/>
      <c r="S532" s="20">
        <f>IF(PAC!$R532&gt;0,PAC!$R532,PAC!$Q532)</f>
        <v>0</v>
      </c>
      <c r="T532" s="20"/>
      <c r="U532" s="103" t="s">
        <v>1493</v>
      </c>
      <c r="V532" s="103"/>
      <c r="W532" s="104"/>
      <c r="X532" s="104"/>
      <c r="Y532" s="101"/>
      <c r="Z532" s="87"/>
      <c r="AA532" s="105"/>
      <c r="AB532" s="40"/>
      <c r="AC532" s="40"/>
      <c r="AD532" s="106"/>
      <c r="AE532" s="102"/>
      <c r="AF532" s="40"/>
      <c r="AG532" s="40"/>
      <c r="AH532" s="40"/>
      <c r="AI532" s="40"/>
      <c r="AJ532" s="87"/>
      <c r="AK532" s="40"/>
      <c r="AL532" s="40"/>
      <c r="AM532" s="40"/>
      <c r="AN532" s="87"/>
      <c r="AO532" s="87"/>
      <c r="AP532" s="87"/>
      <c r="AQ532" s="87"/>
      <c r="AR532" s="107"/>
      <c r="AS532" s="107"/>
      <c r="AT532" s="102"/>
      <c r="AU532" s="108"/>
      <c r="AV532" s="106"/>
      <c r="AW532" s="129"/>
      <c r="AX532" s="109" t="str">
        <f>IFERROR(IF(PAC!$X532="F01 - CAPTAÇÃO DE RECURSO",1,""),"")</f>
        <v/>
      </c>
      <c r="AY532" s="109" t="str">
        <f>IFERROR(IF(PAC!$X532="F02 - LICITAÇÃO",1,""),"")</f>
        <v/>
      </c>
      <c r="AZ532" s="110" t="str">
        <f>IFERROR(IF(PAC!$X$6:$X$581="F03 - EXECUÇÃO DO OBJETO",1,""),"")</f>
        <v/>
      </c>
      <c r="BA532" s="110" t="str">
        <f>IFERROR(IF(PAC!$X$6:$X$581="F04 - CONCLUÍDA",1,""),"")</f>
        <v/>
      </c>
      <c r="BB532" s="111">
        <f>IF(PAC!$R532&gt;0,0,PAC!$Q532)</f>
        <v>0</v>
      </c>
    </row>
    <row r="533" spans="1:54" s="1" customFormat="1" ht="21" hidden="1" customHeight="1" thickBot="1">
      <c r="A533" s="112">
        <f t="shared" si="9"/>
        <v>528</v>
      </c>
      <c r="B533" s="112"/>
      <c r="C533" s="112"/>
      <c r="D533" s="112"/>
      <c r="E533" s="130"/>
      <c r="F533" s="115"/>
      <c r="G533" s="115"/>
      <c r="H533" s="112"/>
      <c r="I533" s="112"/>
      <c r="J533" s="112"/>
      <c r="K533" s="31"/>
      <c r="L533" s="31"/>
      <c r="M533" s="31"/>
      <c r="N533" s="31"/>
      <c r="O533" s="31"/>
      <c r="P533" s="31"/>
      <c r="Q533" s="33">
        <f>SUM(PAC!$M533:$P533)</f>
        <v>0</v>
      </c>
      <c r="R533" s="33"/>
      <c r="S533" s="33">
        <f>IF(PAC!$R533&gt;0,PAC!$R533,PAC!$Q533)</f>
        <v>0</v>
      </c>
      <c r="T533" s="33"/>
      <c r="U533" s="116" t="s">
        <v>1493</v>
      </c>
      <c r="V533" s="116"/>
      <c r="W533" s="117"/>
      <c r="X533" s="117"/>
      <c r="Y533" s="113"/>
      <c r="Z533" s="118"/>
      <c r="AA533" s="119"/>
      <c r="AB533" s="115"/>
      <c r="AC533" s="115"/>
      <c r="AD533" s="120"/>
      <c r="AE533" s="114"/>
      <c r="AF533" s="115"/>
      <c r="AG533" s="115"/>
      <c r="AH533" s="115"/>
      <c r="AI533" s="115"/>
      <c r="AJ533" s="118"/>
      <c r="AK533" s="115"/>
      <c r="AL533" s="115"/>
      <c r="AM533" s="115"/>
      <c r="AN533" s="118"/>
      <c r="AO533" s="118"/>
      <c r="AP533" s="118"/>
      <c r="AQ533" s="118"/>
      <c r="AR533" s="121"/>
      <c r="AS533" s="121"/>
      <c r="AT533" s="114"/>
      <c r="AU533" s="122"/>
      <c r="AV533" s="120"/>
      <c r="AW533" s="131"/>
      <c r="AX533" s="194" t="str">
        <f>IFERROR(IF(PAC!$X533="F01 - CAPTAÇÃO DE RECURSO",1,""),"")</f>
        <v/>
      </c>
      <c r="AY533" s="194" t="str">
        <f>IFERROR(IF(PAC!$X533="F02 - LICITAÇÃO",1,""),"")</f>
        <v/>
      </c>
      <c r="AZ533" s="123" t="str">
        <f>IFERROR(IF(PAC!$X$6:$X$581="F03 - EXECUÇÃO DO OBJETO",1,""),"")</f>
        <v/>
      </c>
      <c r="BA533" s="123" t="str">
        <f>IFERROR(IF(PAC!$X$6:$X$581="F04 - CONCLUÍDA",1,""),"")</f>
        <v/>
      </c>
      <c r="BB533" s="191">
        <f>IF(PAC!$R533&gt;0,0,PAC!$Q533)</f>
        <v>0</v>
      </c>
    </row>
    <row r="534" spans="1:54" s="1" customFormat="1" ht="21" hidden="1" customHeight="1" thickBot="1">
      <c r="A534" s="88">
        <f t="shared" si="9"/>
        <v>529</v>
      </c>
      <c r="B534" s="88"/>
      <c r="C534" s="88"/>
      <c r="D534" s="88"/>
      <c r="E534" s="89"/>
      <c r="F534" s="40"/>
      <c r="G534" s="40"/>
      <c r="H534" s="88"/>
      <c r="I534" s="88"/>
      <c r="J534" s="88"/>
      <c r="K534" s="18"/>
      <c r="L534" s="18"/>
      <c r="M534" s="18"/>
      <c r="N534" s="18"/>
      <c r="O534" s="18"/>
      <c r="P534" s="18"/>
      <c r="Q534" s="20">
        <f>SUM(PAC!$M534:$P534)</f>
        <v>0</v>
      </c>
      <c r="R534" s="20"/>
      <c r="S534" s="20">
        <f>IF(PAC!$R534&gt;0,PAC!$R534,PAC!$Q534)</f>
        <v>0</v>
      </c>
      <c r="T534" s="20"/>
      <c r="U534" s="103" t="s">
        <v>1493</v>
      </c>
      <c r="V534" s="103"/>
      <c r="W534" s="104"/>
      <c r="X534" s="104"/>
      <c r="Y534" s="101"/>
      <c r="Z534" s="87"/>
      <c r="AA534" s="105"/>
      <c r="AB534" s="40"/>
      <c r="AC534" s="40"/>
      <c r="AD534" s="106"/>
      <c r="AE534" s="102"/>
      <c r="AF534" s="40"/>
      <c r="AG534" s="40"/>
      <c r="AH534" s="40"/>
      <c r="AI534" s="40"/>
      <c r="AJ534" s="87"/>
      <c r="AK534" s="40"/>
      <c r="AL534" s="40"/>
      <c r="AM534" s="40"/>
      <c r="AN534" s="87"/>
      <c r="AO534" s="87"/>
      <c r="AP534" s="87"/>
      <c r="AQ534" s="87"/>
      <c r="AR534" s="107"/>
      <c r="AS534" s="107"/>
      <c r="AT534" s="102"/>
      <c r="AU534" s="108"/>
      <c r="AV534" s="106"/>
      <c r="AW534" s="129"/>
      <c r="AX534" s="109" t="str">
        <f>IFERROR(IF(PAC!$X534="F01 - CAPTAÇÃO DE RECURSO",1,""),"")</f>
        <v/>
      </c>
      <c r="AY534" s="109" t="str">
        <f>IFERROR(IF(PAC!$X534="F02 - LICITAÇÃO",1,""),"")</f>
        <v/>
      </c>
      <c r="AZ534" s="110" t="str">
        <f>IFERROR(IF(PAC!$X$6:$X$581="F03 - EXECUÇÃO DO OBJETO",1,""),"")</f>
        <v/>
      </c>
      <c r="BA534" s="110" t="str">
        <f>IFERROR(IF(PAC!$X$6:$X$581="F04 - CONCLUÍDA",1,""),"")</f>
        <v/>
      </c>
      <c r="BB534" s="111">
        <f>IF(PAC!$R534&gt;0,0,PAC!$Q534)</f>
        <v>0</v>
      </c>
    </row>
    <row r="535" spans="1:54" s="1" customFormat="1" ht="21" hidden="1" customHeight="1" thickBot="1">
      <c r="A535" s="112">
        <f t="shared" si="9"/>
        <v>530</v>
      </c>
      <c r="B535" s="112"/>
      <c r="C535" s="112"/>
      <c r="D535" s="112"/>
      <c r="E535" s="130"/>
      <c r="F535" s="115"/>
      <c r="G535" s="115"/>
      <c r="H535" s="112"/>
      <c r="I535" s="112"/>
      <c r="J535" s="112"/>
      <c r="K535" s="31"/>
      <c r="L535" s="31"/>
      <c r="M535" s="31"/>
      <c r="N535" s="31"/>
      <c r="O535" s="31"/>
      <c r="P535" s="31"/>
      <c r="Q535" s="33">
        <f>SUM(PAC!$M535:$P535)</f>
        <v>0</v>
      </c>
      <c r="R535" s="33"/>
      <c r="S535" s="33">
        <f>IF(PAC!$R535&gt;0,PAC!$R535,PAC!$Q535)</f>
        <v>0</v>
      </c>
      <c r="T535" s="33"/>
      <c r="U535" s="116" t="s">
        <v>1493</v>
      </c>
      <c r="V535" s="116"/>
      <c r="W535" s="117"/>
      <c r="X535" s="117"/>
      <c r="Y535" s="113"/>
      <c r="Z535" s="118"/>
      <c r="AA535" s="119"/>
      <c r="AB535" s="115"/>
      <c r="AC535" s="115"/>
      <c r="AD535" s="120"/>
      <c r="AE535" s="114"/>
      <c r="AF535" s="115"/>
      <c r="AG535" s="115"/>
      <c r="AH535" s="115"/>
      <c r="AI535" s="115"/>
      <c r="AJ535" s="118"/>
      <c r="AK535" s="115"/>
      <c r="AL535" s="115"/>
      <c r="AM535" s="115"/>
      <c r="AN535" s="118"/>
      <c r="AO535" s="118"/>
      <c r="AP535" s="118"/>
      <c r="AQ535" s="118"/>
      <c r="AR535" s="121"/>
      <c r="AS535" s="121"/>
      <c r="AT535" s="114"/>
      <c r="AU535" s="122"/>
      <c r="AV535" s="120"/>
      <c r="AW535" s="131"/>
      <c r="AX535" s="194" t="str">
        <f>IFERROR(IF(PAC!$X535="F01 - CAPTAÇÃO DE RECURSO",1,""),"")</f>
        <v/>
      </c>
      <c r="AY535" s="194" t="str">
        <f>IFERROR(IF(PAC!$X535="F02 - LICITAÇÃO",1,""),"")</f>
        <v/>
      </c>
      <c r="AZ535" s="123" t="str">
        <f>IFERROR(IF(PAC!$X$6:$X$581="F03 - EXECUÇÃO DO OBJETO",1,""),"")</f>
        <v/>
      </c>
      <c r="BA535" s="123" t="str">
        <f>IFERROR(IF(PAC!$X$6:$X$581="F04 - CONCLUÍDA",1,""),"")</f>
        <v/>
      </c>
      <c r="BB535" s="191">
        <f>IF(PAC!$R535&gt;0,0,PAC!$Q535)</f>
        <v>0</v>
      </c>
    </row>
    <row r="536" spans="1:54" s="1" customFormat="1" ht="21" hidden="1" customHeight="1" thickBot="1">
      <c r="A536" s="88">
        <f t="shared" si="9"/>
        <v>531</v>
      </c>
      <c r="B536" s="88"/>
      <c r="C536" s="88"/>
      <c r="D536" s="88"/>
      <c r="E536" s="89"/>
      <c r="F536" s="40"/>
      <c r="G536" s="40"/>
      <c r="H536" s="88"/>
      <c r="I536" s="88"/>
      <c r="J536" s="88"/>
      <c r="K536" s="18"/>
      <c r="L536" s="18"/>
      <c r="M536" s="18"/>
      <c r="N536" s="18"/>
      <c r="O536" s="18"/>
      <c r="P536" s="18"/>
      <c r="Q536" s="20">
        <f>SUM(PAC!$M536:$P536)</f>
        <v>0</v>
      </c>
      <c r="R536" s="20"/>
      <c r="S536" s="20">
        <f>IF(PAC!$R536&gt;0,PAC!$R536,PAC!$Q536)</f>
        <v>0</v>
      </c>
      <c r="T536" s="20"/>
      <c r="U536" s="103" t="s">
        <v>1493</v>
      </c>
      <c r="V536" s="103"/>
      <c r="W536" s="104"/>
      <c r="X536" s="104"/>
      <c r="Y536" s="101"/>
      <c r="Z536" s="87"/>
      <c r="AA536" s="105"/>
      <c r="AB536" s="40"/>
      <c r="AC536" s="40"/>
      <c r="AD536" s="106"/>
      <c r="AE536" s="102"/>
      <c r="AF536" s="40"/>
      <c r="AG536" s="40"/>
      <c r="AH536" s="40"/>
      <c r="AI536" s="40"/>
      <c r="AJ536" s="87"/>
      <c r="AK536" s="40"/>
      <c r="AL536" s="40"/>
      <c r="AM536" s="40"/>
      <c r="AN536" s="87"/>
      <c r="AO536" s="87"/>
      <c r="AP536" s="87"/>
      <c r="AQ536" s="87"/>
      <c r="AR536" s="107"/>
      <c r="AS536" s="107"/>
      <c r="AT536" s="102"/>
      <c r="AU536" s="108"/>
      <c r="AV536" s="106"/>
      <c r="AW536" s="129"/>
      <c r="AX536" s="109" t="str">
        <f>IFERROR(IF(PAC!$X536="F01 - CAPTAÇÃO DE RECURSO",1,""),"")</f>
        <v/>
      </c>
      <c r="AY536" s="109" t="str">
        <f>IFERROR(IF(PAC!$X536="F02 - LICITAÇÃO",1,""),"")</f>
        <v/>
      </c>
      <c r="AZ536" s="110" t="str">
        <f>IFERROR(IF(PAC!$X$6:$X$581="F03 - EXECUÇÃO DO OBJETO",1,""),"")</f>
        <v/>
      </c>
      <c r="BA536" s="110" t="str">
        <f>IFERROR(IF(PAC!$X$6:$X$581="F04 - CONCLUÍDA",1,""),"")</f>
        <v/>
      </c>
      <c r="BB536" s="111">
        <f>IF(PAC!$R536&gt;0,0,PAC!$Q536)</f>
        <v>0</v>
      </c>
    </row>
    <row r="537" spans="1:54" s="1" customFormat="1" ht="21" hidden="1" customHeight="1" thickBot="1">
      <c r="A537" s="112">
        <f t="shared" si="9"/>
        <v>532</v>
      </c>
      <c r="B537" s="112"/>
      <c r="C537" s="112"/>
      <c r="D537" s="112"/>
      <c r="E537" s="130"/>
      <c r="F537" s="115"/>
      <c r="G537" s="115"/>
      <c r="H537" s="112"/>
      <c r="I537" s="112"/>
      <c r="J537" s="112"/>
      <c r="K537" s="31"/>
      <c r="L537" s="31"/>
      <c r="M537" s="31"/>
      <c r="N537" s="31"/>
      <c r="O537" s="31"/>
      <c r="P537" s="31"/>
      <c r="Q537" s="33">
        <f>SUM(PAC!$M537:$P537)</f>
        <v>0</v>
      </c>
      <c r="R537" s="33"/>
      <c r="S537" s="33">
        <f>IF(PAC!$R537&gt;0,PAC!$R537,PAC!$Q537)</f>
        <v>0</v>
      </c>
      <c r="T537" s="33"/>
      <c r="U537" s="116" t="s">
        <v>1493</v>
      </c>
      <c r="V537" s="116"/>
      <c r="W537" s="117"/>
      <c r="X537" s="117"/>
      <c r="Y537" s="113"/>
      <c r="Z537" s="118"/>
      <c r="AA537" s="119"/>
      <c r="AB537" s="115"/>
      <c r="AC537" s="115"/>
      <c r="AD537" s="120"/>
      <c r="AE537" s="114"/>
      <c r="AF537" s="115"/>
      <c r="AG537" s="115"/>
      <c r="AH537" s="115"/>
      <c r="AI537" s="115"/>
      <c r="AJ537" s="118"/>
      <c r="AK537" s="115"/>
      <c r="AL537" s="115"/>
      <c r="AM537" s="115"/>
      <c r="AN537" s="118"/>
      <c r="AO537" s="118"/>
      <c r="AP537" s="118"/>
      <c r="AQ537" s="118"/>
      <c r="AR537" s="121"/>
      <c r="AS537" s="121"/>
      <c r="AT537" s="114"/>
      <c r="AU537" s="122"/>
      <c r="AV537" s="120"/>
      <c r="AW537" s="131"/>
      <c r="AX537" s="194" t="str">
        <f>IFERROR(IF(PAC!$X537="F01 - CAPTAÇÃO DE RECURSO",1,""),"")</f>
        <v/>
      </c>
      <c r="AY537" s="194" t="str">
        <f>IFERROR(IF(PAC!$X537="F02 - LICITAÇÃO",1,""),"")</f>
        <v/>
      </c>
      <c r="AZ537" s="123" t="str">
        <f>IFERROR(IF(PAC!$X$6:$X$581="F03 - EXECUÇÃO DO OBJETO",1,""),"")</f>
        <v/>
      </c>
      <c r="BA537" s="123" t="str">
        <f>IFERROR(IF(PAC!$X$6:$X$581="F04 - CONCLUÍDA",1,""),"")</f>
        <v/>
      </c>
      <c r="BB537" s="191">
        <f>IF(PAC!$R537&gt;0,0,PAC!$Q537)</f>
        <v>0</v>
      </c>
    </row>
    <row r="538" spans="1:54" s="1" customFormat="1" ht="21" hidden="1" customHeight="1" thickBot="1">
      <c r="A538" s="88">
        <f t="shared" si="9"/>
        <v>533</v>
      </c>
      <c r="B538" s="88"/>
      <c r="C538" s="88"/>
      <c r="D538" s="88"/>
      <c r="E538" s="89"/>
      <c r="F538" s="40"/>
      <c r="G538" s="40"/>
      <c r="H538" s="88"/>
      <c r="I538" s="88"/>
      <c r="J538" s="88"/>
      <c r="K538" s="18"/>
      <c r="L538" s="18"/>
      <c r="M538" s="18"/>
      <c r="N538" s="18"/>
      <c r="O538" s="18"/>
      <c r="P538" s="18"/>
      <c r="Q538" s="20">
        <f>SUM(PAC!$M538:$P538)</f>
        <v>0</v>
      </c>
      <c r="R538" s="20"/>
      <c r="S538" s="20">
        <f>IF(PAC!$R538&gt;0,PAC!$R538,PAC!$Q538)</f>
        <v>0</v>
      </c>
      <c r="T538" s="20"/>
      <c r="U538" s="103" t="s">
        <v>1493</v>
      </c>
      <c r="V538" s="103"/>
      <c r="W538" s="104"/>
      <c r="X538" s="104"/>
      <c r="Y538" s="101"/>
      <c r="Z538" s="87"/>
      <c r="AA538" s="105"/>
      <c r="AB538" s="40"/>
      <c r="AC538" s="40"/>
      <c r="AD538" s="106"/>
      <c r="AE538" s="102"/>
      <c r="AF538" s="40"/>
      <c r="AG538" s="40"/>
      <c r="AH538" s="40"/>
      <c r="AI538" s="40"/>
      <c r="AJ538" s="87"/>
      <c r="AK538" s="40"/>
      <c r="AL538" s="40"/>
      <c r="AM538" s="40"/>
      <c r="AN538" s="87"/>
      <c r="AO538" s="87"/>
      <c r="AP538" s="87"/>
      <c r="AQ538" s="87"/>
      <c r="AR538" s="107"/>
      <c r="AS538" s="107"/>
      <c r="AT538" s="102"/>
      <c r="AU538" s="108"/>
      <c r="AV538" s="106"/>
      <c r="AW538" s="129"/>
      <c r="AX538" s="109" t="str">
        <f>IFERROR(IF(PAC!$X538="F01 - CAPTAÇÃO DE RECURSO",1,""),"")</f>
        <v/>
      </c>
      <c r="AY538" s="109" t="str">
        <f>IFERROR(IF(PAC!$X538="F02 - LICITAÇÃO",1,""),"")</f>
        <v/>
      </c>
      <c r="AZ538" s="110" t="str">
        <f>IFERROR(IF(PAC!$X$6:$X$581="F03 - EXECUÇÃO DO OBJETO",1,""),"")</f>
        <v/>
      </c>
      <c r="BA538" s="110" t="str">
        <f>IFERROR(IF(PAC!$X$6:$X$581="F04 - CONCLUÍDA",1,""),"")</f>
        <v/>
      </c>
      <c r="BB538" s="111">
        <f>IF(PAC!$R538&gt;0,0,PAC!$Q538)</f>
        <v>0</v>
      </c>
    </row>
    <row r="539" spans="1:54" s="1" customFormat="1" ht="21" hidden="1" customHeight="1" thickBot="1">
      <c r="A539" s="112">
        <f t="shared" si="9"/>
        <v>534</v>
      </c>
      <c r="B539" s="112"/>
      <c r="C539" s="112"/>
      <c r="D539" s="112"/>
      <c r="E539" s="130"/>
      <c r="F539" s="115"/>
      <c r="G539" s="115"/>
      <c r="H539" s="112"/>
      <c r="I539" s="112"/>
      <c r="J539" s="112"/>
      <c r="K539" s="31"/>
      <c r="L539" s="31"/>
      <c r="M539" s="31"/>
      <c r="N539" s="31"/>
      <c r="O539" s="31"/>
      <c r="P539" s="31"/>
      <c r="Q539" s="33">
        <f>SUM(PAC!$M539:$P539)</f>
        <v>0</v>
      </c>
      <c r="R539" s="33"/>
      <c r="S539" s="33">
        <f>IF(PAC!$R539&gt;0,PAC!$R539,PAC!$Q539)</f>
        <v>0</v>
      </c>
      <c r="T539" s="33"/>
      <c r="U539" s="116" t="s">
        <v>1493</v>
      </c>
      <c r="V539" s="116"/>
      <c r="W539" s="117"/>
      <c r="X539" s="117"/>
      <c r="Y539" s="113"/>
      <c r="Z539" s="118"/>
      <c r="AA539" s="119"/>
      <c r="AB539" s="115"/>
      <c r="AC539" s="115"/>
      <c r="AD539" s="120"/>
      <c r="AE539" s="114"/>
      <c r="AF539" s="115"/>
      <c r="AG539" s="115"/>
      <c r="AH539" s="115"/>
      <c r="AI539" s="115"/>
      <c r="AJ539" s="118"/>
      <c r="AK539" s="115"/>
      <c r="AL539" s="115"/>
      <c r="AM539" s="115"/>
      <c r="AN539" s="118"/>
      <c r="AO539" s="118"/>
      <c r="AP539" s="118"/>
      <c r="AQ539" s="118"/>
      <c r="AR539" s="121"/>
      <c r="AS539" s="121"/>
      <c r="AT539" s="114"/>
      <c r="AU539" s="122"/>
      <c r="AV539" s="120"/>
      <c r="AW539" s="131"/>
      <c r="AX539" s="194" t="str">
        <f>IFERROR(IF(PAC!$X539="F01 - CAPTAÇÃO DE RECURSO",1,""),"")</f>
        <v/>
      </c>
      <c r="AY539" s="194" t="str">
        <f>IFERROR(IF(PAC!$X539="F02 - LICITAÇÃO",1,""),"")</f>
        <v/>
      </c>
      <c r="AZ539" s="123" t="str">
        <f>IFERROR(IF(PAC!$X$6:$X$581="F03 - EXECUÇÃO DO OBJETO",1,""),"")</f>
        <v/>
      </c>
      <c r="BA539" s="123" t="str">
        <f>IFERROR(IF(PAC!$X$6:$X$581="F04 - CONCLUÍDA",1,""),"")</f>
        <v/>
      </c>
      <c r="BB539" s="191">
        <f>IF(PAC!$R539&gt;0,0,PAC!$Q539)</f>
        <v>0</v>
      </c>
    </row>
    <row r="540" spans="1:54" s="1" customFormat="1" ht="21" hidden="1" customHeight="1" thickBot="1">
      <c r="A540" s="88">
        <f t="shared" si="9"/>
        <v>535</v>
      </c>
      <c r="B540" s="88"/>
      <c r="C540" s="88"/>
      <c r="D540" s="88"/>
      <c r="E540" s="89"/>
      <c r="F540" s="40"/>
      <c r="G540" s="40"/>
      <c r="H540" s="88"/>
      <c r="I540" s="88"/>
      <c r="J540" s="88"/>
      <c r="K540" s="18"/>
      <c r="L540" s="18"/>
      <c r="M540" s="18"/>
      <c r="N540" s="18"/>
      <c r="O540" s="18"/>
      <c r="P540" s="18"/>
      <c r="Q540" s="20">
        <f>SUM(PAC!$M540:$P540)</f>
        <v>0</v>
      </c>
      <c r="R540" s="20"/>
      <c r="S540" s="20">
        <f>IF(PAC!$R540&gt;0,PAC!$R540,PAC!$Q540)</f>
        <v>0</v>
      </c>
      <c r="T540" s="20"/>
      <c r="U540" s="103" t="s">
        <v>1493</v>
      </c>
      <c r="V540" s="103"/>
      <c r="W540" s="104"/>
      <c r="X540" s="104"/>
      <c r="Y540" s="101"/>
      <c r="Z540" s="87"/>
      <c r="AA540" s="105"/>
      <c r="AB540" s="40"/>
      <c r="AC540" s="40"/>
      <c r="AD540" s="106"/>
      <c r="AE540" s="102"/>
      <c r="AF540" s="40"/>
      <c r="AG540" s="40"/>
      <c r="AH540" s="40"/>
      <c r="AI540" s="40"/>
      <c r="AJ540" s="87"/>
      <c r="AK540" s="40"/>
      <c r="AL540" s="40"/>
      <c r="AM540" s="40"/>
      <c r="AN540" s="87"/>
      <c r="AO540" s="87"/>
      <c r="AP540" s="87"/>
      <c r="AQ540" s="87"/>
      <c r="AR540" s="107"/>
      <c r="AS540" s="107"/>
      <c r="AT540" s="102"/>
      <c r="AU540" s="108"/>
      <c r="AV540" s="106"/>
      <c r="AW540" s="129"/>
      <c r="AX540" s="109" t="str">
        <f>IFERROR(IF(PAC!$X540="F01 - CAPTAÇÃO DE RECURSO",1,""),"")</f>
        <v/>
      </c>
      <c r="AY540" s="109" t="str">
        <f>IFERROR(IF(PAC!$X540="F02 - LICITAÇÃO",1,""),"")</f>
        <v/>
      </c>
      <c r="AZ540" s="110" t="str">
        <f>IFERROR(IF(PAC!$X$6:$X$581="F03 - EXECUÇÃO DO OBJETO",1,""),"")</f>
        <v/>
      </c>
      <c r="BA540" s="110" t="str">
        <f>IFERROR(IF(PAC!$X$6:$X$581="F04 - CONCLUÍDA",1,""),"")</f>
        <v/>
      </c>
      <c r="BB540" s="111">
        <f>IF(PAC!$R540&gt;0,0,PAC!$Q540)</f>
        <v>0</v>
      </c>
    </row>
    <row r="541" spans="1:54" s="1" customFormat="1" ht="21" hidden="1" customHeight="1" thickBot="1">
      <c r="A541" s="112">
        <f t="shared" si="9"/>
        <v>536</v>
      </c>
      <c r="B541" s="112"/>
      <c r="C541" s="112"/>
      <c r="D541" s="112"/>
      <c r="E541" s="130"/>
      <c r="F541" s="115"/>
      <c r="G541" s="115"/>
      <c r="H541" s="112"/>
      <c r="I541" s="112"/>
      <c r="J541" s="112"/>
      <c r="K541" s="31"/>
      <c r="L541" s="31"/>
      <c r="M541" s="31"/>
      <c r="N541" s="31"/>
      <c r="O541" s="31"/>
      <c r="P541" s="31"/>
      <c r="Q541" s="33">
        <f>SUM(PAC!$M541:$P541)</f>
        <v>0</v>
      </c>
      <c r="R541" s="33"/>
      <c r="S541" s="33">
        <f>IF(PAC!$R541&gt;0,PAC!$R541,PAC!$Q541)</f>
        <v>0</v>
      </c>
      <c r="T541" s="33"/>
      <c r="U541" s="116" t="s">
        <v>1493</v>
      </c>
      <c r="V541" s="116"/>
      <c r="W541" s="117"/>
      <c r="X541" s="117"/>
      <c r="Y541" s="113"/>
      <c r="Z541" s="118"/>
      <c r="AA541" s="119"/>
      <c r="AB541" s="115"/>
      <c r="AC541" s="115"/>
      <c r="AD541" s="120"/>
      <c r="AE541" s="114"/>
      <c r="AF541" s="115"/>
      <c r="AG541" s="115"/>
      <c r="AH541" s="115"/>
      <c r="AI541" s="115"/>
      <c r="AJ541" s="118"/>
      <c r="AK541" s="115"/>
      <c r="AL541" s="115"/>
      <c r="AM541" s="115"/>
      <c r="AN541" s="118"/>
      <c r="AO541" s="118"/>
      <c r="AP541" s="118"/>
      <c r="AQ541" s="118"/>
      <c r="AR541" s="121"/>
      <c r="AS541" s="121"/>
      <c r="AT541" s="114"/>
      <c r="AU541" s="122"/>
      <c r="AV541" s="120"/>
      <c r="AW541" s="131"/>
      <c r="AX541" s="194" t="str">
        <f>IFERROR(IF(PAC!$X541="F01 - CAPTAÇÃO DE RECURSO",1,""),"")</f>
        <v/>
      </c>
      <c r="AY541" s="194" t="str">
        <f>IFERROR(IF(PAC!$X541="F02 - LICITAÇÃO",1,""),"")</f>
        <v/>
      </c>
      <c r="AZ541" s="123" t="str">
        <f>IFERROR(IF(PAC!$X$6:$X$581="F03 - EXECUÇÃO DO OBJETO",1,""),"")</f>
        <v/>
      </c>
      <c r="BA541" s="123" t="str">
        <f>IFERROR(IF(PAC!$X$6:$X$581="F04 - CONCLUÍDA",1,""),"")</f>
        <v/>
      </c>
      <c r="BB541" s="191">
        <f>IF(PAC!$R541&gt;0,0,PAC!$Q541)</f>
        <v>0</v>
      </c>
    </row>
    <row r="542" spans="1:54" s="1" customFormat="1" ht="21" hidden="1" customHeight="1" thickBot="1">
      <c r="A542" s="88">
        <f t="shared" si="9"/>
        <v>537</v>
      </c>
      <c r="B542" s="88"/>
      <c r="C542" s="88"/>
      <c r="D542" s="88"/>
      <c r="E542" s="89"/>
      <c r="F542" s="40"/>
      <c r="G542" s="40"/>
      <c r="H542" s="88"/>
      <c r="I542" s="88"/>
      <c r="J542" s="88"/>
      <c r="K542" s="18"/>
      <c r="L542" s="18"/>
      <c r="M542" s="18"/>
      <c r="N542" s="18"/>
      <c r="O542" s="18"/>
      <c r="P542" s="18"/>
      <c r="Q542" s="20">
        <f>SUM(PAC!$M542:$P542)</f>
        <v>0</v>
      </c>
      <c r="R542" s="20"/>
      <c r="S542" s="20">
        <f>IF(PAC!$R542&gt;0,PAC!$R542,PAC!$Q542)</f>
        <v>0</v>
      </c>
      <c r="T542" s="20"/>
      <c r="U542" s="103" t="s">
        <v>1493</v>
      </c>
      <c r="V542" s="103"/>
      <c r="W542" s="104"/>
      <c r="X542" s="104"/>
      <c r="Y542" s="101"/>
      <c r="Z542" s="87"/>
      <c r="AA542" s="105"/>
      <c r="AB542" s="40"/>
      <c r="AC542" s="40"/>
      <c r="AD542" s="106"/>
      <c r="AE542" s="102"/>
      <c r="AF542" s="40"/>
      <c r="AG542" s="40"/>
      <c r="AH542" s="40"/>
      <c r="AI542" s="40"/>
      <c r="AJ542" s="87"/>
      <c r="AK542" s="40"/>
      <c r="AL542" s="40"/>
      <c r="AM542" s="40"/>
      <c r="AN542" s="87"/>
      <c r="AO542" s="87"/>
      <c r="AP542" s="87"/>
      <c r="AQ542" s="87"/>
      <c r="AR542" s="107"/>
      <c r="AS542" s="107"/>
      <c r="AT542" s="102"/>
      <c r="AU542" s="108"/>
      <c r="AV542" s="106"/>
      <c r="AW542" s="129"/>
      <c r="AX542" s="109" t="str">
        <f>IFERROR(IF(PAC!$X542="F01 - CAPTAÇÃO DE RECURSO",1,""),"")</f>
        <v/>
      </c>
      <c r="AY542" s="109" t="str">
        <f>IFERROR(IF(PAC!$X542="F02 - LICITAÇÃO",1,""),"")</f>
        <v/>
      </c>
      <c r="AZ542" s="110" t="str">
        <f>IFERROR(IF(PAC!$X$6:$X$581="F03 - EXECUÇÃO DO OBJETO",1,""),"")</f>
        <v/>
      </c>
      <c r="BA542" s="110" t="str">
        <f>IFERROR(IF(PAC!$X$6:$X$581="F04 - CONCLUÍDA",1,""),"")</f>
        <v/>
      </c>
      <c r="BB542" s="111">
        <f>IF(PAC!$R542&gt;0,0,PAC!$Q542)</f>
        <v>0</v>
      </c>
    </row>
    <row r="543" spans="1:54" s="1" customFormat="1" ht="21" hidden="1" customHeight="1" thickBot="1">
      <c r="A543" s="112">
        <f t="shared" si="9"/>
        <v>538</v>
      </c>
      <c r="B543" s="112"/>
      <c r="C543" s="112"/>
      <c r="D543" s="112"/>
      <c r="E543" s="130"/>
      <c r="F543" s="115"/>
      <c r="G543" s="115"/>
      <c r="H543" s="112"/>
      <c r="I543" s="112"/>
      <c r="J543" s="112"/>
      <c r="K543" s="31"/>
      <c r="L543" s="31"/>
      <c r="M543" s="31"/>
      <c r="N543" s="31"/>
      <c r="O543" s="31"/>
      <c r="P543" s="31"/>
      <c r="Q543" s="33">
        <f>SUM(PAC!$M543:$P543)</f>
        <v>0</v>
      </c>
      <c r="R543" s="33"/>
      <c r="S543" s="33">
        <f>IF(PAC!$R543&gt;0,PAC!$R543,PAC!$Q543)</f>
        <v>0</v>
      </c>
      <c r="T543" s="33"/>
      <c r="U543" s="116" t="s">
        <v>1493</v>
      </c>
      <c r="V543" s="116"/>
      <c r="W543" s="117"/>
      <c r="X543" s="117"/>
      <c r="Y543" s="113"/>
      <c r="Z543" s="118"/>
      <c r="AA543" s="119"/>
      <c r="AB543" s="115"/>
      <c r="AC543" s="115"/>
      <c r="AD543" s="120"/>
      <c r="AE543" s="114"/>
      <c r="AF543" s="115"/>
      <c r="AG543" s="115"/>
      <c r="AH543" s="115"/>
      <c r="AI543" s="115"/>
      <c r="AJ543" s="118"/>
      <c r="AK543" s="115"/>
      <c r="AL543" s="115"/>
      <c r="AM543" s="115"/>
      <c r="AN543" s="118"/>
      <c r="AO543" s="118"/>
      <c r="AP543" s="118"/>
      <c r="AQ543" s="118"/>
      <c r="AR543" s="121"/>
      <c r="AS543" s="121"/>
      <c r="AT543" s="114"/>
      <c r="AU543" s="122"/>
      <c r="AV543" s="120"/>
      <c r="AW543" s="131"/>
      <c r="AX543" s="194" t="str">
        <f>IFERROR(IF(PAC!$X543="F01 - CAPTAÇÃO DE RECURSO",1,""),"")</f>
        <v/>
      </c>
      <c r="AY543" s="194" t="str">
        <f>IFERROR(IF(PAC!$X543="F02 - LICITAÇÃO",1,""),"")</f>
        <v/>
      </c>
      <c r="AZ543" s="123" t="str">
        <f>IFERROR(IF(PAC!$X$6:$X$581="F03 - EXECUÇÃO DO OBJETO",1,""),"")</f>
        <v/>
      </c>
      <c r="BA543" s="123" t="str">
        <f>IFERROR(IF(PAC!$X$6:$X$581="F04 - CONCLUÍDA",1,""),"")</f>
        <v/>
      </c>
      <c r="BB543" s="191">
        <f>IF(PAC!$R543&gt;0,0,PAC!$Q543)</f>
        <v>0</v>
      </c>
    </row>
    <row r="544" spans="1:54" s="1" customFormat="1" ht="21" hidden="1" customHeight="1" thickBot="1">
      <c r="A544" s="88">
        <f t="shared" si="9"/>
        <v>539</v>
      </c>
      <c r="B544" s="88"/>
      <c r="C544" s="88"/>
      <c r="D544" s="88"/>
      <c r="E544" s="89"/>
      <c r="F544" s="40"/>
      <c r="G544" s="40"/>
      <c r="H544" s="88"/>
      <c r="I544" s="88"/>
      <c r="J544" s="88"/>
      <c r="K544" s="18"/>
      <c r="L544" s="18"/>
      <c r="M544" s="18"/>
      <c r="N544" s="18"/>
      <c r="O544" s="18"/>
      <c r="P544" s="18"/>
      <c r="Q544" s="20">
        <f>SUM(PAC!$M544:$P544)</f>
        <v>0</v>
      </c>
      <c r="R544" s="20"/>
      <c r="S544" s="20">
        <f>IF(PAC!$R544&gt;0,PAC!$R544,PAC!$Q544)</f>
        <v>0</v>
      </c>
      <c r="T544" s="20"/>
      <c r="U544" s="103" t="s">
        <v>1493</v>
      </c>
      <c r="V544" s="103"/>
      <c r="W544" s="104"/>
      <c r="X544" s="104"/>
      <c r="Y544" s="101"/>
      <c r="Z544" s="87"/>
      <c r="AA544" s="105"/>
      <c r="AB544" s="40"/>
      <c r="AC544" s="40"/>
      <c r="AD544" s="106"/>
      <c r="AE544" s="102"/>
      <c r="AF544" s="40"/>
      <c r="AG544" s="40"/>
      <c r="AH544" s="40"/>
      <c r="AI544" s="40"/>
      <c r="AJ544" s="87"/>
      <c r="AK544" s="40"/>
      <c r="AL544" s="40"/>
      <c r="AM544" s="40"/>
      <c r="AN544" s="87"/>
      <c r="AO544" s="87"/>
      <c r="AP544" s="87"/>
      <c r="AQ544" s="87"/>
      <c r="AR544" s="107"/>
      <c r="AS544" s="107"/>
      <c r="AT544" s="102"/>
      <c r="AU544" s="108"/>
      <c r="AV544" s="106"/>
      <c r="AW544" s="129"/>
      <c r="AX544" s="109" t="str">
        <f>IFERROR(IF(PAC!$X544="F01 - CAPTAÇÃO DE RECURSO",1,""),"")</f>
        <v/>
      </c>
      <c r="AY544" s="109" t="str">
        <f>IFERROR(IF(PAC!$X544="F02 - LICITAÇÃO",1,""),"")</f>
        <v/>
      </c>
      <c r="AZ544" s="110" t="str">
        <f>IFERROR(IF(PAC!$X$6:$X$581="F03 - EXECUÇÃO DO OBJETO",1,""),"")</f>
        <v/>
      </c>
      <c r="BA544" s="110" t="str">
        <f>IFERROR(IF(PAC!$X$6:$X$581="F04 - CONCLUÍDA",1,""),"")</f>
        <v/>
      </c>
      <c r="BB544" s="111">
        <f>IF(PAC!$R544&gt;0,0,PAC!$Q544)</f>
        <v>0</v>
      </c>
    </row>
    <row r="545" spans="1:54" s="1" customFormat="1" ht="21" hidden="1" customHeight="1" thickBot="1">
      <c r="A545" s="112">
        <f t="shared" si="9"/>
        <v>540</v>
      </c>
      <c r="B545" s="112"/>
      <c r="C545" s="112"/>
      <c r="D545" s="112"/>
      <c r="E545" s="130"/>
      <c r="F545" s="115"/>
      <c r="G545" s="115"/>
      <c r="H545" s="112"/>
      <c r="I545" s="112"/>
      <c r="J545" s="112"/>
      <c r="K545" s="31"/>
      <c r="L545" s="31"/>
      <c r="M545" s="31"/>
      <c r="N545" s="31"/>
      <c r="O545" s="31"/>
      <c r="P545" s="31"/>
      <c r="Q545" s="33">
        <f>SUM(PAC!$M545:$P545)</f>
        <v>0</v>
      </c>
      <c r="R545" s="33"/>
      <c r="S545" s="33">
        <f>IF(PAC!$R545&gt;0,PAC!$R545,PAC!$Q545)</f>
        <v>0</v>
      </c>
      <c r="T545" s="33"/>
      <c r="U545" s="116" t="s">
        <v>1493</v>
      </c>
      <c r="V545" s="116"/>
      <c r="W545" s="117"/>
      <c r="X545" s="117"/>
      <c r="Y545" s="113"/>
      <c r="Z545" s="118"/>
      <c r="AA545" s="119"/>
      <c r="AB545" s="115"/>
      <c r="AC545" s="115"/>
      <c r="AD545" s="120"/>
      <c r="AE545" s="114"/>
      <c r="AF545" s="115"/>
      <c r="AG545" s="115"/>
      <c r="AH545" s="115"/>
      <c r="AI545" s="115"/>
      <c r="AJ545" s="118"/>
      <c r="AK545" s="115"/>
      <c r="AL545" s="115"/>
      <c r="AM545" s="115"/>
      <c r="AN545" s="118"/>
      <c r="AO545" s="118"/>
      <c r="AP545" s="118"/>
      <c r="AQ545" s="118"/>
      <c r="AR545" s="121"/>
      <c r="AS545" s="121"/>
      <c r="AT545" s="114"/>
      <c r="AU545" s="122"/>
      <c r="AV545" s="120"/>
      <c r="AW545" s="131"/>
      <c r="AX545" s="194" t="str">
        <f>IFERROR(IF(PAC!$X545="F01 - CAPTAÇÃO DE RECURSO",1,""),"")</f>
        <v/>
      </c>
      <c r="AY545" s="194" t="str">
        <f>IFERROR(IF(PAC!$X545="F02 - LICITAÇÃO",1,""),"")</f>
        <v/>
      </c>
      <c r="AZ545" s="123" t="str">
        <f>IFERROR(IF(PAC!$X$6:$X$581="F03 - EXECUÇÃO DO OBJETO",1,""),"")</f>
        <v/>
      </c>
      <c r="BA545" s="123" t="str">
        <f>IFERROR(IF(PAC!$X$6:$X$581="F04 - CONCLUÍDA",1,""),"")</f>
        <v/>
      </c>
      <c r="BB545" s="191">
        <f>IF(PAC!$R545&gt;0,0,PAC!$Q545)</f>
        <v>0</v>
      </c>
    </row>
    <row r="546" spans="1:54" s="1" customFormat="1" ht="21" hidden="1" customHeight="1" thickBot="1">
      <c r="A546" s="88">
        <f t="shared" si="9"/>
        <v>541</v>
      </c>
      <c r="B546" s="88"/>
      <c r="C546" s="88"/>
      <c r="D546" s="88"/>
      <c r="E546" s="89"/>
      <c r="F546" s="40"/>
      <c r="G546" s="40"/>
      <c r="H546" s="88"/>
      <c r="I546" s="88"/>
      <c r="J546" s="88"/>
      <c r="K546" s="18"/>
      <c r="L546" s="18"/>
      <c r="M546" s="18"/>
      <c r="N546" s="18"/>
      <c r="O546" s="18"/>
      <c r="P546" s="18"/>
      <c r="Q546" s="20">
        <f>SUM(PAC!$M546:$P546)</f>
        <v>0</v>
      </c>
      <c r="R546" s="20"/>
      <c r="S546" s="20">
        <f>IF(PAC!$R546&gt;0,PAC!$R546,PAC!$Q546)</f>
        <v>0</v>
      </c>
      <c r="T546" s="20"/>
      <c r="U546" s="103" t="s">
        <v>1493</v>
      </c>
      <c r="V546" s="103"/>
      <c r="W546" s="104"/>
      <c r="X546" s="104"/>
      <c r="Y546" s="101"/>
      <c r="Z546" s="87"/>
      <c r="AA546" s="105"/>
      <c r="AB546" s="40"/>
      <c r="AC546" s="40"/>
      <c r="AD546" s="106"/>
      <c r="AE546" s="102"/>
      <c r="AF546" s="40"/>
      <c r="AG546" s="40"/>
      <c r="AH546" s="40"/>
      <c r="AI546" s="40"/>
      <c r="AJ546" s="87"/>
      <c r="AK546" s="40"/>
      <c r="AL546" s="40"/>
      <c r="AM546" s="40"/>
      <c r="AN546" s="87"/>
      <c r="AO546" s="87"/>
      <c r="AP546" s="87"/>
      <c r="AQ546" s="87"/>
      <c r="AR546" s="107"/>
      <c r="AS546" s="107"/>
      <c r="AT546" s="102"/>
      <c r="AU546" s="108"/>
      <c r="AV546" s="106"/>
      <c r="AW546" s="129"/>
      <c r="AX546" s="109" t="str">
        <f>IFERROR(IF(PAC!$X546="F01 - CAPTAÇÃO DE RECURSO",1,""),"")</f>
        <v/>
      </c>
      <c r="AY546" s="109" t="str">
        <f>IFERROR(IF(PAC!$X546="F02 - LICITAÇÃO",1,""),"")</f>
        <v/>
      </c>
      <c r="AZ546" s="110" t="str">
        <f>IFERROR(IF(PAC!$X$6:$X$581="F03 - EXECUÇÃO DO OBJETO",1,""),"")</f>
        <v/>
      </c>
      <c r="BA546" s="110" t="str">
        <f>IFERROR(IF(PAC!$X$6:$X$581="F04 - CONCLUÍDA",1,""),"")</f>
        <v/>
      </c>
      <c r="BB546" s="111">
        <f>IF(PAC!$R546&gt;0,0,PAC!$Q546)</f>
        <v>0</v>
      </c>
    </row>
    <row r="547" spans="1:54" s="1" customFormat="1" ht="21" hidden="1" customHeight="1" thickBot="1">
      <c r="A547" s="112">
        <f t="shared" si="9"/>
        <v>542</v>
      </c>
      <c r="B547" s="112"/>
      <c r="C547" s="112"/>
      <c r="D547" s="112"/>
      <c r="E547" s="130"/>
      <c r="F547" s="115"/>
      <c r="G547" s="115"/>
      <c r="H547" s="112"/>
      <c r="I547" s="112"/>
      <c r="J547" s="112"/>
      <c r="K547" s="31"/>
      <c r="L547" s="31"/>
      <c r="M547" s="31"/>
      <c r="N547" s="31"/>
      <c r="O547" s="31"/>
      <c r="P547" s="31"/>
      <c r="Q547" s="33">
        <f>SUM(PAC!$M547:$P547)</f>
        <v>0</v>
      </c>
      <c r="R547" s="33"/>
      <c r="S547" s="33">
        <f>IF(PAC!$R547&gt;0,PAC!$R547,PAC!$Q547)</f>
        <v>0</v>
      </c>
      <c r="T547" s="33"/>
      <c r="U547" s="116" t="s">
        <v>1493</v>
      </c>
      <c r="V547" s="116"/>
      <c r="W547" s="117"/>
      <c r="X547" s="117"/>
      <c r="Y547" s="113"/>
      <c r="Z547" s="118"/>
      <c r="AA547" s="119"/>
      <c r="AB547" s="115"/>
      <c r="AC547" s="115"/>
      <c r="AD547" s="120"/>
      <c r="AE547" s="114"/>
      <c r="AF547" s="115"/>
      <c r="AG547" s="115"/>
      <c r="AH547" s="115"/>
      <c r="AI547" s="115"/>
      <c r="AJ547" s="118"/>
      <c r="AK547" s="115"/>
      <c r="AL547" s="115"/>
      <c r="AM547" s="115"/>
      <c r="AN547" s="118"/>
      <c r="AO547" s="118"/>
      <c r="AP547" s="118"/>
      <c r="AQ547" s="118"/>
      <c r="AR547" s="121"/>
      <c r="AS547" s="121"/>
      <c r="AT547" s="114"/>
      <c r="AU547" s="122"/>
      <c r="AV547" s="120"/>
      <c r="AW547" s="131"/>
      <c r="AX547" s="194" t="str">
        <f>IFERROR(IF(PAC!$X547="F01 - CAPTAÇÃO DE RECURSO",1,""),"")</f>
        <v/>
      </c>
      <c r="AY547" s="194" t="str">
        <f>IFERROR(IF(PAC!$X547="F02 - LICITAÇÃO",1,""),"")</f>
        <v/>
      </c>
      <c r="AZ547" s="123" t="str">
        <f>IFERROR(IF(PAC!$X$6:$X$581="F03 - EXECUÇÃO DO OBJETO",1,""),"")</f>
        <v/>
      </c>
      <c r="BA547" s="123" t="str">
        <f>IFERROR(IF(PAC!$X$6:$X$581="F04 - CONCLUÍDA",1,""),"")</f>
        <v/>
      </c>
      <c r="BB547" s="191">
        <f>IF(PAC!$R547&gt;0,0,PAC!$Q547)</f>
        <v>0</v>
      </c>
    </row>
    <row r="548" spans="1:54" s="1" customFormat="1" ht="21" hidden="1" customHeight="1" thickBot="1">
      <c r="A548" s="88">
        <f t="shared" si="9"/>
        <v>543</v>
      </c>
      <c r="B548" s="88"/>
      <c r="C548" s="88"/>
      <c r="D548" s="88"/>
      <c r="E548" s="89"/>
      <c r="F548" s="40"/>
      <c r="G548" s="40"/>
      <c r="H548" s="88"/>
      <c r="I548" s="88"/>
      <c r="J548" s="88"/>
      <c r="K548" s="18"/>
      <c r="L548" s="18"/>
      <c r="M548" s="18"/>
      <c r="N548" s="18"/>
      <c r="O548" s="18"/>
      <c r="P548" s="18"/>
      <c r="Q548" s="20">
        <f>SUM(PAC!$M548:$P548)</f>
        <v>0</v>
      </c>
      <c r="R548" s="20"/>
      <c r="S548" s="20">
        <f>IF(PAC!$R548&gt;0,PAC!$R548,PAC!$Q548)</f>
        <v>0</v>
      </c>
      <c r="T548" s="20"/>
      <c r="U548" s="103" t="s">
        <v>1493</v>
      </c>
      <c r="V548" s="103"/>
      <c r="W548" s="104"/>
      <c r="X548" s="104"/>
      <c r="Y548" s="101"/>
      <c r="Z548" s="87"/>
      <c r="AA548" s="105"/>
      <c r="AB548" s="40"/>
      <c r="AC548" s="40"/>
      <c r="AD548" s="106"/>
      <c r="AE548" s="102"/>
      <c r="AF548" s="40"/>
      <c r="AG548" s="40"/>
      <c r="AH548" s="40"/>
      <c r="AI548" s="40"/>
      <c r="AJ548" s="87"/>
      <c r="AK548" s="40"/>
      <c r="AL548" s="40"/>
      <c r="AM548" s="40"/>
      <c r="AN548" s="87"/>
      <c r="AO548" s="87"/>
      <c r="AP548" s="87"/>
      <c r="AQ548" s="87"/>
      <c r="AR548" s="107"/>
      <c r="AS548" s="107"/>
      <c r="AT548" s="102"/>
      <c r="AU548" s="108"/>
      <c r="AV548" s="106"/>
      <c r="AW548" s="129"/>
      <c r="AX548" s="109" t="str">
        <f>IFERROR(IF(PAC!$X548="F01 - CAPTAÇÃO DE RECURSO",1,""),"")</f>
        <v/>
      </c>
      <c r="AY548" s="109" t="str">
        <f>IFERROR(IF(PAC!$X548="F02 - LICITAÇÃO",1,""),"")</f>
        <v/>
      </c>
      <c r="AZ548" s="110" t="str">
        <f>IFERROR(IF(PAC!$X$6:$X$581="F03 - EXECUÇÃO DO OBJETO",1,""),"")</f>
        <v/>
      </c>
      <c r="BA548" s="110" t="str">
        <f>IFERROR(IF(PAC!$X$6:$X$581="F04 - CONCLUÍDA",1,""),"")</f>
        <v/>
      </c>
      <c r="BB548" s="111">
        <f>IF(PAC!$R548&gt;0,0,PAC!$Q548)</f>
        <v>0</v>
      </c>
    </row>
    <row r="549" spans="1:54" s="1" customFormat="1" ht="21" hidden="1" customHeight="1" thickBot="1">
      <c r="A549" s="112">
        <f t="shared" si="9"/>
        <v>544</v>
      </c>
      <c r="B549" s="112"/>
      <c r="C549" s="112"/>
      <c r="D549" s="112"/>
      <c r="E549" s="130"/>
      <c r="F549" s="115"/>
      <c r="G549" s="115"/>
      <c r="H549" s="112"/>
      <c r="I549" s="112"/>
      <c r="J549" s="112"/>
      <c r="K549" s="31"/>
      <c r="L549" s="31"/>
      <c r="M549" s="31"/>
      <c r="N549" s="31"/>
      <c r="O549" s="31"/>
      <c r="P549" s="31"/>
      <c r="Q549" s="33">
        <f>SUM(PAC!$M549:$P549)</f>
        <v>0</v>
      </c>
      <c r="R549" s="33"/>
      <c r="S549" s="33">
        <f>IF(PAC!$R549&gt;0,PAC!$R549,PAC!$Q549)</f>
        <v>0</v>
      </c>
      <c r="T549" s="33"/>
      <c r="U549" s="116" t="s">
        <v>1493</v>
      </c>
      <c r="V549" s="116"/>
      <c r="W549" s="117"/>
      <c r="X549" s="117"/>
      <c r="Y549" s="113"/>
      <c r="Z549" s="118"/>
      <c r="AA549" s="119"/>
      <c r="AB549" s="115"/>
      <c r="AC549" s="115"/>
      <c r="AD549" s="120"/>
      <c r="AE549" s="114"/>
      <c r="AF549" s="115"/>
      <c r="AG549" s="115"/>
      <c r="AH549" s="115"/>
      <c r="AI549" s="115"/>
      <c r="AJ549" s="118"/>
      <c r="AK549" s="115"/>
      <c r="AL549" s="115"/>
      <c r="AM549" s="115"/>
      <c r="AN549" s="118"/>
      <c r="AO549" s="118"/>
      <c r="AP549" s="118"/>
      <c r="AQ549" s="118"/>
      <c r="AR549" s="121"/>
      <c r="AS549" s="121"/>
      <c r="AT549" s="114"/>
      <c r="AU549" s="122"/>
      <c r="AV549" s="120"/>
      <c r="AW549" s="131"/>
      <c r="AX549" s="194" t="str">
        <f>IFERROR(IF(PAC!$X549="F01 - CAPTAÇÃO DE RECURSO",1,""),"")</f>
        <v/>
      </c>
      <c r="AY549" s="194" t="str">
        <f>IFERROR(IF(PAC!$X549="F02 - LICITAÇÃO",1,""),"")</f>
        <v/>
      </c>
      <c r="AZ549" s="123" t="str">
        <f>IFERROR(IF(PAC!$X$6:$X$581="F03 - EXECUÇÃO DO OBJETO",1,""),"")</f>
        <v/>
      </c>
      <c r="BA549" s="123" t="str">
        <f>IFERROR(IF(PAC!$X$6:$X$581="F04 - CONCLUÍDA",1,""),"")</f>
        <v/>
      </c>
      <c r="BB549" s="191">
        <f>IF(PAC!$R549&gt;0,0,PAC!$Q549)</f>
        <v>0</v>
      </c>
    </row>
    <row r="550" spans="1:54" s="1" customFormat="1" ht="21" hidden="1" customHeight="1" thickBot="1">
      <c r="A550" s="88">
        <f t="shared" si="9"/>
        <v>545</v>
      </c>
      <c r="B550" s="88"/>
      <c r="C550" s="88"/>
      <c r="D550" s="88"/>
      <c r="E550" s="89"/>
      <c r="F550" s="40"/>
      <c r="G550" s="40"/>
      <c r="H550" s="88"/>
      <c r="I550" s="88"/>
      <c r="J550" s="88"/>
      <c r="K550" s="18"/>
      <c r="L550" s="18"/>
      <c r="M550" s="18"/>
      <c r="N550" s="18"/>
      <c r="O550" s="18"/>
      <c r="P550" s="18"/>
      <c r="Q550" s="20">
        <f>SUM(PAC!$M550:$P550)</f>
        <v>0</v>
      </c>
      <c r="R550" s="20"/>
      <c r="S550" s="20">
        <f>IF(PAC!$R550&gt;0,PAC!$R550,PAC!$Q550)</f>
        <v>0</v>
      </c>
      <c r="T550" s="20"/>
      <c r="U550" s="103" t="s">
        <v>1493</v>
      </c>
      <c r="V550" s="103"/>
      <c r="W550" s="104"/>
      <c r="X550" s="104"/>
      <c r="Y550" s="101"/>
      <c r="Z550" s="87"/>
      <c r="AA550" s="105"/>
      <c r="AB550" s="40"/>
      <c r="AC550" s="40"/>
      <c r="AD550" s="106"/>
      <c r="AE550" s="102"/>
      <c r="AF550" s="40"/>
      <c r="AG550" s="40"/>
      <c r="AH550" s="40"/>
      <c r="AI550" s="40"/>
      <c r="AJ550" s="87"/>
      <c r="AK550" s="40"/>
      <c r="AL550" s="40"/>
      <c r="AM550" s="40"/>
      <c r="AN550" s="87"/>
      <c r="AO550" s="87"/>
      <c r="AP550" s="87"/>
      <c r="AQ550" s="87"/>
      <c r="AR550" s="107"/>
      <c r="AS550" s="107"/>
      <c r="AT550" s="102"/>
      <c r="AU550" s="108"/>
      <c r="AV550" s="106"/>
      <c r="AW550" s="129"/>
      <c r="AX550" s="109" t="str">
        <f>IFERROR(IF(PAC!$X550="F01 - CAPTAÇÃO DE RECURSO",1,""),"")</f>
        <v/>
      </c>
      <c r="AY550" s="109" t="str">
        <f>IFERROR(IF(PAC!$X550="F02 - LICITAÇÃO",1,""),"")</f>
        <v/>
      </c>
      <c r="AZ550" s="110" t="str">
        <f>IFERROR(IF(PAC!$X$6:$X$581="F03 - EXECUÇÃO DO OBJETO",1,""),"")</f>
        <v/>
      </c>
      <c r="BA550" s="110" t="str">
        <f>IFERROR(IF(PAC!$X$6:$X$581="F04 - CONCLUÍDA",1,""),"")</f>
        <v/>
      </c>
      <c r="BB550" s="111">
        <f>IF(PAC!$R550&gt;0,0,PAC!$Q550)</f>
        <v>0</v>
      </c>
    </row>
    <row r="551" spans="1:54" s="1" customFormat="1" ht="21" hidden="1" customHeight="1" thickBot="1">
      <c r="A551" s="112">
        <f t="shared" si="9"/>
        <v>546</v>
      </c>
      <c r="B551" s="112"/>
      <c r="C551" s="112"/>
      <c r="D551" s="112"/>
      <c r="E551" s="130"/>
      <c r="F551" s="115"/>
      <c r="G551" s="115"/>
      <c r="H551" s="112"/>
      <c r="I551" s="112"/>
      <c r="J551" s="112"/>
      <c r="K551" s="31"/>
      <c r="L551" s="31"/>
      <c r="M551" s="31"/>
      <c r="N551" s="31"/>
      <c r="O551" s="31"/>
      <c r="P551" s="31"/>
      <c r="Q551" s="33">
        <f>SUM(PAC!$M551:$P551)</f>
        <v>0</v>
      </c>
      <c r="R551" s="33"/>
      <c r="S551" s="33">
        <f>IF(PAC!$R551&gt;0,PAC!$R551,PAC!$Q551)</f>
        <v>0</v>
      </c>
      <c r="T551" s="33"/>
      <c r="U551" s="116" t="s">
        <v>1493</v>
      </c>
      <c r="V551" s="116"/>
      <c r="W551" s="117"/>
      <c r="X551" s="117"/>
      <c r="Y551" s="113"/>
      <c r="Z551" s="118"/>
      <c r="AA551" s="119"/>
      <c r="AB551" s="115"/>
      <c r="AC551" s="115"/>
      <c r="AD551" s="120"/>
      <c r="AE551" s="114"/>
      <c r="AF551" s="115"/>
      <c r="AG551" s="115"/>
      <c r="AH551" s="115"/>
      <c r="AI551" s="115"/>
      <c r="AJ551" s="118"/>
      <c r="AK551" s="115"/>
      <c r="AL551" s="115"/>
      <c r="AM551" s="115"/>
      <c r="AN551" s="118"/>
      <c r="AO551" s="118"/>
      <c r="AP551" s="118"/>
      <c r="AQ551" s="118"/>
      <c r="AR551" s="121"/>
      <c r="AS551" s="121"/>
      <c r="AT551" s="114"/>
      <c r="AU551" s="122"/>
      <c r="AV551" s="120"/>
      <c r="AW551" s="131"/>
      <c r="AX551" s="194" t="str">
        <f>IFERROR(IF(PAC!$X551="F01 - CAPTAÇÃO DE RECURSO",1,""),"")</f>
        <v/>
      </c>
      <c r="AY551" s="194" t="str">
        <f>IFERROR(IF(PAC!$X551="F02 - LICITAÇÃO",1,""),"")</f>
        <v/>
      </c>
      <c r="AZ551" s="123" t="str">
        <f>IFERROR(IF(PAC!$X$6:$X$581="F03 - EXECUÇÃO DO OBJETO",1,""),"")</f>
        <v/>
      </c>
      <c r="BA551" s="123" t="str">
        <f>IFERROR(IF(PAC!$X$6:$X$581="F04 - CONCLUÍDA",1,""),"")</f>
        <v/>
      </c>
      <c r="BB551" s="191">
        <f>IF(PAC!$R551&gt;0,0,PAC!$Q551)</f>
        <v>0</v>
      </c>
    </row>
    <row r="552" spans="1:54" s="1" customFormat="1" ht="21" hidden="1" customHeight="1" thickBot="1">
      <c r="A552" s="88">
        <f t="shared" si="9"/>
        <v>547</v>
      </c>
      <c r="B552" s="88"/>
      <c r="C552" s="88"/>
      <c r="D552" s="88"/>
      <c r="E552" s="89"/>
      <c r="F552" s="40"/>
      <c r="G552" s="40"/>
      <c r="H552" s="88"/>
      <c r="I552" s="88"/>
      <c r="J552" s="88"/>
      <c r="K552" s="18"/>
      <c r="L552" s="18"/>
      <c r="M552" s="18"/>
      <c r="N552" s="18"/>
      <c r="O552" s="18"/>
      <c r="P552" s="18"/>
      <c r="Q552" s="20">
        <f>SUM(PAC!$M552:$P552)</f>
        <v>0</v>
      </c>
      <c r="R552" s="20"/>
      <c r="S552" s="20">
        <f>IF(PAC!$R552&gt;0,PAC!$R552,PAC!$Q552)</f>
        <v>0</v>
      </c>
      <c r="T552" s="20"/>
      <c r="U552" s="103" t="s">
        <v>1493</v>
      </c>
      <c r="V552" s="103"/>
      <c r="W552" s="104"/>
      <c r="X552" s="104"/>
      <c r="Y552" s="101"/>
      <c r="Z552" s="87"/>
      <c r="AA552" s="105"/>
      <c r="AB552" s="40"/>
      <c r="AC552" s="40"/>
      <c r="AD552" s="106"/>
      <c r="AE552" s="102"/>
      <c r="AF552" s="40"/>
      <c r="AG552" s="40"/>
      <c r="AH552" s="40"/>
      <c r="AI552" s="40"/>
      <c r="AJ552" s="87"/>
      <c r="AK552" s="40"/>
      <c r="AL552" s="40"/>
      <c r="AM552" s="40"/>
      <c r="AN552" s="87"/>
      <c r="AO552" s="87"/>
      <c r="AP552" s="87"/>
      <c r="AQ552" s="87"/>
      <c r="AR552" s="107"/>
      <c r="AS552" s="107"/>
      <c r="AT552" s="102"/>
      <c r="AU552" s="108"/>
      <c r="AV552" s="106"/>
      <c r="AW552" s="129"/>
      <c r="AX552" s="109" t="str">
        <f>IFERROR(IF(PAC!$X552="F01 - CAPTAÇÃO DE RECURSO",1,""),"")</f>
        <v/>
      </c>
      <c r="AY552" s="109" t="str">
        <f>IFERROR(IF(PAC!$X552="F02 - LICITAÇÃO",1,""),"")</f>
        <v/>
      </c>
      <c r="AZ552" s="110" t="str">
        <f>IFERROR(IF(PAC!$X$6:$X$581="F03 - EXECUÇÃO DO OBJETO",1,""),"")</f>
        <v/>
      </c>
      <c r="BA552" s="110" t="str">
        <f>IFERROR(IF(PAC!$X$6:$X$581="F04 - CONCLUÍDA",1,""),"")</f>
        <v/>
      </c>
      <c r="BB552" s="111">
        <f>IF(PAC!$R552&gt;0,0,PAC!$Q552)</f>
        <v>0</v>
      </c>
    </row>
    <row r="553" spans="1:54" s="1" customFormat="1" ht="21" hidden="1" customHeight="1" thickBot="1">
      <c r="A553" s="112">
        <f t="shared" si="9"/>
        <v>548</v>
      </c>
      <c r="B553" s="112"/>
      <c r="C553" s="112"/>
      <c r="D553" s="112"/>
      <c r="E553" s="130"/>
      <c r="F553" s="115"/>
      <c r="G553" s="115"/>
      <c r="H553" s="112"/>
      <c r="I553" s="112"/>
      <c r="J553" s="112"/>
      <c r="K553" s="31"/>
      <c r="L553" s="31"/>
      <c r="M553" s="31"/>
      <c r="N553" s="31"/>
      <c r="O553" s="31"/>
      <c r="P553" s="31"/>
      <c r="Q553" s="33">
        <f>SUM(PAC!$M553:$P553)</f>
        <v>0</v>
      </c>
      <c r="R553" s="33"/>
      <c r="S553" s="33">
        <f>IF(PAC!$R553&gt;0,PAC!$R553,PAC!$Q553)</f>
        <v>0</v>
      </c>
      <c r="T553" s="33"/>
      <c r="U553" s="116" t="s">
        <v>1493</v>
      </c>
      <c r="V553" s="116"/>
      <c r="W553" s="117"/>
      <c r="X553" s="117"/>
      <c r="Y553" s="113"/>
      <c r="Z553" s="118"/>
      <c r="AA553" s="119"/>
      <c r="AB553" s="115"/>
      <c r="AC553" s="115"/>
      <c r="AD553" s="120"/>
      <c r="AE553" s="114"/>
      <c r="AF553" s="115"/>
      <c r="AG553" s="115"/>
      <c r="AH553" s="115"/>
      <c r="AI553" s="115"/>
      <c r="AJ553" s="118"/>
      <c r="AK553" s="115"/>
      <c r="AL553" s="115"/>
      <c r="AM553" s="115"/>
      <c r="AN553" s="118"/>
      <c r="AO553" s="118"/>
      <c r="AP553" s="118"/>
      <c r="AQ553" s="118"/>
      <c r="AR553" s="121"/>
      <c r="AS553" s="121"/>
      <c r="AT553" s="114"/>
      <c r="AU553" s="122"/>
      <c r="AV553" s="120"/>
      <c r="AW553" s="131"/>
      <c r="AX553" s="194" t="str">
        <f>IFERROR(IF(PAC!$X553="F01 - CAPTAÇÃO DE RECURSO",1,""),"")</f>
        <v/>
      </c>
      <c r="AY553" s="194" t="str">
        <f>IFERROR(IF(PAC!$X553="F02 - LICITAÇÃO",1,""),"")</f>
        <v/>
      </c>
      <c r="AZ553" s="123" t="str">
        <f>IFERROR(IF(PAC!$X$6:$X$581="F03 - EXECUÇÃO DO OBJETO",1,""),"")</f>
        <v/>
      </c>
      <c r="BA553" s="123" t="str">
        <f>IFERROR(IF(PAC!$X$6:$X$581="F04 - CONCLUÍDA",1,""),"")</f>
        <v/>
      </c>
      <c r="BB553" s="191">
        <f>IF(PAC!$R553&gt;0,0,PAC!$Q553)</f>
        <v>0</v>
      </c>
    </row>
    <row r="554" spans="1:54" s="1" customFormat="1" ht="21" hidden="1" customHeight="1" thickBot="1">
      <c r="A554" s="88">
        <f t="shared" si="9"/>
        <v>549</v>
      </c>
      <c r="B554" s="88"/>
      <c r="C554" s="88"/>
      <c r="D554" s="88"/>
      <c r="E554" s="89"/>
      <c r="F554" s="40"/>
      <c r="G554" s="40"/>
      <c r="H554" s="88"/>
      <c r="I554" s="88"/>
      <c r="J554" s="88"/>
      <c r="K554" s="18"/>
      <c r="L554" s="18"/>
      <c r="M554" s="18"/>
      <c r="N554" s="18"/>
      <c r="O554" s="18"/>
      <c r="P554" s="18"/>
      <c r="Q554" s="20">
        <f>SUM(PAC!$M554:$P554)</f>
        <v>0</v>
      </c>
      <c r="R554" s="20"/>
      <c r="S554" s="20">
        <f>IF(PAC!$R554&gt;0,PAC!$R554,PAC!$Q554)</f>
        <v>0</v>
      </c>
      <c r="T554" s="20"/>
      <c r="U554" s="103" t="s">
        <v>1493</v>
      </c>
      <c r="V554" s="103"/>
      <c r="W554" s="104"/>
      <c r="X554" s="104"/>
      <c r="Y554" s="101"/>
      <c r="Z554" s="87"/>
      <c r="AA554" s="105"/>
      <c r="AB554" s="40"/>
      <c r="AC554" s="40"/>
      <c r="AD554" s="106"/>
      <c r="AE554" s="102"/>
      <c r="AF554" s="40"/>
      <c r="AG554" s="40"/>
      <c r="AH554" s="40"/>
      <c r="AI554" s="40"/>
      <c r="AJ554" s="87"/>
      <c r="AK554" s="40"/>
      <c r="AL554" s="40"/>
      <c r="AM554" s="40"/>
      <c r="AN554" s="87"/>
      <c r="AO554" s="87"/>
      <c r="AP554" s="87"/>
      <c r="AQ554" s="87"/>
      <c r="AR554" s="107"/>
      <c r="AS554" s="107"/>
      <c r="AT554" s="102"/>
      <c r="AU554" s="108"/>
      <c r="AV554" s="106"/>
      <c r="AW554" s="129"/>
      <c r="AX554" s="109" t="str">
        <f>IFERROR(IF(PAC!$X554="F01 - CAPTAÇÃO DE RECURSO",1,""),"")</f>
        <v/>
      </c>
      <c r="AY554" s="109" t="str">
        <f>IFERROR(IF(PAC!$X554="F02 - LICITAÇÃO",1,""),"")</f>
        <v/>
      </c>
      <c r="AZ554" s="110" t="str">
        <f>IFERROR(IF(PAC!$X$6:$X$581="F03 - EXECUÇÃO DO OBJETO",1,""),"")</f>
        <v/>
      </c>
      <c r="BA554" s="110" t="str">
        <f>IFERROR(IF(PAC!$X$6:$X$581="F04 - CONCLUÍDA",1,""),"")</f>
        <v/>
      </c>
      <c r="BB554" s="111">
        <f>IF(PAC!$R554&gt;0,0,PAC!$Q554)</f>
        <v>0</v>
      </c>
    </row>
    <row r="555" spans="1:54" s="1" customFormat="1" ht="21" hidden="1" customHeight="1" thickBot="1">
      <c r="A555" s="112">
        <f t="shared" si="9"/>
        <v>550</v>
      </c>
      <c r="B555" s="112"/>
      <c r="C555" s="112"/>
      <c r="D555" s="112"/>
      <c r="E555" s="130"/>
      <c r="F555" s="115"/>
      <c r="G555" s="115"/>
      <c r="H555" s="112"/>
      <c r="I555" s="112"/>
      <c r="J555" s="112"/>
      <c r="K555" s="31"/>
      <c r="L555" s="31"/>
      <c r="M555" s="31"/>
      <c r="N555" s="31"/>
      <c r="O555" s="31"/>
      <c r="P555" s="31"/>
      <c r="Q555" s="33">
        <f>SUM(PAC!$M555:$P555)</f>
        <v>0</v>
      </c>
      <c r="R555" s="33"/>
      <c r="S555" s="33">
        <f>IF(PAC!$R555&gt;0,PAC!$R555,PAC!$Q555)</f>
        <v>0</v>
      </c>
      <c r="T555" s="33"/>
      <c r="U555" s="116" t="s">
        <v>1493</v>
      </c>
      <c r="V555" s="116"/>
      <c r="W555" s="117"/>
      <c r="X555" s="117"/>
      <c r="Y555" s="113"/>
      <c r="Z555" s="118"/>
      <c r="AA555" s="119"/>
      <c r="AB555" s="115"/>
      <c r="AC555" s="115"/>
      <c r="AD555" s="120"/>
      <c r="AE555" s="114"/>
      <c r="AF555" s="115"/>
      <c r="AG555" s="115"/>
      <c r="AH555" s="115"/>
      <c r="AI555" s="115"/>
      <c r="AJ555" s="118"/>
      <c r="AK555" s="115"/>
      <c r="AL555" s="115"/>
      <c r="AM555" s="115"/>
      <c r="AN555" s="118"/>
      <c r="AO555" s="118"/>
      <c r="AP555" s="118"/>
      <c r="AQ555" s="118"/>
      <c r="AR555" s="121"/>
      <c r="AS555" s="121"/>
      <c r="AT555" s="114"/>
      <c r="AU555" s="122"/>
      <c r="AV555" s="120"/>
      <c r="AW555" s="131"/>
      <c r="AX555" s="194" t="str">
        <f>IFERROR(IF(PAC!$X555="F01 - CAPTAÇÃO DE RECURSO",1,""),"")</f>
        <v/>
      </c>
      <c r="AY555" s="194" t="str">
        <f>IFERROR(IF(PAC!$X555="F02 - LICITAÇÃO",1,""),"")</f>
        <v/>
      </c>
      <c r="AZ555" s="123" t="str">
        <f>IFERROR(IF(PAC!$X$6:$X$581="F03 - EXECUÇÃO DO OBJETO",1,""),"")</f>
        <v/>
      </c>
      <c r="BA555" s="123" t="str">
        <f>IFERROR(IF(PAC!$X$6:$X$581="F04 - CONCLUÍDA",1,""),"")</f>
        <v/>
      </c>
      <c r="BB555" s="191">
        <f>IF(PAC!$R555&gt;0,0,PAC!$Q555)</f>
        <v>0</v>
      </c>
    </row>
    <row r="556" spans="1:54" s="1" customFormat="1" ht="21" hidden="1" customHeight="1" thickBot="1">
      <c r="A556" s="88">
        <f t="shared" si="9"/>
        <v>551</v>
      </c>
      <c r="B556" s="88"/>
      <c r="C556" s="88"/>
      <c r="D556" s="88"/>
      <c r="E556" s="89"/>
      <c r="F556" s="40"/>
      <c r="G556" s="40"/>
      <c r="H556" s="88"/>
      <c r="I556" s="88"/>
      <c r="J556" s="88"/>
      <c r="K556" s="18"/>
      <c r="L556" s="18"/>
      <c r="M556" s="18"/>
      <c r="N556" s="18"/>
      <c r="O556" s="18"/>
      <c r="P556" s="18"/>
      <c r="Q556" s="20">
        <f>SUM(PAC!$M556:$P556)</f>
        <v>0</v>
      </c>
      <c r="R556" s="20"/>
      <c r="S556" s="20">
        <f>IF(PAC!$R556&gt;0,PAC!$R556,PAC!$Q556)</f>
        <v>0</v>
      </c>
      <c r="T556" s="20"/>
      <c r="U556" s="103" t="s">
        <v>1493</v>
      </c>
      <c r="V556" s="103"/>
      <c r="W556" s="104"/>
      <c r="X556" s="104"/>
      <c r="Y556" s="101"/>
      <c r="Z556" s="87"/>
      <c r="AA556" s="105"/>
      <c r="AB556" s="40"/>
      <c r="AC556" s="40"/>
      <c r="AD556" s="106"/>
      <c r="AE556" s="102"/>
      <c r="AF556" s="40"/>
      <c r="AG556" s="40"/>
      <c r="AH556" s="40"/>
      <c r="AI556" s="40"/>
      <c r="AJ556" s="87"/>
      <c r="AK556" s="40"/>
      <c r="AL556" s="40"/>
      <c r="AM556" s="40"/>
      <c r="AN556" s="87"/>
      <c r="AO556" s="87"/>
      <c r="AP556" s="87"/>
      <c r="AQ556" s="87"/>
      <c r="AR556" s="107"/>
      <c r="AS556" s="107"/>
      <c r="AT556" s="102"/>
      <c r="AU556" s="108"/>
      <c r="AV556" s="106"/>
      <c r="AW556" s="129"/>
      <c r="AX556" s="109" t="str">
        <f>IFERROR(IF(PAC!$X556="F01 - CAPTAÇÃO DE RECURSO",1,""),"")</f>
        <v/>
      </c>
      <c r="AY556" s="109" t="str">
        <f>IFERROR(IF(PAC!$X556="F02 - LICITAÇÃO",1,""),"")</f>
        <v/>
      </c>
      <c r="AZ556" s="110" t="str">
        <f>IFERROR(IF(PAC!$X$6:$X$581="F03 - EXECUÇÃO DO OBJETO",1,""),"")</f>
        <v/>
      </c>
      <c r="BA556" s="110" t="str">
        <f>IFERROR(IF(PAC!$X$6:$X$581="F04 - CONCLUÍDA",1,""),"")</f>
        <v/>
      </c>
      <c r="BB556" s="111">
        <f>IF(PAC!$R556&gt;0,0,PAC!$Q556)</f>
        <v>0</v>
      </c>
    </row>
    <row r="557" spans="1:54" s="1" customFormat="1" ht="21" hidden="1" customHeight="1" thickBot="1">
      <c r="A557" s="112">
        <f t="shared" si="9"/>
        <v>552</v>
      </c>
      <c r="B557" s="112"/>
      <c r="C557" s="112"/>
      <c r="D557" s="112"/>
      <c r="E557" s="130"/>
      <c r="F557" s="115"/>
      <c r="G557" s="115"/>
      <c r="H557" s="112"/>
      <c r="I557" s="112"/>
      <c r="J557" s="112"/>
      <c r="K557" s="31"/>
      <c r="L557" s="31"/>
      <c r="M557" s="31"/>
      <c r="N557" s="31"/>
      <c r="O557" s="31"/>
      <c r="P557" s="31"/>
      <c r="Q557" s="33">
        <f>SUM(PAC!$M557:$P557)</f>
        <v>0</v>
      </c>
      <c r="R557" s="33"/>
      <c r="S557" s="33">
        <f>IF(PAC!$R557&gt;0,PAC!$R557,PAC!$Q557)</f>
        <v>0</v>
      </c>
      <c r="T557" s="33"/>
      <c r="U557" s="116" t="s">
        <v>1493</v>
      </c>
      <c r="V557" s="116"/>
      <c r="W557" s="117"/>
      <c r="X557" s="117"/>
      <c r="Y557" s="113"/>
      <c r="Z557" s="118"/>
      <c r="AA557" s="119"/>
      <c r="AB557" s="115"/>
      <c r="AC557" s="115"/>
      <c r="AD557" s="120"/>
      <c r="AE557" s="114"/>
      <c r="AF557" s="115"/>
      <c r="AG557" s="115"/>
      <c r="AH557" s="115"/>
      <c r="AI557" s="115"/>
      <c r="AJ557" s="118"/>
      <c r="AK557" s="115"/>
      <c r="AL557" s="115"/>
      <c r="AM557" s="115"/>
      <c r="AN557" s="118"/>
      <c r="AO557" s="118"/>
      <c r="AP557" s="118"/>
      <c r="AQ557" s="118"/>
      <c r="AR557" s="121"/>
      <c r="AS557" s="121"/>
      <c r="AT557" s="114"/>
      <c r="AU557" s="122"/>
      <c r="AV557" s="120"/>
      <c r="AW557" s="131"/>
      <c r="AX557" s="194" t="str">
        <f>IFERROR(IF(PAC!$X557="F01 - CAPTAÇÃO DE RECURSO",1,""),"")</f>
        <v/>
      </c>
      <c r="AY557" s="194" t="str">
        <f>IFERROR(IF(PAC!$X557="F02 - LICITAÇÃO",1,""),"")</f>
        <v/>
      </c>
      <c r="AZ557" s="123" t="str">
        <f>IFERROR(IF(PAC!$X$6:$X$581="F03 - EXECUÇÃO DO OBJETO",1,""),"")</f>
        <v/>
      </c>
      <c r="BA557" s="123" t="str">
        <f>IFERROR(IF(PAC!$X$6:$X$581="F04 - CONCLUÍDA",1,""),"")</f>
        <v/>
      </c>
      <c r="BB557" s="191">
        <f>IF(PAC!$R557&gt;0,0,PAC!$Q557)</f>
        <v>0</v>
      </c>
    </row>
    <row r="558" spans="1:54" s="1" customFormat="1" ht="21" hidden="1" customHeight="1" thickBot="1">
      <c r="A558" s="88">
        <f t="shared" si="9"/>
        <v>553</v>
      </c>
      <c r="B558" s="88"/>
      <c r="C558" s="88"/>
      <c r="D558" s="88"/>
      <c r="E558" s="89"/>
      <c r="F558" s="40"/>
      <c r="G558" s="40"/>
      <c r="H558" s="88"/>
      <c r="I558" s="88"/>
      <c r="J558" s="88"/>
      <c r="K558" s="18"/>
      <c r="L558" s="18"/>
      <c r="M558" s="18"/>
      <c r="N558" s="18"/>
      <c r="O558" s="18"/>
      <c r="P558" s="18"/>
      <c r="Q558" s="20">
        <f>SUM(PAC!$M558:$P558)</f>
        <v>0</v>
      </c>
      <c r="R558" s="20"/>
      <c r="S558" s="20">
        <f>IF(PAC!$R558&gt;0,PAC!$R558,PAC!$Q558)</f>
        <v>0</v>
      </c>
      <c r="T558" s="20"/>
      <c r="U558" s="103" t="s">
        <v>1493</v>
      </c>
      <c r="V558" s="103"/>
      <c r="W558" s="104"/>
      <c r="X558" s="104"/>
      <c r="Y558" s="101"/>
      <c r="Z558" s="87"/>
      <c r="AA558" s="105"/>
      <c r="AB558" s="40"/>
      <c r="AC558" s="40"/>
      <c r="AD558" s="106"/>
      <c r="AE558" s="102"/>
      <c r="AF558" s="40"/>
      <c r="AG558" s="40"/>
      <c r="AH558" s="40"/>
      <c r="AI558" s="40"/>
      <c r="AJ558" s="87"/>
      <c r="AK558" s="40"/>
      <c r="AL558" s="40"/>
      <c r="AM558" s="40"/>
      <c r="AN558" s="87"/>
      <c r="AO558" s="87"/>
      <c r="AP558" s="87"/>
      <c r="AQ558" s="87"/>
      <c r="AR558" s="107"/>
      <c r="AS558" s="107"/>
      <c r="AT558" s="102"/>
      <c r="AU558" s="108"/>
      <c r="AV558" s="106"/>
      <c r="AW558" s="129"/>
      <c r="AX558" s="109" t="str">
        <f>IFERROR(IF(PAC!$X558="F01 - CAPTAÇÃO DE RECURSO",1,""),"")</f>
        <v/>
      </c>
      <c r="AY558" s="109" t="str">
        <f>IFERROR(IF(PAC!$X558="F02 - LICITAÇÃO",1,""),"")</f>
        <v/>
      </c>
      <c r="AZ558" s="110" t="str">
        <f>IFERROR(IF(PAC!$X$6:$X$581="F03 - EXECUÇÃO DO OBJETO",1,""),"")</f>
        <v/>
      </c>
      <c r="BA558" s="110" t="str">
        <f>IFERROR(IF(PAC!$X$6:$X$581="F04 - CONCLUÍDA",1,""),"")</f>
        <v/>
      </c>
      <c r="BB558" s="111">
        <f>IF(PAC!$R558&gt;0,0,PAC!$Q558)</f>
        <v>0</v>
      </c>
    </row>
    <row r="559" spans="1:54" s="1" customFormat="1" ht="21" hidden="1" customHeight="1" thickBot="1">
      <c r="A559" s="112">
        <f t="shared" si="9"/>
        <v>554</v>
      </c>
      <c r="B559" s="112"/>
      <c r="C559" s="112"/>
      <c r="D559" s="112"/>
      <c r="E559" s="130"/>
      <c r="F559" s="115"/>
      <c r="G559" s="115"/>
      <c r="H559" s="112"/>
      <c r="I559" s="112"/>
      <c r="J559" s="112"/>
      <c r="K559" s="31"/>
      <c r="L559" s="31"/>
      <c r="M559" s="31"/>
      <c r="N559" s="31"/>
      <c r="O559" s="31"/>
      <c r="P559" s="31"/>
      <c r="Q559" s="33">
        <f>SUM(PAC!$M559:$P559)</f>
        <v>0</v>
      </c>
      <c r="R559" s="33"/>
      <c r="S559" s="33">
        <f>IF(PAC!$R559&gt;0,PAC!$R559,PAC!$Q559)</f>
        <v>0</v>
      </c>
      <c r="T559" s="33"/>
      <c r="U559" s="116" t="s">
        <v>1493</v>
      </c>
      <c r="V559" s="116"/>
      <c r="W559" s="117"/>
      <c r="X559" s="117"/>
      <c r="Y559" s="113"/>
      <c r="Z559" s="118"/>
      <c r="AA559" s="119"/>
      <c r="AB559" s="115"/>
      <c r="AC559" s="115"/>
      <c r="AD559" s="120"/>
      <c r="AE559" s="114"/>
      <c r="AF559" s="115"/>
      <c r="AG559" s="115"/>
      <c r="AH559" s="115"/>
      <c r="AI559" s="115"/>
      <c r="AJ559" s="118"/>
      <c r="AK559" s="115"/>
      <c r="AL559" s="115"/>
      <c r="AM559" s="115"/>
      <c r="AN559" s="118"/>
      <c r="AO559" s="118"/>
      <c r="AP559" s="118"/>
      <c r="AQ559" s="118"/>
      <c r="AR559" s="121"/>
      <c r="AS559" s="121"/>
      <c r="AT559" s="114"/>
      <c r="AU559" s="122"/>
      <c r="AV559" s="120"/>
      <c r="AW559" s="131"/>
      <c r="AX559" s="194" t="str">
        <f>IFERROR(IF(PAC!$X559="F01 - CAPTAÇÃO DE RECURSO",1,""),"")</f>
        <v/>
      </c>
      <c r="AY559" s="194" t="str">
        <f>IFERROR(IF(PAC!$X559="F02 - LICITAÇÃO",1,""),"")</f>
        <v/>
      </c>
      <c r="AZ559" s="123" t="str">
        <f>IFERROR(IF(PAC!$X$6:$X$581="F03 - EXECUÇÃO DO OBJETO",1,""),"")</f>
        <v/>
      </c>
      <c r="BA559" s="123" t="str">
        <f>IFERROR(IF(PAC!$X$6:$X$581="F04 - CONCLUÍDA",1,""),"")</f>
        <v/>
      </c>
      <c r="BB559" s="191">
        <f>IF(PAC!$R559&gt;0,0,PAC!$Q559)</f>
        <v>0</v>
      </c>
    </row>
    <row r="560" spans="1:54" s="1" customFormat="1" ht="21" hidden="1" customHeight="1" thickBot="1">
      <c r="A560" s="88">
        <f t="shared" si="9"/>
        <v>555</v>
      </c>
      <c r="B560" s="88"/>
      <c r="C560" s="88"/>
      <c r="D560" s="88"/>
      <c r="E560" s="89"/>
      <c r="F560" s="40"/>
      <c r="G560" s="40"/>
      <c r="H560" s="88"/>
      <c r="I560" s="88"/>
      <c r="J560" s="88"/>
      <c r="K560" s="18"/>
      <c r="L560" s="18"/>
      <c r="M560" s="18"/>
      <c r="N560" s="18"/>
      <c r="O560" s="18"/>
      <c r="P560" s="18"/>
      <c r="Q560" s="20">
        <f>SUM(PAC!$M560:$P560)</f>
        <v>0</v>
      </c>
      <c r="R560" s="20"/>
      <c r="S560" s="20">
        <f>IF(PAC!$R560&gt;0,PAC!$R560,PAC!$Q560)</f>
        <v>0</v>
      </c>
      <c r="T560" s="20"/>
      <c r="U560" s="103" t="s">
        <v>1493</v>
      </c>
      <c r="V560" s="103"/>
      <c r="W560" s="104"/>
      <c r="X560" s="104"/>
      <c r="Y560" s="101"/>
      <c r="Z560" s="87"/>
      <c r="AA560" s="105"/>
      <c r="AB560" s="40"/>
      <c r="AC560" s="40"/>
      <c r="AD560" s="106"/>
      <c r="AE560" s="102"/>
      <c r="AF560" s="40"/>
      <c r="AG560" s="40"/>
      <c r="AH560" s="40"/>
      <c r="AI560" s="40"/>
      <c r="AJ560" s="87"/>
      <c r="AK560" s="40"/>
      <c r="AL560" s="40"/>
      <c r="AM560" s="40"/>
      <c r="AN560" s="87"/>
      <c r="AO560" s="87"/>
      <c r="AP560" s="87"/>
      <c r="AQ560" s="87"/>
      <c r="AR560" s="107"/>
      <c r="AS560" s="107"/>
      <c r="AT560" s="102"/>
      <c r="AU560" s="108"/>
      <c r="AV560" s="106"/>
      <c r="AW560" s="129"/>
      <c r="AX560" s="109" t="str">
        <f>IFERROR(IF(PAC!$X560="F01 - CAPTAÇÃO DE RECURSO",1,""),"")</f>
        <v/>
      </c>
      <c r="AY560" s="109" t="str">
        <f>IFERROR(IF(PAC!$X560="F02 - LICITAÇÃO",1,""),"")</f>
        <v/>
      </c>
      <c r="AZ560" s="110" t="str">
        <f>IFERROR(IF(PAC!$X$6:$X$581="F03 - EXECUÇÃO DO OBJETO",1,""),"")</f>
        <v/>
      </c>
      <c r="BA560" s="110" t="str">
        <f>IFERROR(IF(PAC!$X$6:$X$581="F04 - CONCLUÍDA",1,""),"")</f>
        <v/>
      </c>
      <c r="BB560" s="111">
        <f>IF(PAC!$R560&gt;0,0,PAC!$Q560)</f>
        <v>0</v>
      </c>
    </row>
    <row r="561" spans="1:54" s="1" customFormat="1" ht="21" hidden="1" customHeight="1" thickBot="1">
      <c r="A561" s="112">
        <f t="shared" si="9"/>
        <v>556</v>
      </c>
      <c r="B561" s="112"/>
      <c r="C561" s="112"/>
      <c r="D561" s="112"/>
      <c r="E561" s="130"/>
      <c r="F561" s="115"/>
      <c r="G561" s="115"/>
      <c r="H561" s="112"/>
      <c r="I561" s="112"/>
      <c r="J561" s="112"/>
      <c r="K561" s="31"/>
      <c r="L561" s="31"/>
      <c r="M561" s="31"/>
      <c r="N561" s="31"/>
      <c r="O561" s="31"/>
      <c r="P561" s="31"/>
      <c r="Q561" s="33">
        <f>SUM(PAC!$M561:$P561)</f>
        <v>0</v>
      </c>
      <c r="R561" s="33"/>
      <c r="S561" s="33">
        <f>IF(PAC!$R561&gt;0,PAC!$R561,PAC!$Q561)</f>
        <v>0</v>
      </c>
      <c r="T561" s="33"/>
      <c r="U561" s="116" t="s">
        <v>1493</v>
      </c>
      <c r="V561" s="116"/>
      <c r="W561" s="117"/>
      <c r="X561" s="117"/>
      <c r="Y561" s="113"/>
      <c r="Z561" s="118"/>
      <c r="AA561" s="119"/>
      <c r="AB561" s="115"/>
      <c r="AC561" s="115"/>
      <c r="AD561" s="120"/>
      <c r="AE561" s="114"/>
      <c r="AF561" s="115"/>
      <c r="AG561" s="115"/>
      <c r="AH561" s="115"/>
      <c r="AI561" s="115"/>
      <c r="AJ561" s="118"/>
      <c r="AK561" s="115"/>
      <c r="AL561" s="115"/>
      <c r="AM561" s="115"/>
      <c r="AN561" s="118"/>
      <c r="AO561" s="118"/>
      <c r="AP561" s="118"/>
      <c r="AQ561" s="118"/>
      <c r="AR561" s="121"/>
      <c r="AS561" s="121"/>
      <c r="AT561" s="114"/>
      <c r="AU561" s="122"/>
      <c r="AV561" s="120"/>
      <c r="AW561" s="131"/>
      <c r="AX561" s="194" t="str">
        <f>IFERROR(IF(PAC!$X561="F01 - CAPTAÇÃO DE RECURSO",1,""),"")</f>
        <v/>
      </c>
      <c r="AY561" s="194" t="str">
        <f>IFERROR(IF(PAC!$X561="F02 - LICITAÇÃO",1,""),"")</f>
        <v/>
      </c>
      <c r="AZ561" s="123" t="str">
        <f>IFERROR(IF(PAC!$X$6:$X$581="F03 - EXECUÇÃO DO OBJETO",1,""),"")</f>
        <v/>
      </c>
      <c r="BA561" s="123" t="str">
        <f>IFERROR(IF(PAC!$X$6:$X$581="F04 - CONCLUÍDA",1,""),"")</f>
        <v/>
      </c>
      <c r="BB561" s="191">
        <f>IF(PAC!$R561&gt;0,0,PAC!$Q561)</f>
        <v>0</v>
      </c>
    </row>
    <row r="562" spans="1:54" s="1" customFormat="1" ht="21" hidden="1" customHeight="1" thickBot="1">
      <c r="A562" s="88">
        <f t="shared" si="9"/>
        <v>557</v>
      </c>
      <c r="B562" s="88"/>
      <c r="C562" s="88"/>
      <c r="D562" s="88"/>
      <c r="E562" s="89"/>
      <c r="F562" s="40"/>
      <c r="G562" s="40"/>
      <c r="H562" s="88"/>
      <c r="I562" s="88"/>
      <c r="J562" s="88"/>
      <c r="K562" s="18"/>
      <c r="L562" s="18"/>
      <c r="M562" s="18"/>
      <c r="N562" s="18"/>
      <c r="O562" s="18"/>
      <c r="P562" s="18"/>
      <c r="Q562" s="20">
        <f>SUM(PAC!$M562:$P562)</f>
        <v>0</v>
      </c>
      <c r="R562" s="20"/>
      <c r="S562" s="20">
        <f>IF(PAC!$R562&gt;0,PAC!$R562,PAC!$Q562)</f>
        <v>0</v>
      </c>
      <c r="T562" s="20"/>
      <c r="U562" s="103" t="s">
        <v>1493</v>
      </c>
      <c r="V562" s="103"/>
      <c r="W562" s="104"/>
      <c r="X562" s="104"/>
      <c r="Y562" s="101"/>
      <c r="Z562" s="87"/>
      <c r="AA562" s="105"/>
      <c r="AB562" s="40"/>
      <c r="AC562" s="40"/>
      <c r="AD562" s="106"/>
      <c r="AE562" s="102"/>
      <c r="AF562" s="40"/>
      <c r="AG562" s="40"/>
      <c r="AH562" s="40"/>
      <c r="AI562" s="40"/>
      <c r="AJ562" s="87"/>
      <c r="AK562" s="40"/>
      <c r="AL562" s="40"/>
      <c r="AM562" s="40"/>
      <c r="AN562" s="87"/>
      <c r="AO562" s="87"/>
      <c r="AP562" s="87"/>
      <c r="AQ562" s="87"/>
      <c r="AR562" s="107"/>
      <c r="AS562" s="107"/>
      <c r="AT562" s="102"/>
      <c r="AU562" s="108"/>
      <c r="AV562" s="106"/>
      <c r="AW562" s="129"/>
      <c r="AX562" s="109" t="str">
        <f>IFERROR(IF(PAC!$X562="F01 - CAPTAÇÃO DE RECURSO",1,""),"")</f>
        <v/>
      </c>
      <c r="AY562" s="109" t="str">
        <f>IFERROR(IF(PAC!$X562="F02 - LICITAÇÃO",1,""),"")</f>
        <v/>
      </c>
      <c r="AZ562" s="110" t="str">
        <f>IFERROR(IF(PAC!$X$6:$X$581="F03 - EXECUÇÃO DO OBJETO",1,""),"")</f>
        <v/>
      </c>
      <c r="BA562" s="110" t="str">
        <f>IFERROR(IF(PAC!$X$6:$X$581="F04 - CONCLUÍDA",1,""),"")</f>
        <v/>
      </c>
      <c r="BB562" s="111">
        <f>IF(PAC!$R562&gt;0,0,PAC!$Q562)</f>
        <v>0</v>
      </c>
    </row>
    <row r="563" spans="1:54" s="1" customFormat="1" ht="21" hidden="1" customHeight="1" thickBot="1">
      <c r="A563" s="112">
        <f t="shared" si="9"/>
        <v>558</v>
      </c>
      <c r="B563" s="112"/>
      <c r="C563" s="112"/>
      <c r="D563" s="112"/>
      <c r="E563" s="130"/>
      <c r="F563" s="115"/>
      <c r="G563" s="115"/>
      <c r="H563" s="112"/>
      <c r="I563" s="112"/>
      <c r="J563" s="112"/>
      <c r="K563" s="31"/>
      <c r="L563" s="31"/>
      <c r="M563" s="31"/>
      <c r="N563" s="31"/>
      <c r="O563" s="31"/>
      <c r="P563" s="31"/>
      <c r="Q563" s="33">
        <f>SUM(PAC!$M563:$P563)</f>
        <v>0</v>
      </c>
      <c r="R563" s="33"/>
      <c r="S563" s="33">
        <f>IF(PAC!$R563&gt;0,PAC!$R563,PAC!$Q563)</f>
        <v>0</v>
      </c>
      <c r="T563" s="33"/>
      <c r="U563" s="116" t="s">
        <v>1493</v>
      </c>
      <c r="V563" s="116"/>
      <c r="W563" s="117"/>
      <c r="X563" s="117"/>
      <c r="Y563" s="113"/>
      <c r="Z563" s="118"/>
      <c r="AA563" s="119"/>
      <c r="AB563" s="115"/>
      <c r="AC563" s="115"/>
      <c r="AD563" s="120"/>
      <c r="AE563" s="114"/>
      <c r="AF563" s="115"/>
      <c r="AG563" s="115"/>
      <c r="AH563" s="115"/>
      <c r="AI563" s="115"/>
      <c r="AJ563" s="118"/>
      <c r="AK563" s="115"/>
      <c r="AL563" s="115"/>
      <c r="AM563" s="115"/>
      <c r="AN563" s="118"/>
      <c r="AO563" s="118"/>
      <c r="AP563" s="118"/>
      <c r="AQ563" s="118"/>
      <c r="AR563" s="121"/>
      <c r="AS563" s="121"/>
      <c r="AT563" s="114"/>
      <c r="AU563" s="122"/>
      <c r="AV563" s="120"/>
      <c r="AW563" s="131"/>
      <c r="AX563" s="194" t="str">
        <f>IFERROR(IF(PAC!$X563="F01 - CAPTAÇÃO DE RECURSO",1,""),"")</f>
        <v/>
      </c>
      <c r="AY563" s="194" t="str">
        <f>IFERROR(IF(PAC!$X563="F02 - LICITAÇÃO",1,""),"")</f>
        <v/>
      </c>
      <c r="AZ563" s="123" t="str">
        <f>IFERROR(IF(PAC!$X$6:$X$581="F03 - EXECUÇÃO DO OBJETO",1,""),"")</f>
        <v/>
      </c>
      <c r="BA563" s="123" t="str">
        <f>IFERROR(IF(PAC!$X$6:$X$581="F04 - CONCLUÍDA",1,""),"")</f>
        <v/>
      </c>
      <c r="BB563" s="191">
        <f>IF(PAC!$R563&gt;0,0,PAC!$Q563)</f>
        <v>0</v>
      </c>
    </row>
    <row r="564" spans="1:54" s="1" customFormat="1" ht="21" hidden="1" customHeight="1" thickBot="1">
      <c r="A564" s="88">
        <f t="shared" si="9"/>
        <v>559</v>
      </c>
      <c r="B564" s="88"/>
      <c r="C564" s="88"/>
      <c r="D564" s="88"/>
      <c r="E564" s="89"/>
      <c r="F564" s="40"/>
      <c r="G564" s="40"/>
      <c r="H564" s="88"/>
      <c r="I564" s="88"/>
      <c r="J564" s="88"/>
      <c r="K564" s="18"/>
      <c r="L564" s="18"/>
      <c r="M564" s="18"/>
      <c r="N564" s="18"/>
      <c r="O564" s="18"/>
      <c r="P564" s="18"/>
      <c r="Q564" s="20">
        <f>SUM(PAC!$M564:$P564)</f>
        <v>0</v>
      </c>
      <c r="R564" s="20"/>
      <c r="S564" s="20">
        <f>IF(PAC!$R564&gt;0,PAC!$R564,PAC!$Q564)</f>
        <v>0</v>
      </c>
      <c r="T564" s="20"/>
      <c r="U564" s="103" t="s">
        <v>1493</v>
      </c>
      <c r="V564" s="103"/>
      <c r="W564" s="104"/>
      <c r="X564" s="104"/>
      <c r="Y564" s="101"/>
      <c r="Z564" s="87"/>
      <c r="AA564" s="105"/>
      <c r="AB564" s="40"/>
      <c r="AC564" s="40"/>
      <c r="AD564" s="106"/>
      <c r="AE564" s="102"/>
      <c r="AF564" s="40"/>
      <c r="AG564" s="40"/>
      <c r="AH564" s="40"/>
      <c r="AI564" s="40"/>
      <c r="AJ564" s="87"/>
      <c r="AK564" s="40"/>
      <c r="AL564" s="40"/>
      <c r="AM564" s="40"/>
      <c r="AN564" s="87"/>
      <c r="AO564" s="87"/>
      <c r="AP564" s="87"/>
      <c r="AQ564" s="87"/>
      <c r="AR564" s="107"/>
      <c r="AS564" s="107"/>
      <c r="AT564" s="102"/>
      <c r="AU564" s="108"/>
      <c r="AV564" s="106"/>
      <c r="AW564" s="129"/>
      <c r="AX564" s="109" t="str">
        <f>IFERROR(IF(PAC!$X564="F01 - CAPTAÇÃO DE RECURSO",1,""),"")</f>
        <v/>
      </c>
      <c r="AY564" s="109" t="str">
        <f>IFERROR(IF(PAC!$X564="F02 - LICITAÇÃO",1,""),"")</f>
        <v/>
      </c>
      <c r="AZ564" s="110" t="str">
        <f>IFERROR(IF(PAC!$X$6:$X$581="F03 - EXECUÇÃO DO OBJETO",1,""),"")</f>
        <v/>
      </c>
      <c r="BA564" s="110" t="str">
        <f>IFERROR(IF(PAC!$X$6:$X$581="F04 - CONCLUÍDA",1,""),"")</f>
        <v/>
      </c>
      <c r="BB564" s="111">
        <f>IF(PAC!$R564&gt;0,0,PAC!$Q564)</f>
        <v>0</v>
      </c>
    </row>
    <row r="565" spans="1:54" s="1" customFormat="1" ht="21" hidden="1" customHeight="1" thickBot="1">
      <c r="A565" s="112">
        <f t="shared" si="9"/>
        <v>560</v>
      </c>
      <c r="B565" s="112"/>
      <c r="C565" s="112"/>
      <c r="D565" s="112"/>
      <c r="E565" s="130"/>
      <c r="F565" s="115"/>
      <c r="G565" s="115"/>
      <c r="H565" s="112"/>
      <c r="I565" s="112"/>
      <c r="J565" s="112"/>
      <c r="K565" s="31"/>
      <c r="L565" s="31"/>
      <c r="M565" s="31"/>
      <c r="N565" s="31"/>
      <c r="O565" s="31"/>
      <c r="P565" s="31"/>
      <c r="Q565" s="33">
        <f>SUM(PAC!$M565:$P565)</f>
        <v>0</v>
      </c>
      <c r="R565" s="33"/>
      <c r="S565" s="33">
        <f>IF(PAC!$R565&gt;0,PAC!$R565,PAC!$Q565)</f>
        <v>0</v>
      </c>
      <c r="T565" s="33"/>
      <c r="U565" s="116" t="s">
        <v>1493</v>
      </c>
      <c r="V565" s="116"/>
      <c r="W565" s="117"/>
      <c r="X565" s="117"/>
      <c r="Y565" s="113"/>
      <c r="Z565" s="118"/>
      <c r="AA565" s="119"/>
      <c r="AB565" s="115"/>
      <c r="AC565" s="115"/>
      <c r="AD565" s="120"/>
      <c r="AE565" s="114"/>
      <c r="AF565" s="115"/>
      <c r="AG565" s="115"/>
      <c r="AH565" s="115"/>
      <c r="AI565" s="115"/>
      <c r="AJ565" s="118"/>
      <c r="AK565" s="115"/>
      <c r="AL565" s="115"/>
      <c r="AM565" s="115"/>
      <c r="AN565" s="118"/>
      <c r="AO565" s="118"/>
      <c r="AP565" s="118"/>
      <c r="AQ565" s="118"/>
      <c r="AR565" s="121"/>
      <c r="AS565" s="121"/>
      <c r="AT565" s="114"/>
      <c r="AU565" s="122"/>
      <c r="AV565" s="120"/>
      <c r="AW565" s="131"/>
      <c r="AX565" s="194" t="str">
        <f>IFERROR(IF(PAC!$X565="F01 - CAPTAÇÃO DE RECURSO",1,""),"")</f>
        <v/>
      </c>
      <c r="AY565" s="194" t="str">
        <f>IFERROR(IF(PAC!$X565="F02 - LICITAÇÃO",1,""),"")</f>
        <v/>
      </c>
      <c r="AZ565" s="123" t="str">
        <f>IFERROR(IF(PAC!$X$6:$X$581="F03 - EXECUÇÃO DO OBJETO",1,""),"")</f>
        <v/>
      </c>
      <c r="BA565" s="123" t="str">
        <f>IFERROR(IF(PAC!$X$6:$X$581="F04 - CONCLUÍDA",1,""),"")</f>
        <v/>
      </c>
      <c r="BB565" s="191">
        <f>IF(PAC!$R565&gt;0,0,PAC!$Q565)</f>
        <v>0</v>
      </c>
    </row>
    <row r="566" spans="1:54" s="1" customFormat="1" ht="21" hidden="1" customHeight="1" thickBot="1">
      <c r="A566" s="88">
        <f t="shared" si="9"/>
        <v>561</v>
      </c>
      <c r="B566" s="88"/>
      <c r="C566" s="88"/>
      <c r="D566" s="88"/>
      <c r="E566" s="89"/>
      <c r="F566" s="40"/>
      <c r="G566" s="40"/>
      <c r="H566" s="88"/>
      <c r="I566" s="88"/>
      <c r="J566" s="88"/>
      <c r="K566" s="18"/>
      <c r="L566" s="18"/>
      <c r="M566" s="18"/>
      <c r="N566" s="18"/>
      <c r="O566" s="18"/>
      <c r="P566" s="18"/>
      <c r="Q566" s="20">
        <f>SUM(PAC!$M566:$P566)</f>
        <v>0</v>
      </c>
      <c r="R566" s="20"/>
      <c r="S566" s="20">
        <f>IF(PAC!$R566&gt;0,PAC!$R566,PAC!$Q566)</f>
        <v>0</v>
      </c>
      <c r="T566" s="20"/>
      <c r="U566" s="103" t="s">
        <v>1493</v>
      </c>
      <c r="V566" s="103"/>
      <c r="W566" s="104"/>
      <c r="X566" s="104"/>
      <c r="Y566" s="101"/>
      <c r="Z566" s="87"/>
      <c r="AA566" s="105"/>
      <c r="AB566" s="40"/>
      <c r="AC566" s="40"/>
      <c r="AD566" s="106"/>
      <c r="AE566" s="102"/>
      <c r="AF566" s="40"/>
      <c r="AG566" s="40"/>
      <c r="AH566" s="40"/>
      <c r="AI566" s="40"/>
      <c r="AJ566" s="87"/>
      <c r="AK566" s="40"/>
      <c r="AL566" s="40"/>
      <c r="AM566" s="40"/>
      <c r="AN566" s="87"/>
      <c r="AO566" s="87"/>
      <c r="AP566" s="87"/>
      <c r="AQ566" s="87"/>
      <c r="AR566" s="107"/>
      <c r="AS566" s="107"/>
      <c r="AT566" s="102"/>
      <c r="AU566" s="108"/>
      <c r="AV566" s="106"/>
      <c r="AW566" s="129"/>
      <c r="AX566" s="109" t="str">
        <f>IFERROR(IF(PAC!$X566="F01 - CAPTAÇÃO DE RECURSO",1,""),"")</f>
        <v/>
      </c>
      <c r="AY566" s="109" t="str">
        <f>IFERROR(IF(PAC!$X566="F02 - LICITAÇÃO",1,""),"")</f>
        <v/>
      </c>
      <c r="AZ566" s="110" t="str">
        <f>IFERROR(IF(PAC!$X$6:$X$581="F03 - EXECUÇÃO DO OBJETO",1,""),"")</f>
        <v/>
      </c>
      <c r="BA566" s="110" t="str">
        <f>IFERROR(IF(PAC!$X$6:$X$581="F04 - CONCLUÍDA",1,""),"")</f>
        <v/>
      </c>
      <c r="BB566" s="111">
        <f>IF(PAC!$R566&gt;0,0,PAC!$Q566)</f>
        <v>0</v>
      </c>
    </row>
    <row r="567" spans="1:54" s="1" customFormat="1" ht="21" hidden="1" customHeight="1" thickBot="1">
      <c r="A567" s="112">
        <f t="shared" si="9"/>
        <v>562</v>
      </c>
      <c r="B567" s="112"/>
      <c r="C567" s="112"/>
      <c r="D567" s="112"/>
      <c r="E567" s="130"/>
      <c r="F567" s="115"/>
      <c r="G567" s="115"/>
      <c r="H567" s="112"/>
      <c r="I567" s="112"/>
      <c r="J567" s="112"/>
      <c r="K567" s="31"/>
      <c r="L567" s="31"/>
      <c r="M567" s="31"/>
      <c r="N567" s="31"/>
      <c r="O567" s="31"/>
      <c r="P567" s="31"/>
      <c r="Q567" s="33">
        <f>SUM(PAC!$M567:$P567)</f>
        <v>0</v>
      </c>
      <c r="R567" s="33"/>
      <c r="S567" s="33">
        <f>IF(PAC!$R567&gt;0,PAC!$R567,PAC!$Q567)</f>
        <v>0</v>
      </c>
      <c r="T567" s="33"/>
      <c r="U567" s="116" t="s">
        <v>1493</v>
      </c>
      <c r="V567" s="116"/>
      <c r="W567" s="117"/>
      <c r="X567" s="117"/>
      <c r="Y567" s="113"/>
      <c r="Z567" s="118"/>
      <c r="AA567" s="119"/>
      <c r="AB567" s="115"/>
      <c r="AC567" s="115"/>
      <c r="AD567" s="120"/>
      <c r="AE567" s="114"/>
      <c r="AF567" s="115"/>
      <c r="AG567" s="115"/>
      <c r="AH567" s="115"/>
      <c r="AI567" s="115"/>
      <c r="AJ567" s="118"/>
      <c r="AK567" s="115"/>
      <c r="AL567" s="115"/>
      <c r="AM567" s="115"/>
      <c r="AN567" s="118"/>
      <c r="AO567" s="118"/>
      <c r="AP567" s="118"/>
      <c r="AQ567" s="118"/>
      <c r="AR567" s="121"/>
      <c r="AS567" s="121"/>
      <c r="AT567" s="114"/>
      <c r="AU567" s="122"/>
      <c r="AV567" s="120"/>
      <c r="AW567" s="131"/>
      <c r="AX567" s="194" t="str">
        <f>IFERROR(IF(PAC!$X567="F01 - CAPTAÇÃO DE RECURSO",1,""),"")</f>
        <v/>
      </c>
      <c r="AY567" s="194" t="str">
        <f>IFERROR(IF(PAC!$X567="F02 - LICITAÇÃO",1,""),"")</f>
        <v/>
      </c>
      <c r="AZ567" s="123" t="str">
        <f>IFERROR(IF(PAC!$X$6:$X$581="F03 - EXECUÇÃO DO OBJETO",1,""),"")</f>
        <v/>
      </c>
      <c r="BA567" s="123" t="str">
        <f>IFERROR(IF(PAC!$X$6:$X$581="F04 - CONCLUÍDA",1,""),"")</f>
        <v/>
      </c>
      <c r="BB567" s="191">
        <f>IF(PAC!$R567&gt;0,0,PAC!$Q567)</f>
        <v>0</v>
      </c>
    </row>
    <row r="568" spans="1:54" s="1" customFormat="1" ht="21" hidden="1" customHeight="1" thickBot="1">
      <c r="A568" s="88">
        <f t="shared" si="9"/>
        <v>563</v>
      </c>
      <c r="B568" s="88"/>
      <c r="C568" s="88"/>
      <c r="D568" s="88"/>
      <c r="E568" s="89"/>
      <c r="F568" s="40"/>
      <c r="G568" s="40"/>
      <c r="H568" s="88"/>
      <c r="I568" s="88"/>
      <c r="J568" s="88"/>
      <c r="K568" s="18"/>
      <c r="L568" s="18"/>
      <c r="M568" s="18"/>
      <c r="N568" s="18"/>
      <c r="O568" s="18"/>
      <c r="P568" s="18"/>
      <c r="Q568" s="20">
        <f>SUM(PAC!$M568:$P568)</f>
        <v>0</v>
      </c>
      <c r="R568" s="20"/>
      <c r="S568" s="20">
        <f>IF(PAC!$R568&gt;0,PAC!$R568,PAC!$Q568)</f>
        <v>0</v>
      </c>
      <c r="T568" s="20"/>
      <c r="U568" s="103" t="s">
        <v>1493</v>
      </c>
      <c r="V568" s="103"/>
      <c r="W568" s="104"/>
      <c r="X568" s="104"/>
      <c r="Y568" s="101"/>
      <c r="Z568" s="87"/>
      <c r="AA568" s="105"/>
      <c r="AB568" s="40"/>
      <c r="AC568" s="40"/>
      <c r="AD568" s="106"/>
      <c r="AE568" s="102"/>
      <c r="AF568" s="40"/>
      <c r="AG568" s="40"/>
      <c r="AH568" s="40"/>
      <c r="AI568" s="40"/>
      <c r="AJ568" s="87"/>
      <c r="AK568" s="40"/>
      <c r="AL568" s="40"/>
      <c r="AM568" s="40"/>
      <c r="AN568" s="87"/>
      <c r="AO568" s="87"/>
      <c r="AP568" s="87"/>
      <c r="AQ568" s="87"/>
      <c r="AR568" s="107"/>
      <c r="AS568" s="107"/>
      <c r="AT568" s="102"/>
      <c r="AU568" s="108"/>
      <c r="AV568" s="106"/>
      <c r="AW568" s="129"/>
      <c r="AX568" s="109" t="str">
        <f>IFERROR(IF(PAC!$X568="F01 - CAPTAÇÃO DE RECURSO",1,""),"")</f>
        <v/>
      </c>
      <c r="AY568" s="109" t="str">
        <f>IFERROR(IF(PAC!$X568="F02 - LICITAÇÃO",1,""),"")</f>
        <v/>
      </c>
      <c r="AZ568" s="110" t="str">
        <f>IFERROR(IF(PAC!$X$6:$X$581="F03 - EXECUÇÃO DO OBJETO",1,""),"")</f>
        <v/>
      </c>
      <c r="BA568" s="110" t="str">
        <f>IFERROR(IF(PAC!$X$6:$X$581="F04 - CONCLUÍDA",1,""),"")</f>
        <v/>
      </c>
      <c r="BB568" s="111">
        <f>IF(PAC!$R568&gt;0,0,PAC!$Q568)</f>
        <v>0</v>
      </c>
    </row>
    <row r="569" spans="1:54" s="1" customFormat="1" ht="21" hidden="1" customHeight="1" thickBot="1">
      <c r="A569" s="112">
        <f t="shared" si="9"/>
        <v>564</v>
      </c>
      <c r="B569" s="112"/>
      <c r="C569" s="112"/>
      <c r="D569" s="112"/>
      <c r="E569" s="130"/>
      <c r="F569" s="115"/>
      <c r="G569" s="115"/>
      <c r="H569" s="112"/>
      <c r="I569" s="112"/>
      <c r="J569" s="112"/>
      <c r="K569" s="31"/>
      <c r="L569" s="31"/>
      <c r="M569" s="31"/>
      <c r="N569" s="31"/>
      <c r="O569" s="31"/>
      <c r="P569" s="31"/>
      <c r="Q569" s="33">
        <f>SUM(PAC!$M569:$P569)</f>
        <v>0</v>
      </c>
      <c r="R569" s="33"/>
      <c r="S569" s="33">
        <f>IF(PAC!$R569&gt;0,PAC!$R569,PAC!$Q569)</f>
        <v>0</v>
      </c>
      <c r="T569" s="33"/>
      <c r="U569" s="116" t="s">
        <v>1493</v>
      </c>
      <c r="V569" s="116"/>
      <c r="W569" s="117"/>
      <c r="X569" s="117"/>
      <c r="Y569" s="113"/>
      <c r="Z569" s="118"/>
      <c r="AA569" s="119"/>
      <c r="AB569" s="115"/>
      <c r="AC569" s="115"/>
      <c r="AD569" s="120"/>
      <c r="AE569" s="114"/>
      <c r="AF569" s="115"/>
      <c r="AG569" s="115"/>
      <c r="AH569" s="115"/>
      <c r="AI569" s="115"/>
      <c r="AJ569" s="118"/>
      <c r="AK569" s="115"/>
      <c r="AL569" s="115"/>
      <c r="AM569" s="115"/>
      <c r="AN569" s="118"/>
      <c r="AO569" s="118"/>
      <c r="AP569" s="118"/>
      <c r="AQ569" s="118"/>
      <c r="AR569" s="121"/>
      <c r="AS569" s="121"/>
      <c r="AT569" s="114"/>
      <c r="AU569" s="122"/>
      <c r="AV569" s="120"/>
      <c r="AW569" s="131"/>
      <c r="AX569" s="194" t="str">
        <f>IFERROR(IF(PAC!$X569="F01 - CAPTAÇÃO DE RECURSO",1,""),"")</f>
        <v/>
      </c>
      <c r="AY569" s="194" t="str">
        <f>IFERROR(IF(PAC!$X569="F02 - LICITAÇÃO",1,""),"")</f>
        <v/>
      </c>
      <c r="AZ569" s="123" t="str">
        <f>IFERROR(IF(PAC!$X$6:$X$581="F03 - EXECUÇÃO DO OBJETO",1,""),"")</f>
        <v/>
      </c>
      <c r="BA569" s="123" t="str">
        <f>IFERROR(IF(PAC!$X$6:$X$581="F04 - CONCLUÍDA",1,""),"")</f>
        <v/>
      </c>
      <c r="BB569" s="191">
        <f>IF(PAC!$R569&gt;0,0,PAC!$Q569)</f>
        <v>0</v>
      </c>
    </row>
    <row r="570" spans="1:54" s="1" customFormat="1" ht="21" hidden="1" customHeight="1" thickBot="1">
      <c r="A570" s="88">
        <f t="shared" si="9"/>
        <v>565</v>
      </c>
      <c r="B570" s="88"/>
      <c r="C570" s="88"/>
      <c r="D570" s="88"/>
      <c r="E570" s="89"/>
      <c r="F570" s="40"/>
      <c r="G570" s="40"/>
      <c r="H570" s="88"/>
      <c r="I570" s="88"/>
      <c r="J570" s="88"/>
      <c r="K570" s="18"/>
      <c r="L570" s="18"/>
      <c r="M570" s="18"/>
      <c r="N570" s="18"/>
      <c r="O570" s="18"/>
      <c r="P570" s="18"/>
      <c r="Q570" s="20">
        <f>SUM(PAC!$M570:$P570)</f>
        <v>0</v>
      </c>
      <c r="R570" s="20"/>
      <c r="S570" s="20">
        <f>IF(PAC!$R570&gt;0,PAC!$R570,PAC!$Q570)</f>
        <v>0</v>
      </c>
      <c r="T570" s="20"/>
      <c r="U570" s="103" t="s">
        <v>1493</v>
      </c>
      <c r="V570" s="103"/>
      <c r="W570" s="104"/>
      <c r="X570" s="104"/>
      <c r="Y570" s="101"/>
      <c r="Z570" s="87"/>
      <c r="AA570" s="105"/>
      <c r="AB570" s="40"/>
      <c r="AC570" s="40"/>
      <c r="AD570" s="106"/>
      <c r="AE570" s="102"/>
      <c r="AF570" s="40"/>
      <c r="AG570" s="40"/>
      <c r="AH570" s="40"/>
      <c r="AI570" s="40"/>
      <c r="AJ570" s="87"/>
      <c r="AK570" s="40"/>
      <c r="AL570" s="40"/>
      <c r="AM570" s="40"/>
      <c r="AN570" s="87"/>
      <c r="AO570" s="87"/>
      <c r="AP570" s="87"/>
      <c r="AQ570" s="87"/>
      <c r="AR570" s="107"/>
      <c r="AS570" s="107"/>
      <c r="AT570" s="102"/>
      <c r="AU570" s="108"/>
      <c r="AV570" s="106"/>
      <c r="AW570" s="129"/>
      <c r="AX570" s="109" t="str">
        <f>IFERROR(IF(PAC!$X570="F01 - CAPTAÇÃO DE RECURSO",1,""),"")</f>
        <v/>
      </c>
      <c r="AY570" s="109" t="str">
        <f>IFERROR(IF(PAC!$X570="F02 - LICITAÇÃO",1,""),"")</f>
        <v/>
      </c>
      <c r="AZ570" s="110" t="str">
        <f>IFERROR(IF(PAC!$X$6:$X$581="F03 - EXECUÇÃO DO OBJETO",1,""),"")</f>
        <v/>
      </c>
      <c r="BA570" s="110" t="str">
        <f>IFERROR(IF(PAC!$X$6:$X$581="F04 - CONCLUÍDA",1,""),"")</f>
        <v/>
      </c>
      <c r="BB570" s="111">
        <f>IF(PAC!$R570&gt;0,0,PAC!$Q570)</f>
        <v>0</v>
      </c>
    </row>
    <row r="571" spans="1:54" s="1" customFormat="1" ht="21" hidden="1" customHeight="1" thickBot="1">
      <c r="A571" s="112">
        <f t="shared" si="9"/>
        <v>566</v>
      </c>
      <c r="B571" s="112"/>
      <c r="C571" s="112"/>
      <c r="D571" s="112"/>
      <c r="E571" s="130"/>
      <c r="F571" s="115"/>
      <c r="G571" s="115"/>
      <c r="H571" s="112"/>
      <c r="I571" s="112"/>
      <c r="J571" s="112"/>
      <c r="K571" s="31"/>
      <c r="L571" s="31"/>
      <c r="M571" s="31"/>
      <c r="N571" s="31"/>
      <c r="O571" s="31"/>
      <c r="P571" s="31"/>
      <c r="Q571" s="33">
        <f>SUM(PAC!$M571:$P571)</f>
        <v>0</v>
      </c>
      <c r="R571" s="33"/>
      <c r="S571" s="33">
        <f>IF(PAC!$R571&gt;0,PAC!$R571,PAC!$Q571)</f>
        <v>0</v>
      </c>
      <c r="T571" s="33"/>
      <c r="U571" s="116" t="s">
        <v>1493</v>
      </c>
      <c r="V571" s="116"/>
      <c r="W571" s="117"/>
      <c r="X571" s="117"/>
      <c r="Y571" s="113"/>
      <c r="Z571" s="118"/>
      <c r="AA571" s="119"/>
      <c r="AB571" s="115"/>
      <c r="AC571" s="115"/>
      <c r="AD571" s="120"/>
      <c r="AE571" s="114"/>
      <c r="AF571" s="115"/>
      <c r="AG571" s="115"/>
      <c r="AH571" s="115"/>
      <c r="AI571" s="115"/>
      <c r="AJ571" s="118"/>
      <c r="AK571" s="115"/>
      <c r="AL571" s="115"/>
      <c r="AM571" s="115"/>
      <c r="AN571" s="118"/>
      <c r="AO571" s="118"/>
      <c r="AP571" s="118"/>
      <c r="AQ571" s="118"/>
      <c r="AR571" s="121"/>
      <c r="AS571" s="121"/>
      <c r="AT571" s="114"/>
      <c r="AU571" s="122"/>
      <c r="AV571" s="120"/>
      <c r="AW571" s="131"/>
      <c r="AX571" s="194" t="str">
        <f>IFERROR(IF(PAC!$X571="F01 - CAPTAÇÃO DE RECURSO",1,""),"")</f>
        <v/>
      </c>
      <c r="AY571" s="194" t="str">
        <f>IFERROR(IF(PAC!$X571="F02 - LICITAÇÃO",1,""),"")</f>
        <v/>
      </c>
      <c r="AZ571" s="123" t="str">
        <f>IFERROR(IF(PAC!$X$6:$X$581="F03 - EXECUÇÃO DO OBJETO",1,""),"")</f>
        <v/>
      </c>
      <c r="BA571" s="123" t="str">
        <f>IFERROR(IF(PAC!$X$6:$X$581="F04 - CONCLUÍDA",1,""),"")</f>
        <v/>
      </c>
      <c r="BB571" s="191">
        <f>IF(PAC!$R571&gt;0,0,PAC!$Q571)</f>
        <v>0</v>
      </c>
    </row>
    <row r="572" spans="1:54" s="1" customFormat="1" ht="21" hidden="1" customHeight="1" thickBot="1">
      <c r="A572" s="88">
        <f t="shared" si="9"/>
        <v>567</v>
      </c>
      <c r="B572" s="88"/>
      <c r="C572" s="88"/>
      <c r="D572" s="88"/>
      <c r="E572" s="89"/>
      <c r="F572" s="40"/>
      <c r="G572" s="40"/>
      <c r="H572" s="88"/>
      <c r="I572" s="88"/>
      <c r="J572" s="88"/>
      <c r="K572" s="18"/>
      <c r="L572" s="18"/>
      <c r="M572" s="18"/>
      <c r="N572" s="18"/>
      <c r="O572" s="18"/>
      <c r="P572" s="18"/>
      <c r="Q572" s="20">
        <f>SUM(PAC!$M572:$P572)</f>
        <v>0</v>
      </c>
      <c r="R572" s="20"/>
      <c r="S572" s="20">
        <f>IF(PAC!$R572&gt;0,PAC!$R572,PAC!$Q572)</f>
        <v>0</v>
      </c>
      <c r="T572" s="20"/>
      <c r="U572" s="103" t="s">
        <v>1493</v>
      </c>
      <c r="V572" s="103"/>
      <c r="W572" s="104"/>
      <c r="X572" s="104"/>
      <c r="Y572" s="101"/>
      <c r="Z572" s="87"/>
      <c r="AA572" s="105"/>
      <c r="AB572" s="40"/>
      <c r="AC572" s="40"/>
      <c r="AD572" s="106"/>
      <c r="AE572" s="102"/>
      <c r="AF572" s="40"/>
      <c r="AG572" s="40"/>
      <c r="AH572" s="40"/>
      <c r="AI572" s="40"/>
      <c r="AJ572" s="87"/>
      <c r="AK572" s="40"/>
      <c r="AL572" s="40"/>
      <c r="AM572" s="40"/>
      <c r="AN572" s="87"/>
      <c r="AO572" s="87"/>
      <c r="AP572" s="87"/>
      <c r="AQ572" s="87"/>
      <c r="AR572" s="107"/>
      <c r="AS572" s="107"/>
      <c r="AT572" s="102"/>
      <c r="AU572" s="108"/>
      <c r="AV572" s="106"/>
      <c r="AW572" s="129"/>
      <c r="AX572" s="109" t="str">
        <f>IFERROR(IF(PAC!$X572="F01 - CAPTAÇÃO DE RECURSO",1,""),"")</f>
        <v/>
      </c>
      <c r="AY572" s="109" t="str">
        <f>IFERROR(IF(PAC!$X572="F02 - LICITAÇÃO",1,""),"")</f>
        <v/>
      </c>
      <c r="AZ572" s="110" t="str">
        <f>IFERROR(IF(PAC!$X$6:$X$581="F03 - EXECUÇÃO DO OBJETO",1,""),"")</f>
        <v/>
      </c>
      <c r="BA572" s="110" t="str">
        <f>IFERROR(IF(PAC!$X$6:$X$581="F04 - CONCLUÍDA",1,""),"")</f>
        <v/>
      </c>
      <c r="BB572" s="111">
        <f>IF(PAC!$R572&gt;0,0,PAC!$Q572)</f>
        <v>0</v>
      </c>
    </row>
    <row r="573" spans="1:54" s="1" customFormat="1" ht="21" hidden="1" customHeight="1" thickBot="1">
      <c r="A573" s="112">
        <f t="shared" si="9"/>
        <v>568</v>
      </c>
      <c r="B573" s="112"/>
      <c r="C573" s="112"/>
      <c r="D573" s="112"/>
      <c r="E573" s="130"/>
      <c r="F573" s="115"/>
      <c r="G573" s="115"/>
      <c r="H573" s="112"/>
      <c r="I573" s="112"/>
      <c r="J573" s="112"/>
      <c r="K573" s="31"/>
      <c r="L573" s="31"/>
      <c r="M573" s="31"/>
      <c r="N573" s="31"/>
      <c r="O573" s="31"/>
      <c r="P573" s="31"/>
      <c r="Q573" s="33">
        <f>SUM(PAC!$M573:$P573)</f>
        <v>0</v>
      </c>
      <c r="R573" s="33"/>
      <c r="S573" s="33">
        <f>IF(PAC!$R573&gt;0,PAC!$R573,PAC!$Q573)</f>
        <v>0</v>
      </c>
      <c r="T573" s="33"/>
      <c r="U573" s="116" t="s">
        <v>1493</v>
      </c>
      <c r="V573" s="116"/>
      <c r="W573" s="117"/>
      <c r="X573" s="117"/>
      <c r="Y573" s="113"/>
      <c r="Z573" s="118"/>
      <c r="AA573" s="119"/>
      <c r="AB573" s="115"/>
      <c r="AC573" s="115"/>
      <c r="AD573" s="120"/>
      <c r="AE573" s="114"/>
      <c r="AF573" s="115"/>
      <c r="AG573" s="115"/>
      <c r="AH573" s="115"/>
      <c r="AI573" s="115"/>
      <c r="AJ573" s="118"/>
      <c r="AK573" s="115"/>
      <c r="AL573" s="115"/>
      <c r="AM573" s="115"/>
      <c r="AN573" s="118"/>
      <c r="AO573" s="118"/>
      <c r="AP573" s="118"/>
      <c r="AQ573" s="118"/>
      <c r="AR573" s="121"/>
      <c r="AS573" s="121"/>
      <c r="AT573" s="114"/>
      <c r="AU573" s="122"/>
      <c r="AV573" s="120"/>
      <c r="AW573" s="131"/>
      <c r="AX573" s="194" t="str">
        <f>IFERROR(IF(PAC!$X573="F01 - CAPTAÇÃO DE RECURSO",1,""),"")</f>
        <v/>
      </c>
      <c r="AY573" s="194" t="str">
        <f>IFERROR(IF(PAC!$X573="F02 - LICITAÇÃO",1,""),"")</f>
        <v/>
      </c>
      <c r="AZ573" s="123" t="str">
        <f>IFERROR(IF(PAC!$X$6:$X$581="F03 - EXECUÇÃO DO OBJETO",1,""),"")</f>
        <v/>
      </c>
      <c r="BA573" s="123" t="str">
        <f>IFERROR(IF(PAC!$X$6:$X$581="F04 - CONCLUÍDA",1,""),"")</f>
        <v/>
      </c>
      <c r="BB573" s="191">
        <f>IF(PAC!$R573&gt;0,0,PAC!$Q573)</f>
        <v>0</v>
      </c>
    </row>
    <row r="574" spans="1:54" s="1" customFormat="1" ht="21" hidden="1" customHeight="1" thickBot="1">
      <c r="A574" s="88">
        <f t="shared" si="9"/>
        <v>569</v>
      </c>
      <c r="B574" s="88"/>
      <c r="C574" s="88"/>
      <c r="D574" s="88"/>
      <c r="E574" s="89"/>
      <c r="F574" s="40"/>
      <c r="G574" s="40"/>
      <c r="H574" s="88"/>
      <c r="I574" s="88"/>
      <c r="J574" s="88"/>
      <c r="K574" s="18"/>
      <c r="L574" s="18"/>
      <c r="M574" s="18"/>
      <c r="N574" s="18"/>
      <c r="O574" s="18"/>
      <c r="P574" s="18"/>
      <c r="Q574" s="20">
        <f>SUM(PAC!$M574:$P574)</f>
        <v>0</v>
      </c>
      <c r="R574" s="20"/>
      <c r="S574" s="20">
        <f>IF(PAC!$R574&gt;0,PAC!$R574,PAC!$Q574)</f>
        <v>0</v>
      </c>
      <c r="T574" s="20"/>
      <c r="U574" s="103" t="s">
        <v>1493</v>
      </c>
      <c r="V574" s="103"/>
      <c r="W574" s="104"/>
      <c r="X574" s="104"/>
      <c r="Y574" s="101"/>
      <c r="Z574" s="87"/>
      <c r="AA574" s="105"/>
      <c r="AB574" s="40"/>
      <c r="AC574" s="40"/>
      <c r="AD574" s="106"/>
      <c r="AE574" s="102"/>
      <c r="AF574" s="40"/>
      <c r="AG574" s="40"/>
      <c r="AH574" s="40"/>
      <c r="AI574" s="40"/>
      <c r="AJ574" s="87"/>
      <c r="AK574" s="40"/>
      <c r="AL574" s="40"/>
      <c r="AM574" s="40"/>
      <c r="AN574" s="87"/>
      <c r="AO574" s="87"/>
      <c r="AP574" s="87"/>
      <c r="AQ574" s="87"/>
      <c r="AR574" s="107"/>
      <c r="AS574" s="107"/>
      <c r="AT574" s="102"/>
      <c r="AU574" s="108"/>
      <c r="AV574" s="106"/>
      <c r="AW574" s="129"/>
      <c r="AX574" s="109" t="str">
        <f>IFERROR(IF(PAC!$X574="F01 - CAPTAÇÃO DE RECURSO",1,""),"")</f>
        <v/>
      </c>
      <c r="AY574" s="109" t="str">
        <f>IFERROR(IF(PAC!$X574="F02 - LICITAÇÃO",1,""),"")</f>
        <v/>
      </c>
      <c r="AZ574" s="110" t="str">
        <f>IFERROR(IF(PAC!$X$6:$X$581="F03 - EXECUÇÃO DO OBJETO",1,""),"")</f>
        <v/>
      </c>
      <c r="BA574" s="110" t="str">
        <f>IFERROR(IF(PAC!$X$6:$X$581="F04 - CONCLUÍDA",1,""),"")</f>
        <v/>
      </c>
      <c r="BB574" s="111">
        <f>IF(PAC!$R574&gt;0,0,PAC!$Q574)</f>
        <v>0</v>
      </c>
    </row>
    <row r="575" spans="1:54" s="1" customFormat="1" ht="21" hidden="1" customHeight="1" thickBot="1">
      <c r="A575" s="112">
        <f t="shared" si="9"/>
        <v>570</v>
      </c>
      <c r="B575" s="112"/>
      <c r="C575" s="112"/>
      <c r="D575" s="112"/>
      <c r="E575" s="130"/>
      <c r="F575" s="115"/>
      <c r="G575" s="115"/>
      <c r="H575" s="112"/>
      <c r="I575" s="112"/>
      <c r="J575" s="112"/>
      <c r="K575" s="31"/>
      <c r="L575" s="31"/>
      <c r="M575" s="31"/>
      <c r="N575" s="31"/>
      <c r="O575" s="31"/>
      <c r="P575" s="31"/>
      <c r="Q575" s="33">
        <f>SUM(PAC!$M575:$P575)</f>
        <v>0</v>
      </c>
      <c r="R575" s="33"/>
      <c r="S575" s="33">
        <f>IF(PAC!$R575&gt;0,PAC!$R575,PAC!$Q575)</f>
        <v>0</v>
      </c>
      <c r="T575" s="33"/>
      <c r="U575" s="116" t="s">
        <v>1493</v>
      </c>
      <c r="V575" s="116"/>
      <c r="W575" s="117"/>
      <c r="X575" s="117"/>
      <c r="Y575" s="113"/>
      <c r="Z575" s="118"/>
      <c r="AA575" s="119"/>
      <c r="AB575" s="115"/>
      <c r="AC575" s="115"/>
      <c r="AD575" s="120"/>
      <c r="AE575" s="114"/>
      <c r="AF575" s="115"/>
      <c r="AG575" s="115"/>
      <c r="AH575" s="115"/>
      <c r="AI575" s="115"/>
      <c r="AJ575" s="118"/>
      <c r="AK575" s="115"/>
      <c r="AL575" s="115"/>
      <c r="AM575" s="115"/>
      <c r="AN575" s="118"/>
      <c r="AO575" s="118"/>
      <c r="AP575" s="118"/>
      <c r="AQ575" s="118"/>
      <c r="AR575" s="121"/>
      <c r="AS575" s="121"/>
      <c r="AT575" s="114"/>
      <c r="AU575" s="122"/>
      <c r="AV575" s="120"/>
      <c r="AW575" s="131"/>
      <c r="AX575" s="194" t="str">
        <f>IFERROR(IF(PAC!$X575="F01 - CAPTAÇÃO DE RECURSO",1,""),"")</f>
        <v/>
      </c>
      <c r="AY575" s="194" t="str">
        <f>IFERROR(IF(PAC!$X575="F02 - LICITAÇÃO",1,""),"")</f>
        <v/>
      </c>
      <c r="AZ575" s="123" t="str">
        <f>IFERROR(IF(PAC!$X$6:$X$581="F03 - EXECUÇÃO DO OBJETO",1,""),"")</f>
        <v/>
      </c>
      <c r="BA575" s="123" t="str">
        <f>IFERROR(IF(PAC!$X$6:$X$581="F04 - CONCLUÍDA",1,""),"")</f>
        <v/>
      </c>
      <c r="BB575" s="191">
        <f>IF(PAC!$R575&gt;0,0,PAC!$Q575)</f>
        <v>0</v>
      </c>
    </row>
    <row r="576" spans="1:54" s="1" customFormat="1" ht="21" hidden="1" customHeight="1" thickBot="1">
      <c r="A576" s="88">
        <f t="shared" si="9"/>
        <v>571</v>
      </c>
      <c r="B576" s="88"/>
      <c r="C576" s="88"/>
      <c r="D576" s="88"/>
      <c r="E576" s="89"/>
      <c r="F576" s="40"/>
      <c r="G576" s="40"/>
      <c r="H576" s="88"/>
      <c r="I576" s="88"/>
      <c r="J576" s="88"/>
      <c r="K576" s="18"/>
      <c r="L576" s="18"/>
      <c r="M576" s="18"/>
      <c r="N576" s="18"/>
      <c r="O576" s="18"/>
      <c r="P576" s="18"/>
      <c r="Q576" s="20">
        <f>SUM(PAC!$M576:$P576)</f>
        <v>0</v>
      </c>
      <c r="R576" s="20"/>
      <c r="S576" s="20">
        <f>IF(PAC!$R576&gt;0,PAC!$R576,PAC!$Q576)</f>
        <v>0</v>
      </c>
      <c r="T576" s="20"/>
      <c r="U576" s="103" t="s">
        <v>1493</v>
      </c>
      <c r="V576" s="103"/>
      <c r="W576" s="104"/>
      <c r="X576" s="104"/>
      <c r="Y576" s="101"/>
      <c r="Z576" s="87"/>
      <c r="AA576" s="105"/>
      <c r="AB576" s="40"/>
      <c r="AC576" s="40"/>
      <c r="AD576" s="106"/>
      <c r="AE576" s="102"/>
      <c r="AF576" s="40"/>
      <c r="AG576" s="40"/>
      <c r="AH576" s="40"/>
      <c r="AI576" s="40"/>
      <c r="AJ576" s="87"/>
      <c r="AK576" s="40"/>
      <c r="AL576" s="40"/>
      <c r="AM576" s="40"/>
      <c r="AN576" s="87"/>
      <c r="AO576" s="87"/>
      <c r="AP576" s="87"/>
      <c r="AQ576" s="87"/>
      <c r="AR576" s="107"/>
      <c r="AS576" s="107"/>
      <c r="AT576" s="102"/>
      <c r="AU576" s="108"/>
      <c r="AV576" s="106"/>
      <c r="AW576" s="129"/>
      <c r="AX576" s="109" t="str">
        <f>IFERROR(IF(PAC!$X576="F01 - CAPTAÇÃO DE RECURSO",1,""),"")</f>
        <v/>
      </c>
      <c r="AY576" s="109" t="str">
        <f>IFERROR(IF(PAC!$X576="F02 - LICITAÇÃO",1,""),"")</f>
        <v/>
      </c>
      <c r="AZ576" s="110" t="str">
        <f>IFERROR(IF(PAC!$X$6:$X$581="F03 - EXECUÇÃO DO OBJETO",1,""),"")</f>
        <v/>
      </c>
      <c r="BA576" s="110" t="str">
        <f>IFERROR(IF(PAC!$X$6:$X$581="F04 - CONCLUÍDA",1,""),"")</f>
        <v/>
      </c>
      <c r="BB576" s="111">
        <f>IF(PAC!$R576&gt;0,0,PAC!$Q576)</f>
        <v>0</v>
      </c>
    </row>
    <row r="577" spans="1:70" s="1" customFormat="1" ht="21" hidden="1" customHeight="1" thickBot="1">
      <c r="A577" s="112">
        <f t="shared" si="9"/>
        <v>572</v>
      </c>
      <c r="B577" s="112"/>
      <c r="C577" s="112"/>
      <c r="D577" s="112"/>
      <c r="E577" s="130"/>
      <c r="F577" s="115"/>
      <c r="G577" s="115"/>
      <c r="H577" s="112"/>
      <c r="I577" s="112"/>
      <c r="J577" s="112"/>
      <c r="K577" s="31"/>
      <c r="L577" s="31"/>
      <c r="M577" s="31"/>
      <c r="N577" s="31"/>
      <c r="O577" s="31"/>
      <c r="P577" s="31"/>
      <c r="Q577" s="33">
        <f>SUM(PAC!$M577:$P577)</f>
        <v>0</v>
      </c>
      <c r="R577" s="33"/>
      <c r="S577" s="33">
        <f>IF(PAC!$R577&gt;0,PAC!$R577,PAC!$Q577)</f>
        <v>0</v>
      </c>
      <c r="T577" s="33"/>
      <c r="U577" s="116" t="s">
        <v>1493</v>
      </c>
      <c r="V577" s="116"/>
      <c r="W577" s="117"/>
      <c r="X577" s="117"/>
      <c r="Y577" s="113"/>
      <c r="Z577" s="118"/>
      <c r="AA577" s="119"/>
      <c r="AB577" s="115"/>
      <c r="AC577" s="115"/>
      <c r="AD577" s="120"/>
      <c r="AE577" s="114"/>
      <c r="AF577" s="115"/>
      <c r="AG577" s="115"/>
      <c r="AH577" s="115"/>
      <c r="AI577" s="115"/>
      <c r="AJ577" s="118"/>
      <c r="AK577" s="115"/>
      <c r="AL577" s="115"/>
      <c r="AM577" s="115"/>
      <c r="AN577" s="118"/>
      <c r="AO577" s="118"/>
      <c r="AP577" s="118"/>
      <c r="AQ577" s="118"/>
      <c r="AR577" s="121"/>
      <c r="AS577" s="121"/>
      <c r="AT577" s="114"/>
      <c r="AU577" s="122"/>
      <c r="AV577" s="120"/>
      <c r="AW577" s="131"/>
      <c r="AX577" s="194" t="str">
        <f>IFERROR(IF(PAC!$X577="F01 - CAPTAÇÃO DE RECURSO",1,""),"")</f>
        <v/>
      </c>
      <c r="AY577" s="194" t="str">
        <f>IFERROR(IF(PAC!$X577="F02 - LICITAÇÃO",1,""),"")</f>
        <v/>
      </c>
      <c r="AZ577" s="123" t="str">
        <f>IFERROR(IF(PAC!$X$6:$X$581="F03 - EXECUÇÃO DO OBJETO",1,""),"")</f>
        <v/>
      </c>
      <c r="BA577" s="123" t="str">
        <f>IFERROR(IF(PAC!$X$6:$X$581="F04 - CONCLUÍDA",1,""),"")</f>
        <v/>
      </c>
      <c r="BB577" s="191">
        <f>IF(PAC!$R577&gt;0,0,PAC!$Q577)</f>
        <v>0</v>
      </c>
    </row>
    <row r="578" spans="1:70" s="1" customFormat="1" ht="21" hidden="1" customHeight="1" thickBot="1">
      <c r="A578" s="88">
        <f t="shared" si="9"/>
        <v>573</v>
      </c>
      <c r="B578" s="88"/>
      <c r="C578" s="88"/>
      <c r="D578" s="88"/>
      <c r="E578" s="89"/>
      <c r="F578" s="40"/>
      <c r="G578" s="40"/>
      <c r="H578" s="88"/>
      <c r="I578" s="88"/>
      <c r="J578" s="88"/>
      <c r="K578" s="18"/>
      <c r="L578" s="18"/>
      <c r="M578" s="18"/>
      <c r="N578" s="18"/>
      <c r="O578" s="18"/>
      <c r="P578" s="18"/>
      <c r="Q578" s="20">
        <f>SUM(PAC!$M578:$P578)</f>
        <v>0</v>
      </c>
      <c r="R578" s="20"/>
      <c r="S578" s="20">
        <f>IF(PAC!$R578&gt;0,PAC!$R578,PAC!$Q578)</f>
        <v>0</v>
      </c>
      <c r="T578" s="20"/>
      <c r="U578" s="103" t="s">
        <v>1493</v>
      </c>
      <c r="V578" s="103"/>
      <c r="W578" s="104"/>
      <c r="X578" s="104"/>
      <c r="Y578" s="101"/>
      <c r="Z578" s="87"/>
      <c r="AA578" s="105"/>
      <c r="AB578" s="40"/>
      <c r="AC578" s="40"/>
      <c r="AD578" s="106"/>
      <c r="AE578" s="102"/>
      <c r="AF578" s="40"/>
      <c r="AG578" s="40"/>
      <c r="AH578" s="40"/>
      <c r="AI578" s="40"/>
      <c r="AJ578" s="87"/>
      <c r="AK578" s="40"/>
      <c r="AL578" s="40"/>
      <c r="AM578" s="40"/>
      <c r="AN578" s="87"/>
      <c r="AO578" s="87"/>
      <c r="AP578" s="87"/>
      <c r="AQ578" s="87"/>
      <c r="AR578" s="107"/>
      <c r="AS578" s="107"/>
      <c r="AT578" s="102"/>
      <c r="AU578" s="108"/>
      <c r="AV578" s="106"/>
      <c r="AW578" s="129"/>
      <c r="AX578" s="109" t="str">
        <f>IFERROR(IF(PAC!$X578="F01 - CAPTAÇÃO DE RECURSO",1,""),"")</f>
        <v/>
      </c>
      <c r="AY578" s="109" t="str">
        <f>IFERROR(IF(PAC!$X578="F02 - LICITAÇÃO",1,""),"")</f>
        <v/>
      </c>
      <c r="AZ578" s="110" t="str">
        <f>IFERROR(IF(PAC!$X$6:$X$581="F03 - EXECUÇÃO DO OBJETO",1,""),"")</f>
        <v/>
      </c>
      <c r="BA578" s="110" t="str">
        <f>IFERROR(IF(PAC!$X$6:$X$581="F04 - CONCLUÍDA",1,""),"")</f>
        <v/>
      </c>
      <c r="BB578" s="111">
        <f>IF(PAC!$R578&gt;0,0,PAC!$Q578)</f>
        <v>0</v>
      </c>
    </row>
    <row r="579" spans="1:70" s="1" customFormat="1" ht="21" hidden="1" customHeight="1" thickBot="1">
      <c r="A579" s="112">
        <f t="shared" si="9"/>
        <v>574</v>
      </c>
      <c r="B579" s="112"/>
      <c r="C579" s="112"/>
      <c r="D579" s="112"/>
      <c r="E579" s="130"/>
      <c r="F579" s="115"/>
      <c r="G579" s="115"/>
      <c r="H579" s="112"/>
      <c r="I579" s="112"/>
      <c r="J579" s="112"/>
      <c r="K579" s="31"/>
      <c r="L579" s="31"/>
      <c r="M579" s="31"/>
      <c r="N579" s="31"/>
      <c r="O579" s="31"/>
      <c r="P579" s="31"/>
      <c r="Q579" s="33">
        <f>SUM(PAC!$M579:$P579)</f>
        <v>0</v>
      </c>
      <c r="R579" s="33"/>
      <c r="S579" s="33">
        <f>IF(PAC!$R579&gt;0,PAC!$R579,PAC!$Q579)</f>
        <v>0</v>
      </c>
      <c r="T579" s="33"/>
      <c r="U579" s="116" t="s">
        <v>1493</v>
      </c>
      <c r="V579" s="116"/>
      <c r="W579" s="117"/>
      <c r="X579" s="117"/>
      <c r="Y579" s="113"/>
      <c r="Z579" s="118"/>
      <c r="AA579" s="119"/>
      <c r="AB579" s="115"/>
      <c r="AC579" s="115"/>
      <c r="AD579" s="120"/>
      <c r="AE579" s="114"/>
      <c r="AF579" s="115"/>
      <c r="AG579" s="115"/>
      <c r="AH579" s="115"/>
      <c r="AI579" s="115"/>
      <c r="AJ579" s="118"/>
      <c r="AK579" s="115"/>
      <c r="AL579" s="115"/>
      <c r="AM579" s="115"/>
      <c r="AN579" s="118"/>
      <c r="AO579" s="118"/>
      <c r="AP579" s="118"/>
      <c r="AQ579" s="118"/>
      <c r="AR579" s="121"/>
      <c r="AS579" s="121"/>
      <c r="AT579" s="114"/>
      <c r="AU579" s="122"/>
      <c r="AV579" s="120"/>
      <c r="AW579" s="131"/>
      <c r="AX579" s="194" t="str">
        <f>IFERROR(IF(PAC!$X579="F01 - CAPTAÇÃO DE RECURSO",1,""),"")</f>
        <v/>
      </c>
      <c r="AY579" s="194" t="str">
        <f>IFERROR(IF(PAC!$X579="F02 - LICITAÇÃO",1,""),"")</f>
        <v/>
      </c>
      <c r="AZ579" s="123" t="str">
        <f>IFERROR(IF(PAC!$X$6:$X$581="F03 - EXECUÇÃO DO OBJETO",1,""),"")</f>
        <v/>
      </c>
      <c r="BA579" s="123" t="str">
        <f>IFERROR(IF(PAC!$X$6:$X$581="F04 - CONCLUÍDA",1,""),"")</f>
        <v/>
      </c>
      <c r="BB579" s="191">
        <f>IF(PAC!$R579&gt;0,0,PAC!$Q579)</f>
        <v>0</v>
      </c>
    </row>
    <row r="580" spans="1:70" s="1" customFormat="1" ht="21.75" hidden="1" customHeight="1" thickBot="1">
      <c r="A580" s="88">
        <f t="shared" si="9"/>
        <v>575</v>
      </c>
      <c r="B580" s="88"/>
      <c r="C580" s="88"/>
      <c r="D580" s="88"/>
      <c r="E580" s="89"/>
      <c r="F580" s="40"/>
      <c r="G580" s="40"/>
      <c r="H580" s="88"/>
      <c r="I580" s="88"/>
      <c r="J580" s="88"/>
      <c r="K580" s="18"/>
      <c r="L580" s="18"/>
      <c r="M580" s="18"/>
      <c r="N580" s="18"/>
      <c r="O580" s="18"/>
      <c r="P580" s="18"/>
      <c r="Q580" s="20">
        <f>SUM(PAC!$M580:$P580)</f>
        <v>0</v>
      </c>
      <c r="R580" s="20"/>
      <c r="S580" s="20">
        <f>IF(PAC!$R580&gt;0,PAC!$R580,PAC!$Q580)</f>
        <v>0</v>
      </c>
      <c r="T580" s="20"/>
      <c r="U580" s="103" t="s">
        <v>1493</v>
      </c>
      <c r="V580" s="103"/>
      <c r="W580" s="104"/>
      <c r="X580" s="104"/>
      <c r="Y580" s="101"/>
      <c r="Z580" s="87"/>
      <c r="AA580" s="105"/>
      <c r="AB580" s="40"/>
      <c r="AC580" s="40"/>
      <c r="AD580" s="106"/>
      <c r="AE580" s="102"/>
      <c r="AF580" s="40"/>
      <c r="AG580" s="40"/>
      <c r="AH580" s="40"/>
      <c r="AI580" s="40"/>
      <c r="AJ580" s="87"/>
      <c r="AK580" s="40"/>
      <c r="AL580" s="40"/>
      <c r="AM580" s="40"/>
      <c r="AN580" s="87"/>
      <c r="AO580" s="87"/>
      <c r="AP580" s="87"/>
      <c r="AQ580" s="87"/>
      <c r="AR580" s="107"/>
      <c r="AS580" s="107"/>
      <c r="AT580" s="102"/>
      <c r="AU580" s="108"/>
      <c r="AV580" s="106"/>
      <c r="AW580" s="129"/>
      <c r="AX580" s="109" t="str">
        <f>IFERROR(IF(PAC!$X580="F01 - CAPTAÇÃO DE RECURSO",1,""),"")</f>
        <v/>
      </c>
      <c r="AY580" s="109" t="str">
        <f>IFERROR(IF(PAC!$X580="F02 - LICITAÇÃO",1,""),"")</f>
        <v/>
      </c>
      <c r="AZ580" s="110" t="str">
        <f>IFERROR(IF(PAC!$X$6:$X$581="F03 - EXECUÇÃO DO OBJETO",1,""),"")</f>
        <v/>
      </c>
      <c r="BA580" s="110" t="str">
        <f>IFERROR(IF(PAC!$X$6:$X$581="F04 - CONCLUÍDA",1,""),"")</f>
        <v/>
      </c>
      <c r="BB580" s="111">
        <f>IF(PAC!$R580&gt;0,0,PAC!$Q580)</f>
        <v>0</v>
      </c>
    </row>
    <row r="581" spans="1:70" ht="21" hidden="1" customHeight="1" thickBot="1">
      <c r="A581" s="112">
        <f t="shared" ref="A581" si="10">ROW()-5</f>
        <v>576</v>
      </c>
      <c r="B581" s="112"/>
      <c r="C581" s="112"/>
      <c r="D581" s="112"/>
      <c r="E581" s="130"/>
      <c r="F581" s="115"/>
      <c r="G581" s="115"/>
      <c r="H581" s="112"/>
      <c r="I581" s="112"/>
      <c r="J581" s="112"/>
      <c r="K581" s="31"/>
      <c r="L581" s="31"/>
      <c r="M581" s="31"/>
      <c r="N581" s="31"/>
      <c r="O581" s="31"/>
      <c r="P581" s="31"/>
      <c r="Q581" s="33">
        <f>SUM(PAC!$M581:$P581)</f>
        <v>0</v>
      </c>
      <c r="R581" s="33"/>
      <c r="S581" s="33">
        <f>IF(PAC!$R581&gt;0,PAC!$R581,PAC!$Q581)</f>
        <v>0</v>
      </c>
      <c r="T581" s="33"/>
      <c r="U581" s="116" t="s">
        <v>1493</v>
      </c>
      <c r="V581" s="116"/>
      <c r="W581" s="117"/>
      <c r="X581" s="117"/>
      <c r="Y581" s="113"/>
      <c r="Z581" s="118"/>
      <c r="AA581" s="119"/>
      <c r="AB581" s="115"/>
      <c r="AC581" s="115"/>
      <c r="AD581" s="120"/>
      <c r="AE581" s="114"/>
      <c r="AF581" s="115"/>
      <c r="AG581" s="115"/>
      <c r="AH581" s="115"/>
      <c r="AI581" s="115"/>
      <c r="AJ581" s="118"/>
      <c r="AK581" s="115"/>
      <c r="AL581" s="115"/>
      <c r="AM581" s="115"/>
      <c r="AN581" s="118"/>
      <c r="AO581" s="118"/>
      <c r="AP581" s="118"/>
      <c r="AQ581" s="118"/>
      <c r="AR581" s="121"/>
      <c r="AS581" s="121"/>
      <c r="AT581" s="114"/>
      <c r="AU581" s="122"/>
      <c r="AV581" s="120"/>
      <c r="AW581" s="131"/>
      <c r="AX581" s="194" t="str">
        <f>IFERROR(IF(PAC!$X581="F01 - CAPTAÇÃO DE RECURSO",1,""),"")</f>
        <v/>
      </c>
      <c r="AY581" s="194" t="str">
        <f>IFERROR(IF(PAC!$X581="F02 - LICITAÇÃO",1,""),"")</f>
        <v/>
      </c>
      <c r="AZ581" s="123" t="str">
        <f>IFERROR(IF(PAC!$X$6:$X$581="F03 - EXECUÇÃO DO OBJETO",1,""),"")</f>
        <v/>
      </c>
      <c r="BA581" s="123" t="str">
        <f>IFERROR(IF(PAC!$X$6:$X$581="F04 - CONCLUÍDA",1,""),"")</f>
        <v/>
      </c>
      <c r="BB581" s="191">
        <f>IF(PAC!$R581&gt;0,0,PAC!$Q581)</f>
        <v>0</v>
      </c>
      <c r="BP581" s="61"/>
      <c r="BQ581" s="61"/>
      <c r="BR581" s="61"/>
    </row>
    <row r="582" spans="1:70" ht="27" hidden="1" thickBot="1">
      <c r="A582" s="183"/>
      <c r="B582" s="184"/>
      <c r="C582" s="183"/>
      <c r="D582" s="183"/>
      <c r="E582" s="184"/>
      <c r="F582" s="185"/>
      <c r="G582" s="186"/>
      <c r="H582" s="184"/>
      <c r="I582" s="183"/>
      <c r="J582" s="183"/>
      <c r="K582" s="183"/>
      <c r="L582" s="183"/>
      <c r="M582" s="183"/>
      <c r="N582" s="183"/>
      <c r="O582" s="183"/>
      <c r="P582" s="183"/>
      <c r="Q582" s="183"/>
      <c r="R582" s="183"/>
      <c r="S582" s="183"/>
      <c r="T582" s="183"/>
      <c r="U582" s="183"/>
      <c r="V582" s="183"/>
      <c r="W582" s="183"/>
      <c r="X582" s="183"/>
      <c r="Y582" s="183"/>
      <c r="Z582" s="183"/>
      <c r="AA582" s="184" t="s">
        <v>1295</v>
      </c>
      <c r="AB582" s="184"/>
      <c r="AC582" s="184"/>
      <c r="AD582" s="187"/>
      <c r="AE582" s="184"/>
      <c r="AF582" s="183"/>
      <c r="AG582" s="183"/>
      <c r="AH582" s="183"/>
      <c r="AI582" s="183"/>
      <c r="AJ582" s="188"/>
      <c r="AK582" s="189"/>
      <c r="AL582" s="183"/>
      <c r="AM582" s="183"/>
      <c r="AN582" s="184"/>
      <c r="AO582" s="183"/>
      <c r="AP582" s="185"/>
      <c r="AQ582" s="185"/>
      <c r="AR582" s="183"/>
      <c r="AS582" s="183"/>
      <c r="AT582" s="190"/>
      <c r="AU582" s="184"/>
      <c r="AV582" s="184"/>
      <c r="AW582" s="184"/>
      <c r="AX582" s="198" t="str">
        <f>IFERROR(IF(PAC!$X582="F01 - CAPTAÇÃO DE RECURSO",1,""),"")</f>
        <v/>
      </c>
      <c r="AY582" s="198" t="str">
        <f>IFERROR(IF(PAC!$X582="F02 - LICITAÇÃO",1,""),"")</f>
        <v/>
      </c>
      <c r="AZ582" s="199" t="str">
        <f>IFERROR(IF(PAC!$X$6:$X$581="F03 - EXECUÇÃO DO OBJETO",1,""),"")</f>
        <v/>
      </c>
      <c r="BA582" s="199" t="str">
        <f>IFERROR(IF(PAC!$X$6:$X$581="F04 - CONCLUÍDA",1,""),"")</f>
        <v/>
      </c>
      <c r="BB582" s="97"/>
      <c r="BP582" s="61"/>
      <c r="BQ582" s="61"/>
      <c r="BR582" s="61"/>
    </row>
    <row r="583" spans="1:70">
      <c r="K583" s="95"/>
      <c r="N583" s="95"/>
      <c r="P583" s="95"/>
      <c r="Q583" s="95"/>
      <c r="AT583" s="77"/>
      <c r="BP583" s="61"/>
      <c r="BQ583" s="61"/>
      <c r="BR583" s="61"/>
    </row>
    <row r="584" spans="1:70">
      <c r="K584" s="95"/>
      <c r="N584" s="95"/>
      <c r="P584" s="95"/>
      <c r="AT584" s="77"/>
      <c r="BP584" s="61"/>
      <c r="BQ584" s="61"/>
      <c r="BR584" s="61"/>
    </row>
    <row r="585" spans="1:70">
      <c r="AT585" s="77"/>
      <c r="BP585" s="61"/>
      <c r="BQ585" s="61"/>
      <c r="BR585" s="61"/>
    </row>
    <row r="586" spans="1:70">
      <c r="M586" s="192"/>
      <c r="AT586" s="85"/>
      <c r="BP586" s="61"/>
      <c r="BQ586" s="61"/>
      <c r="BR586" s="61"/>
    </row>
    <row r="587" spans="1:70">
      <c r="M587" s="192"/>
      <c r="AT587" s="77"/>
      <c r="BP587" s="61"/>
      <c r="BQ587" s="61"/>
      <c r="BR587" s="61"/>
    </row>
    <row r="588" spans="1:70">
      <c r="AT588" s="77"/>
      <c r="BP588" s="61"/>
      <c r="BQ588" s="61"/>
      <c r="BR588" s="61"/>
    </row>
    <row r="589" spans="1:70">
      <c r="M589" s="192"/>
      <c r="R589" s="94"/>
      <c r="AT589" s="77"/>
      <c r="BP589" s="61"/>
      <c r="BQ589" s="61"/>
      <c r="BR589" s="61"/>
    </row>
    <row r="590" spans="1:70">
      <c r="AT590" s="77"/>
      <c r="BP590" s="61"/>
      <c r="BQ590" s="61"/>
      <c r="BR590" s="61"/>
    </row>
    <row r="591" spans="1:70">
      <c r="AT591" s="77"/>
      <c r="BP591" s="61"/>
      <c r="BQ591" s="61"/>
      <c r="BR591" s="61"/>
    </row>
    <row r="592" spans="1:70">
      <c r="AT592" s="77"/>
      <c r="BP592" s="61"/>
      <c r="BQ592" s="61"/>
      <c r="BR592" s="61"/>
    </row>
    <row r="593" spans="46:70">
      <c r="AT593" s="77"/>
      <c r="BP593" s="61"/>
      <c r="BQ593" s="61"/>
      <c r="BR593" s="61"/>
    </row>
    <row r="594" spans="46:70">
      <c r="AT594" s="77"/>
      <c r="BP594" s="61"/>
      <c r="BQ594" s="61"/>
      <c r="BR594" s="61"/>
    </row>
    <row r="595" spans="46:70">
      <c r="AT595" s="77"/>
      <c r="BP595" s="61"/>
      <c r="BQ595" s="61"/>
      <c r="BR595" s="61"/>
    </row>
    <row r="596" spans="46:70">
      <c r="AT596" s="77"/>
      <c r="BP596" s="61"/>
      <c r="BQ596" s="61"/>
      <c r="BR596" s="61"/>
    </row>
    <row r="597" spans="46:70">
      <c r="AT597" s="77"/>
      <c r="BP597" s="61"/>
      <c r="BQ597" s="61"/>
      <c r="BR597" s="61"/>
    </row>
    <row r="598" spans="46:70">
      <c r="AT598" s="77"/>
      <c r="BP598" s="61"/>
      <c r="BQ598" s="61"/>
      <c r="BR598" s="61"/>
    </row>
    <row r="599" spans="46:70">
      <c r="AT599" s="77"/>
      <c r="BP599" s="61"/>
      <c r="BQ599" s="61"/>
      <c r="BR599" s="61"/>
    </row>
    <row r="600" spans="46:70">
      <c r="AT600" s="77"/>
      <c r="BP600" s="61"/>
      <c r="BQ600" s="61"/>
      <c r="BR600" s="61"/>
    </row>
    <row r="601" spans="46:70">
      <c r="AT601" s="77"/>
      <c r="BP601" s="61"/>
      <c r="BQ601" s="61"/>
      <c r="BR601" s="61"/>
    </row>
    <row r="602" spans="46:70">
      <c r="AT602" s="77"/>
      <c r="BP602" s="61"/>
      <c r="BQ602" s="61"/>
      <c r="BR602" s="61"/>
    </row>
    <row r="603" spans="46:70">
      <c r="AT603" s="77"/>
    </row>
    <row r="604" spans="46:70">
      <c r="AT604" s="77"/>
    </row>
    <row r="605" spans="46:70">
      <c r="AT605" s="77"/>
    </row>
    <row r="606" spans="46:70">
      <c r="AT606" s="77"/>
    </row>
    <row r="607" spans="46:70">
      <c r="AT607" s="77"/>
    </row>
    <row r="608" spans="46:70">
      <c r="AT608" s="77"/>
    </row>
    <row r="609" spans="46:46">
      <c r="AT609" s="77"/>
    </row>
    <row r="610" spans="46:46">
      <c r="AT610" s="77"/>
    </row>
    <row r="611" spans="46:46">
      <c r="AT611" s="77"/>
    </row>
    <row r="612" spans="46:46">
      <c r="AT612" s="77"/>
    </row>
    <row r="613" spans="46:46">
      <c r="AT613" s="77"/>
    </row>
    <row r="614" spans="46:46">
      <c r="AT614" s="77"/>
    </row>
    <row r="615" spans="46:46">
      <c r="AT615" s="77"/>
    </row>
  </sheetData>
  <sheetProtection sort="0" autoFilter="0"/>
  <autoFilter ref="A5:BB582">
    <filterColumn colId="7">
      <filters>
        <filter val="SIHS"/>
      </filters>
    </filterColumn>
  </autoFilter>
  <customSheetViews>
    <customSheetView guid="{A10EBD83-7D03-4E3F-9980-D4843478A706}" scale="40" showPageBreaks="1" fitToPage="1" printArea="1" filter="1" showAutoFilter="1" hiddenColumns="1">
      <selection activeCell="A5" sqref="A5"/>
      <pageMargins left="3.937007874015748E-2" right="3.937007874015748E-2" top="1.1023622047244095" bottom="0.31496062992125984" header="0.11811023622047245" footer="0.19685039370078741"/>
      <printOptions horizontalCentered="1"/>
      <pageSetup paperSize="8" scale="10" fitToHeight="4" orientation="landscape" horizontalDpi="1200" r:id="rId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7">
          <filters>
            <filter val="SIHS"/>
          </filters>
        </filterColumn>
      </autoFilter>
    </customSheetView>
    <customSheetView guid="{270E95A7-3B6C-4D9D-97B0-E7320BA4DFF7}" scale="62" showPageBreaks="1" fitToPage="1" printArea="1" showAutoFilter="1">
      <selection activeCell="AV1" sqref="A1:XFD1048576"/>
      <pageMargins left="3.937007874015748E-2" right="3.937007874015748E-2" top="1.1023622047244095" bottom="0.31496062992125984" header="0.11811023622047245" footer="0.19685039370078741"/>
      <printOptions horizontalCentered="1"/>
      <pageSetup paperSize="8" scale="22" fitToHeight="0" orientation="landscape" horizontalDpi="1200" r:id="rId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 guid="{C0A33525-2FAA-4399-909F-1A52282E6E9A}" scale="51" showPageBreaks="1" printArea="1" filter="1" showAutoFilter="1" hiddenColumns="1" view="pageBreakPreview" topLeftCell="X1">
      <pane ySplit="3" topLeftCell="A4" activePane="bottomLeft" state="frozen"/>
      <selection pane="bottomLeft" activeCell="AG491" sqref="AG491"/>
      <colBreaks count="2" manualBreakCount="2">
        <brk id="28" max="489" man="1"/>
        <brk id="39" max="489" man="1"/>
      </colBreaks>
      <pageMargins left="3.937007874015748E-2" right="3.937007874015748E-2" top="1.1023622047244095" bottom="0.31496062992125984" header="0.11811023622047245" footer="0.19685039370078741"/>
      <printOptions horizontalCentered="1"/>
      <pageSetup paperSize="9" scale="15" fitToHeight="0" orientation="landscape" horizontalDpi="1200" r:id="rId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1">
          <filters>
            <filter val="2026"/>
          </filters>
        </filterColumn>
        <filterColumn colId="5">
          <filters>
            <filter val="Educação"/>
          </filters>
        </filterColumn>
      </autoFilter>
    </customSheetView>
    <customSheetView guid="{650C7FD6-1755-4668-8EF1-3B7C3B405ED0}" scale="70" showPageBreaks="1" fitToPage="1" printArea="1" showAutoFilter="1" topLeftCell="E1">
      <pane xSplit="6" ySplit="5" topLeftCell="AE318" activePane="bottomRight" state="frozen"/>
      <selection pane="bottomRight" activeCell="AF3" sqref="AF3"/>
      <pageMargins left="3.937007874015748E-2" right="3.937007874015748E-2" top="1.1023622047244095" bottom="0.31496062992125984" header="0.11811023622047245" footer="0.19685039370078741"/>
      <printOptions horizontalCentered="1"/>
      <pageSetup paperSize="8" scale="10" fitToHeight="10" orientation="landscape" horizontalDpi="1200" r:id="rId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customSheetView>
    <customSheetView guid="{ED1B5C85-9B80-490E-8588-6B2C7D651C3C}" scale="55" showPageBreaks="1" fitToPage="1" printArea="1" showAutoFilter="1">
      <selection activeCell="F5" sqref="F5"/>
      <pageMargins left="3.937007874015748E-2" right="3.937007874015748E-2" top="1.1023622047244095" bottom="0.31496062992125984" header="0.11811023622047245" footer="0.19685039370078741"/>
      <printOptions horizontalCentered="1"/>
      <pageSetup paperSize="8" scale="10" fitToHeight="0" orientation="landscape" horizontalDpi="1200" r:id="rId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1F5D5C3B-584A-4E1D-921E-CC88F424DC57}" scale="40" showPageBreaks="1" fitToPage="1" printArea="1" showAutoFilter="1" topLeftCell="A2">
      <selection activeCell="A5" sqref="A5"/>
      <pageMargins left="3.937007874015748E-2" right="3.937007874015748E-2" top="1.1023622047244095" bottom="0.31496062992125984" header="0.11811023622047245" footer="0.19685039370078741"/>
      <printOptions horizontalCentered="1"/>
      <pageSetup paperSize="8" scale="10" fitToHeight="0" orientation="landscape" horizontalDpi="1200" r:id="rId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83779279-67B1-4521-A1E4-214B232BDCAE}" scale="70" showAutoFilter="1" hiddenColumns="1" topLeftCell="A5">
      <selection activeCell="S5" sqref="S5"/>
      <pageMargins left="3.937007874015748E-2" right="3.937007874015748E-2" top="1.1023622047244095" bottom="0.31496062992125984" header="0.11811023622047245" footer="0.19685039370078741"/>
      <printOptions horizontalCentered="1"/>
      <pageSetup paperSize="9" scale="39" fitToHeight="0" orientation="landscape" horizontalDpi="1200" r:id="rId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V599"/>
    </customSheetView>
    <customSheetView guid="{B397FDFC-D692-4CD4-9BCD-5E04E4A47A8A}" scale="50" fitToPage="1" filter="1" showAutoFilter="1">
      <pane xSplit="3" ySplit="4" topLeftCell="D680" activePane="bottomRight" state="frozen"/>
      <selection pane="bottomRight" activeCell="C680" sqref="C680"/>
      <pageMargins left="3.937007874015748E-2" right="3.937007874015748E-2" top="1.1023622047244095" bottom="0.31496062992125984" header="0.11811023622047245" footer="0.19685039370078741"/>
      <printOptions horizontalCentered="1"/>
      <pageSetup paperSize="8" scale="26" fitToHeight="0" orientation="landscape" horizontalDpi="1200" r:id="rId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blank="1">
            <filter val="2025"/>
          </filters>
        </filterColumn>
        <filterColumn colId="3">
          <filters>
            <filter val="Mobilidade"/>
          </filters>
        </filterColumn>
      </autoFilter>
    </customSheetView>
    <customSheetView guid="{8AF3F23F-962F-4238-A668-E07C224D58CD}" scale="50" showPageBreaks="1" fitToPage="1" printArea="1" showAutoFilter="1" topLeftCell="A394">
      <selection activeCell="B396" sqref="B396"/>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6" fitToHeight="0" orientation="landscape" r:id="rId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V441"/>
    </customSheetView>
    <customSheetView guid="{6CBADB44-6CEA-447F-B9B3-3F538C995614}" scale="59" fitToPage="1" printArea="1" filter="1" showAutoFilter="1" topLeftCell="Q17">
      <selection activeCell="S21" sqref="S21"/>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30" fitToHeight="0" orientation="landscape" r:id="rId1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19:V459">
        <filterColumn colId="3">
          <filters>
            <filter val="Unidade Escolar"/>
          </filters>
        </filterColumn>
      </autoFilter>
    </customSheetView>
    <customSheetView guid="{970D1C79-0BDD-428A-B1F8-9D0298518B53}" scale="40" showPageBreaks="1" fitToPage="1" printArea="1" filter="1" showAutoFilter="1" hiddenColumns="1">
      <pane xSplit="6" ySplit="403" topLeftCell="P418" activePane="bottomRight" state="frozen"/>
      <selection pane="bottomRight" activeCell="P430" sqref="P430"/>
      <pageMargins left="3.937007874015748E-2" right="3.937007874015748E-2" top="1.1023622047244095" bottom="0.31496062992125984" header="0.11811023622047245" footer="0.19685039370078741"/>
      <printOptions horizontalCentered="1"/>
      <pageSetup paperSize="8" scale="32" fitToHeight="0" orientation="landscape" horizontalDpi="1200" r:id="rId1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filter val="2025"/>
          </filters>
        </filterColumn>
        <filterColumn colId="4">
          <filters>
            <filter val="Periferia Viva"/>
          </filters>
        </filterColumn>
      </autoFilter>
    </customSheetView>
    <customSheetView guid="{FCDAC3CE-92D1-45D7-8D28-746A60A770F4}" scale="70" fitToPage="1" filter="1" showAutoFilter="1" topLeftCell="A137">
      <selection activeCell="C138" sqref="C138"/>
      <pageMargins left="3.937007874015748E-2" right="3.937007874015748E-2" top="1.1023622047244095" bottom="0.31496062992125984" header="0.11811023622047245" footer="0.19685039370078741"/>
      <printOptions horizontalCentered="1"/>
      <pageSetup paperSize="8" scale="29" fitToHeight="0" orientation="landscape" horizontalDpi="1200" r:id="rId1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AA663">
        <filterColumn colId="1">
          <filters>
            <filter val="2023"/>
          </filters>
        </filterColumn>
        <filterColumn colId="4">
          <filters>
            <filter val="Drenagem Urbana"/>
          </filters>
        </filterColumn>
        <filterColumn colId="5">
          <filters>
            <filter val="15 - Gov. Estado - CONDER"/>
          </filters>
        </filterColumn>
        <filterColumn colId="13">
          <filters>
            <filter val="OGU"/>
          </filters>
        </filterColumn>
      </autoFilter>
    </customSheetView>
    <customSheetView guid="{BE6EA046-B955-4D4F-A0AD-CD37BD2D43BC}" scale="50" showPageBreaks="1" fitToPage="1" printArea="1" filter="1" showAutoFilter="1" hiddenColumns="1" topLeftCell="G50">
      <selection activeCell="AF52" sqref="AF52"/>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0" fitToHeight="0" orientation="landscape" r:id="rId1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R494">
        <filterColumn colId="5">
          <filters>
            <filter val="Turismo e Cultura"/>
          </filters>
        </filterColumn>
        <filterColumn colId="6">
          <filters>
            <filter val="CEU da Cultura"/>
          </filters>
        </filterColumn>
      </autoFilter>
    </customSheetView>
    <customSheetView guid="{535F29DD-DAB5-45F1-B721-096B9A19B9FA}" scale="70" showPageBreaks="1" printArea="1" filter="1" showAutoFilter="1" hiddenColumns="1" topLeftCell="AR1">
      <pane ySplit="3" topLeftCell="A4" activePane="bottomLeft" state="frozen"/>
      <selection pane="bottomLeft" activeCell="AT1" sqref="AT1"/>
      <colBreaks count="2" manualBreakCount="2">
        <brk id="28" max="492" man="1"/>
        <brk id="37" max="492"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Z592">
        <filterColumn colId="6">
          <filters>
            <filter val="CEU da Cultura"/>
          </filters>
        </filterColumn>
        <filterColumn colId="23">
          <filters>
            <filter val="04 - AGUARDANDO ORDEM DE SERVIÇO"/>
            <filter val="06 - À LICITAR"/>
          </filters>
        </filterColumn>
      </autoFilter>
    </customSheetView>
    <customSheetView guid="{ACBCA272-4BF0-464F-9826-B88631775C9A}" scale="40" fitToPage="1" printArea="1" filter="1" showAutoFilter="1" hiddenColumns="1" topLeftCell="B47">
      <selection activeCell="J48" sqref="J48"/>
      <pageMargins left="3.937007874015748E-2" right="3.937007874015748E-2" top="1.1023622047244095" bottom="0.31496062992125984" header="0.11811023622047245" footer="0.19685039370078741"/>
      <printOptions horizontalCentered="1"/>
      <pageSetup paperSize="9" scale="66" fitToHeight="0" orientation="landscape" horizontalDpi="1200" r:id="rId1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A592">
        <filterColumn colId="5">
          <filters>
            <filter val="Prevenção a Desastres Naturais"/>
          </filters>
        </filterColumn>
        <filterColumn colId="6">
          <filters>
            <filter val="Drenagem Urbana"/>
          </filters>
        </filterColumn>
      </autoFilter>
    </customSheetView>
    <customSheetView guid="{76D6D523-3A20-4FC6-B305-B0C40BA9EF5B}" scale="50" showPageBreaks="1" fitToPage="1" printArea="1" showAutoFilter="1">
      <pane xSplit="3" ySplit="4" topLeftCell="D5" activePane="bottomRight" state="frozen"/>
      <selection pane="bottomRight" activeCell="E6" sqref="E6"/>
      <pageMargins left="3.937007874015748E-2" right="3.937007874015748E-2" top="1.1023622047244095" bottom="0.31496062992125984" header="0.11811023622047245" footer="0.19685039370078741"/>
      <printOptions horizontalCentered="1"/>
      <pageSetup paperSize="8" scale="19" fitToHeight="0" orientation="landscape" horizontalDpi="1200" r:id="rId1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9AE7F4FF-DFFA-490F-8AF2-4FB45EA2475B}" scale="60" showPageBreaks="1" fitToPage="1" printArea="1" showAutoFilter="1">
      <selection activeCell="F18" sqref="F18"/>
      <pageMargins left="3.937007874015748E-2" right="3.937007874015748E-2" top="1.1023622047244095" bottom="0.31496062992125984" header="0.11811023622047245" footer="0.19685039370078741"/>
      <printOptions horizontalCentered="1"/>
      <pageSetup paperSize="8" scale="19" fitToHeight="0" orientation="landscape" horizontalDpi="1200" r:id="rId1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13E94A3C-CB3A-4F58-A512-0396BF6DE7DC}" scale="50" showPageBreaks="1" fitToPage="1" printArea="1" filter="1" showAutoFilter="1" hiddenColumns="1" topLeftCell="A288">
      <selection activeCell="AC289" sqref="AC289"/>
      <pageMargins left="3.937007874015748E-2" right="3.937007874015748E-2" top="1.1023622047244095" bottom="0.31496062992125984" header="0.11811023622047245" footer="0.19685039370078741"/>
      <printOptions horizontalCentered="1"/>
      <pageSetup paperSize="8" scale="21" fitToHeight="0" orientation="landscape" horizontalDpi="1200" r:id="rId1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strada / Rodovia"/>
          </filters>
        </filterColumn>
        <filterColumn colId="7">
          <filters>
            <filter val="GESTÃO FEDERAL"/>
          </filters>
        </filterColumn>
      </autoFilter>
    </customSheetView>
    <customSheetView guid="{083D9386-A209-4E4D-86CD-025B1176CEB5}" scale="55" showPageBreaks="1" fitToPage="1" printArea="1" filter="1" showAutoFilter="1" hiddenColumns="1">
      <selection activeCell="Z495" sqref="Z495"/>
      <pageMargins left="3.937007874015748E-2" right="3.937007874015748E-2" top="1.1023622047244095" bottom="0.31496062992125984" header="0.11811023622047245" footer="0.19685039370078741"/>
      <printOptions horizontalCentered="1"/>
      <pageSetup paperSize="8" scale="38" fitToHeight="0" orientation="landscape" horizontalDpi="1200" r:id="rId1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Veículo sobre trilhos"/>
          </filters>
        </filterColumn>
      </autoFilter>
    </customSheetView>
    <customSheetView guid="{46BB051B-272B-49C8-A4C3-B4237F6E1B7D}" scale="40" showPageBreaks="1" fitToPage="1" printArea="1" showAutoFilter="1" topLeftCell="AM1">
      <selection activeCell="AP5" sqref="AP5"/>
      <pageMargins left="3.937007874015748E-2" right="3.937007874015748E-2" top="1.1023622047244095" bottom="0.31496062992125984" header="0.11811023622047245" footer="0.19685039370078741"/>
      <printOptions horizontalCentered="1"/>
      <pageSetup paperSize="8" scale="22" fitToHeight="0" orientation="landscape" horizontalDpi="1200" r:id="rId20"/>
      <headerFooter>
        <oddHeader>&amp;L&amp;G&amp;C&amp;"Calibri,Negrito"&amp;40PANORAMA - AÇÕES PRIORITÁRIAS DO GOVERNO
&amp;36&amp;A&amp;R&amp;"Calibri,Regular"&amp;14&amp;G
&amp;18&amp;P de &amp;N
&amp;A
IMPRESSÃO: &amp;D às &amp;T</oddHeader>
        <oddFooter>&amp;L&amp;"Calibri,Regular"&amp;18&amp;Z&amp;F&amp;R&amp;"Calibri,Regular"&amp;18&amp;P de &amp;N</oddFooter>
      </headerFooter>
      <autoFilter ref="A5:BB581"/>
    </customSheetView>
    <customSheetView guid="{B13D886E-BAB8-4D14-822A-F08281218447}" scale="60" showPageBreaks="1" fitToPage="1" printArea="1" filter="1" showAutoFilter="1">
      <selection activeCell="J369" sqref="J369"/>
      <pageMargins left="0.11811023622047245" right="0.11811023622047245" top="0.55118110236220474" bottom="0.35433070866141736" header="0.31496062992125984" footer="0.31496062992125984"/>
      <printOptions horizontalCentered="1"/>
      <pageSetup paperSize="9" scale="15" fitToHeight="0" orientation="landscape" horizontalDpi="1200" r:id="rId2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Resíduos Sólidos"/>
          </filters>
        </filterColumn>
      </autoFilter>
    </customSheetView>
    <customSheetView guid="{129416D2-3637-48C1-A749-90B02AD0693E}" scale="60" showPageBreaks="1" fitToPage="1" printArea="1" filter="1" showAutoFilter="1" hiddenColumns="1" topLeftCell="AR4">
      <pane ySplit="1" topLeftCell="A139" activePane="bottomLeft" state="frozen"/>
      <selection pane="bottomLeft" activeCell="AU139" sqref="AU139"/>
      <pageMargins left="3.937007874015748E-2" right="3.937007874015748E-2" top="1.1023622047244095" bottom="0.31496062992125984" header="0.11811023622047245" footer="0.19685039370078741"/>
      <printOptions horizontalCentered="1"/>
      <pageSetup paperSize="8" scale="19" fitToHeight="10" orientation="landscape" horizontalDpi="1200" r:id="rId2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4">
          <filters>
            <filter val="G4 LOTE 01 - Aureliano Oliveira- Etapa 2 / Mutuípe"/>
            <filter val="G4 LOTE 01 - PDE 345 Complementar Travessa 17 de Novembro-Bairro Tancredo Neves"/>
            <filter val="G4 LOTE 01 - PDE 358 Complementar -Clube das Mães - Bairro Dom Avelar"/>
            <filter val="G4 LOTE 01- Rua do Prédio - Etapa 03 E 05 / Teolândia"/>
            <filter val="G4 LOTE 02 - PDE 253  Complementar -Rua Gengibirra de Cima - Liberdade"/>
          </filters>
        </filterColumn>
        <filterColumn colId="6">
          <filters>
            <filter val="Encosta"/>
          </filters>
        </filterColumn>
      </autoFilter>
    </customSheetView>
    <customSheetView guid="{0FB74A6A-4A44-4BA5-9EB0-B86297CD9790}" scale="60" showPageBreaks="1" fitToPage="1" printArea="1" filter="1" showAutoFilter="1" hiddenColumns="1" topLeftCell="AE10">
      <selection activeCell="AR282" sqref="AR282"/>
      <pageMargins left="3.937007874015748E-2" right="3.937007874015748E-2" top="1.1023622047244095" bottom="0.31496062992125984" header="0.11811023622047245" footer="0.19685039370078741"/>
      <printOptions horizontalCentered="1"/>
      <pageSetup paperSize="8" scale="38" fitToHeight="0" orientation="landscape" horizontalDpi="1200" r:id="rId2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5">
          <filters>
            <filter val="Infraestrutura"/>
          </filters>
        </filterColumn>
        <filterColumn colId="6">
          <filters>
            <filter val="Aeroporto (EQUIPAMENTOS)"/>
            <filter val="Aeroporto (INFRA)"/>
            <filter val="Aeroporto (TPS)"/>
            <filter val="Estrada / Rodovia"/>
          </filters>
        </filterColumn>
      </autoFilter>
    </customSheetView>
    <customSheetView guid="{E3BD65C7-28AF-4588-B550-0F7E84154BAA}" scale="40" showPageBreaks="1" fitToPage="1" printArea="1" showAutoFilter="1">
      <selection activeCell="A5" sqref="A5"/>
      <pageMargins left="3.937007874015748E-2" right="3.937007874015748E-2" top="1.1023622047244095" bottom="0.31496062992125984" header="0.11811023622047245" footer="0.19685039370078741"/>
      <printOptions horizontalCentered="1"/>
      <pageSetup paperSize="9" scale="10" fitToHeight="10" orientation="portrait" verticalDpi="0" r:id="rId2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s>
  <mergeCells count="3">
    <mergeCell ref="J1:J2"/>
    <mergeCell ref="K1:S1"/>
    <mergeCell ref="F1:I1"/>
  </mergeCells>
  <phoneticPr fontId="1" type="noConversion"/>
  <dataValidations count="10">
    <dataValidation type="decimal" allowBlank="1" showInputMessage="1" showErrorMessage="1" sqref="M2:P2 K20:P437 K6:L19 M5:P19 Q6:S581">
      <formula1>0</formula1>
      <formula2>1000000000000</formula2>
    </dataValidation>
    <dataValidation type="date" operator="greaterThan" allowBlank="1" showInputMessage="1" showErrorMessage="1" sqref="AL480:AL488 AK356 AJ357:AJ582 AJ6:AJ355">
      <formula1>43831</formula1>
    </dataValidation>
    <dataValidation type="list" allowBlank="1" showInputMessage="1" showErrorMessage="1" sqref="D582:D1048576">
      <formula1>$W$4:$W$14</formula1>
    </dataValidation>
    <dataValidation type="whole" allowBlank="1" showInputMessage="1" showErrorMessage="1" sqref="W6:W207">
      <formula1>0</formula1>
      <formula2>800</formula2>
    </dataValidation>
    <dataValidation type="list" allowBlank="1" showInputMessage="1" showErrorMessage="1" sqref="AM6:AM437">
      <formula1>$P$4:$P$7</formula1>
    </dataValidation>
    <dataValidation type="whole" allowBlank="1" showInputMessage="1" showErrorMessage="1" sqref="B6:B488">
      <formula1>2010</formula1>
      <formula2>2030</formula2>
    </dataValidation>
    <dataValidation type="date" allowBlank="1" showInputMessage="1" showErrorMessage="1" sqref="AD6:AD582 AS6:AS488">
      <formula1>36526</formula1>
      <formula2>55153</formula2>
    </dataValidation>
    <dataValidation type="date" allowBlank="1" showInputMessage="1" showErrorMessage="1" sqref="Z6:Z479 AN6:AR479">
      <formula1>1</formula1>
      <formula2>55153</formula2>
    </dataValidation>
    <dataValidation type="decimal" allowBlank="1" showInputMessage="1" showErrorMessage="1" sqref="AA6:AA581">
      <formula1>0</formula1>
      <formula2>100</formula2>
    </dataValidation>
    <dataValidation type="list" allowBlank="1" showInputMessage="1" showErrorMessage="1" sqref="Y499:Y581">
      <formula1>$L$3:$L$24</formula1>
    </dataValidation>
  </dataValidations>
  <hyperlinks>
    <hyperlink ref="AK43" r:id="rId25"/>
    <hyperlink ref="AL43" r:id="rId26" display="https://maps.app.goo.gl/ZSwEazpMByWViNhT6"/>
  </hyperlinks>
  <printOptions horizontalCentered="1"/>
  <pageMargins left="3.937007874015748E-2" right="3.937007874015748E-2" top="1.1023622047244095" bottom="0.31496062992125984" header="0.11811023622047245" footer="0.19685039370078741"/>
  <pageSetup paperSize="8" scale="10" fitToHeight="4" orientation="landscape" horizontalDpi="1200" r:id="rId2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legacyDrawing r:id="rId28"/>
  <legacyDrawingHF r:id="rId29"/>
  <extLst>
    <ext xmlns:x14="http://schemas.microsoft.com/office/spreadsheetml/2009/9/main" uri="{CCE6A557-97BC-4b89-ADB6-D9C93CAAB3DF}">
      <x14:dataValidations xmlns:xm="http://schemas.microsoft.com/office/excel/2006/main" count="37">
        <x14:dataValidation type="list" allowBlank="1" showInputMessage="1" showErrorMessage="1">
          <x14:formula1>
            <xm:f>Domínios!$N$3:$N$16</xm:f>
          </x14:formula1>
          <xm:sqref>AM2:AM5</xm:sqref>
        </x14:dataValidation>
        <x14:dataValidation type="list" allowBlank="1" showInputMessage="1" showErrorMessage="1">
          <x14:formula1>
            <xm:f>Domínios!$B$3:$B$4</xm:f>
          </x14:formula1>
          <xm:sqref>C438:C581</xm:sqref>
        </x14:dataValidation>
        <x14:dataValidation type="list" allowBlank="1" showInputMessage="1" showErrorMessage="1">
          <x14:formula1>
            <xm:f>Domínios!$B$3:$B$5</xm:f>
          </x14:formula1>
          <xm:sqref>C6:C8 C10:C437</xm:sqref>
        </x14:dataValidation>
        <x14:dataValidation type="list" allowBlank="1" showInputMessage="1" showErrorMessage="1">
          <x14:formula1>
            <xm:f>Domínios!$AA$3:$AA$6</xm:f>
          </x14:formula1>
          <xm:sqref>D6:D8 D10:D581</xm:sqref>
        </x14:dataValidation>
        <x14:dataValidation type="list" allowBlank="1" showInputMessage="1" showErrorMessage="1">
          <x14:formula1>
            <xm:f>Domínios!$AC$3:$AC$15</xm:f>
          </x14:formula1>
          <xm:sqref>H6:H8 H10:H581</xm:sqref>
        </x14:dataValidation>
        <x14:dataValidation type="list" allowBlank="1" showInputMessage="1" showErrorMessage="1">
          <x14:formula1>
            <xm:f>Domínios!$Y$3:$Y$9</xm:f>
          </x14:formula1>
          <xm:sqref>AH6:AH8 AH10:AH581</xm:sqref>
        </x14:dataValidation>
        <x14:dataValidation type="list" allowBlank="1" showInputMessage="1" showErrorMessage="1">
          <x14:formula1>
            <xm:f>Domínios!$AE$3:$AE$7</xm:f>
          </x14:formula1>
          <xm:sqref>X5:X8 X10:X581</xm:sqref>
        </x14:dataValidation>
        <x14:dataValidation type="list" allowBlank="1" showInputMessage="1" showErrorMessage="1">
          <x14:formula1>
            <xm:f>'X:\COAPI 2\2026\08. NOVO PAC\[PANORAMA - PAC ORIGINAL - PAC SELEÇÕES - 10.08.26.xlsx]Domínios'!#REF!</xm:f>
          </x14:formula1>
          <xm:sqref>V9</xm:sqref>
        </x14:dataValidation>
        <x14:dataValidation type="list" allowBlank="1" showInputMessage="1" showErrorMessage="1">
          <x14:formula1>
            <xm:f>'X:\COAPI 2\2026\08. NOVO PAC\[PANORAMA - PAC ORIGINAL - PAC SELEÇÕES - 10.08.26.xlsx]Domínios'!#REF!</xm:f>
          </x14:formula1>
          <xm:sqref>X9</xm:sqref>
        </x14:dataValidation>
        <x14:dataValidation type="list" allowBlank="1" showInputMessage="1" showErrorMessage="1">
          <x14:formula1>
            <xm:f>'X:\COAPI 2\2026\08. NOVO PAC\[PANORAMA - PAC ORIGINAL - PAC SELEÇÕES - 10.08.26.xlsx]Domínios'!#REF!</xm:f>
          </x14:formula1>
          <xm:sqref>U9</xm:sqref>
        </x14:dataValidation>
        <x14:dataValidation type="list" allowBlank="1" showInputMessage="1" showErrorMessage="1">
          <x14:formula1>
            <xm:f>'X:\COAPI 2\2026\08. NOVO PAC\[PANORAMA - PAC ORIGINAL - PAC SELEÇÕES - 10.08.26.xlsx]Domínios'!#REF!</xm:f>
          </x14:formula1>
          <xm:sqref>AB9</xm:sqref>
        </x14:dataValidation>
        <x14:dataValidation type="list" allowBlank="1" showInputMessage="1" showErrorMessage="1">
          <x14:formula1>
            <xm:f>'X:\COAPI 2\2026\08. NOVO PAC\[PANORAMA - PAC ORIGINAL - PAC SELEÇÕES - 10.08.26.xlsx]Domínios'!#REF!</xm:f>
          </x14:formula1>
          <xm:sqref>AH9</xm:sqref>
        </x14:dataValidation>
        <x14:dataValidation type="list" allowBlank="1" showInputMessage="1" showErrorMessage="1">
          <x14:formula1>
            <xm:f>'X:\COAPI 2\2026\08. NOVO PAC\[PANORAMA - PAC ORIGINAL - PAC SELEÇÕES - 10.08.26.xlsx]Domínios'!#REF!</xm:f>
          </x14:formula1>
          <xm:sqref>H9</xm:sqref>
        </x14:dataValidation>
        <x14:dataValidation type="list" allowBlank="1" showInputMessage="1" showErrorMessage="1">
          <x14:formula1>
            <xm:f>'X:\COAPI 2\2026\08. NOVO PAC\[PANORAMA - PAC ORIGINAL - PAC SELEÇÕES - 10.08.26.xlsx]Domínios'!#REF!</xm:f>
          </x14:formula1>
          <xm:sqref>I9</xm:sqref>
        </x14:dataValidation>
        <x14:dataValidation type="list" allowBlank="1" showInputMessage="1" showErrorMessage="1">
          <x14:formula1>
            <xm:f>'X:\COAPI 2\2026\08. NOVO PAC\[PANORAMA - PAC ORIGINAL - PAC SELEÇÕES - 10.08.26.xlsx]Domínios'!#REF!</xm:f>
          </x14:formula1>
          <xm:sqref>J9</xm:sqref>
        </x14:dataValidation>
        <x14:dataValidation type="list" allowBlank="1" showInputMessage="1" showErrorMessage="1">
          <x14:formula1>
            <xm:f>'X:\COAPI 2\2026\08. NOVO PAC\[PANORAMA - PAC ORIGINAL - PAC SELEÇÕES - 10.08.26.xlsx]Domínios'!#REF!</xm:f>
          </x14:formula1>
          <xm:sqref>D9</xm:sqref>
        </x14:dataValidation>
        <x14:dataValidation type="list" allowBlank="1" showInputMessage="1" showErrorMessage="1">
          <x14:formula1>
            <xm:f>'X:\COAPI 2\2026\08. NOVO PAC\[PANORAMA - PAC ORIGINAL - PAC SELEÇÕES - 10.08.26.xlsx]Domínios'!#REF!</xm:f>
          </x14:formula1>
          <xm:sqref>G9</xm:sqref>
        </x14:dataValidation>
        <x14:dataValidation type="list" allowBlank="1" showInputMessage="1" showErrorMessage="1">
          <x14:formula1>
            <xm:f>'X:\COAPI 2\2026\08. NOVO PAC\[PANORAMA - PAC ORIGINAL - PAC SELEÇÕES - 10.08.26.xlsx]Domínios'!#REF!</xm:f>
          </x14:formula1>
          <xm:sqref>F9</xm:sqref>
        </x14:dataValidation>
        <x14:dataValidation type="list" allowBlank="1" showInputMessage="1" showErrorMessage="1">
          <x14:formula1>
            <xm:f>'X:\COAPI 2\2026\08. NOVO PAC\[PANORAMA - PAC ORIGINAL - PAC SELEÇÕES - 10.08.26.xlsx]Domínios'!#REF!</xm:f>
          </x14:formula1>
          <xm:sqref>C9</xm:sqref>
        </x14:dataValidation>
        <x14:dataValidation type="list" allowBlank="1" showInputMessage="1" showErrorMessage="1">
          <x14:formula1>
            <xm:f>Domínios!$L$3:$L$23</xm:f>
          </x14:formula1>
          <xm:sqref>Z480:Z488</xm:sqref>
        </x14:dataValidation>
        <x14:dataValidation type="list" allowBlank="1" showInputMessage="1" showErrorMessage="1">
          <x14:formula1>
            <xm:f>Domínios!$D$3:$D$21</xm:f>
          </x14:formula1>
          <xm:sqref>F6:F8</xm:sqref>
        </x14:dataValidation>
        <x14:dataValidation type="list" allowBlank="1" showInputMessage="1" showErrorMessage="1">
          <x14:formula1>
            <xm:f>Domínios!$D$3:$D$21</xm:f>
          </x14:formula1>
          <xm:sqref>F10:F488</xm:sqref>
        </x14:dataValidation>
        <x14:dataValidation type="list" allowBlank="1" showInputMessage="1" showErrorMessage="1">
          <x14:formula1>
            <xm:f>Domínios!$J$3:$J$35</xm:f>
          </x14:formula1>
          <xm:sqref>G484:G581</xm:sqref>
        </x14:dataValidation>
        <x14:dataValidation type="list" allowBlank="1" showInputMessage="1" showErrorMessage="1">
          <x14:formula1>
            <xm:f>Domínios!$J$3:$J$44</xm:f>
          </x14:formula1>
          <xm:sqref>G6:G8</xm:sqref>
        </x14:dataValidation>
        <x14:dataValidation type="list" allowBlank="1" showInputMessage="1" showErrorMessage="1">
          <x14:formula1>
            <xm:f>Domínios!$J$3:$J$44</xm:f>
          </x14:formula1>
          <xm:sqref>G10:G483</xm:sqref>
        </x14:dataValidation>
        <x14:dataValidation type="list" allowBlank="1" showInputMessage="1" showErrorMessage="1">
          <x14:formula1>
            <xm:f>Domínios!$P$3:$P$18</xm:f>
          </x14:formula1>
          <xm:sqref>I4</xm:sqref>
        </x14:dataValidation>
        <x14:dataValidation type="list" allowBlank="1" showInputMessage="1" showErrorMessage="1">
          <x14:formula1>
            <xm:f>Domínios!$P$3:$P$21</xm:f>
          </x14:formula1>
          <xm:sqref>I6:I8</xm:sqref>
        </x14:dataValidation>
        <x14:dataValidation type="list" allowBlank="1" showInputMessage="1" showErrorMessage="1">
          <x14:formula1>
            <xm:f>Domínios!$P$3:$P$21</xm:f>
          </x14:formula1>
          <xm:sqref>I10:I581</xm:sqref>
        </x14:dataValidation>
        <x14:dataValidation type="list" allowBlank="1" showInputMessage="1" showErrorMessage="1">
          <x14:formula1>
            <xm:f>Domínios!$S$3:$S$420</xm:f>
          </x14:formula1>
          <xm:sqref>J6:J8</xm:sqref>
        </x14:dataValidation>
        <x14:dataValidation type="list" allowBlank="1" showInputMessage="1" showErrorMessage="1">
          <x14:formula1>
            <xm:f>Domínios!$S$3:$S$420</xm:f>
          </x14:formula1>
          <xm:sqref>J10:J581</xm:sqref>
        </x14:dataValidation>
        <x14:dataValidation type="list" allowBlank="1" showInputMessage="1" showErrorMessage="1">
          <x14:formula1>
            <xm:f>Domínios!$AG$3:$AG$46</xm:f>
          </x14:formula1>
          <xm:sqref>AB6:AB8</xm:sqref>
        </x14:dataValidation>
        <x14:dataValidation type="list" allowBlank="1" showInputMessage="1" showErrorMessage="1">
          <x14:formula1>
            <xm:f>Domínios!$AG$3:$AG$46</xm:f>
          </x14:formula1>
          <xm:sqref>AB10:AB581</xm:sqref>
        </x14:dataValidation>
        <x14:dataValidation type="list" allowBlank="1" showInputMessage="1" showErrorMessage="1">
          <x14:formula1>
            <xm:f>Domínios!$AI$3:$AI$18</xm:f>
          </x14:formula1>
          <xm:sqref>U6:U8</xm:sqref>
        </x14:dataValidation>
        <x14:dataValidation type="list" allowBlank="1" showInputMessage="1" showErrorMessage="1">
          <x14:formula1>
            <xm:f>Domínios!$AI$3:$AI$18</xm:f>
          </x14:formula1>
          <xm:sqref>U10:U581</xm:sqref>
        </x14:dataValidation>
        <x14:dataValidation type="list" allowBlank="1" showInputMessage="1" showErrorMessage="1">
          <x14:formula1>
            <xm:f>Domínios!$AK$3:$AK$19</xm:f>
          </x14:formula1>
          <xm:sqref>V6:V8</xm:sqref>
        </x14:dataValidation>
        <x14:dataValidation type="list" allowBlank="1" showInputMessage="1" showErrorMessage="1">
          <x14:formula1>
            <xm:f>Domínios!$AK$3:$AK$19</xm:f>
          </x14:formula1>
          <xm:sqref>V10:V581</xm:sqref>
        </x14:dataValidation>
        <x14:dataValidation type="list" allowBlank="1" showInputMessage="1" showErrorMessage="1">
          <x14:formula1>
            <xm:f>Domínios!$L$3:$L$20</xm:f>
          </x14:formula1>
          <xm:sqref>Y6:Y498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6"/>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8" orientation="portrait" r:id="rId1"/>
    </customSheetView>
    <customSheetView guid="{270E95A7-3B6C-4D9D-97B0-E7320BA4DFF7}" state="hidden">
      <pageMargins left="0.511811024" right="0.511811024" top="0.78740157499999996" bottom="0.78740157499999996" header="0.31496062000000002" footer="0.31496062000000002"/>
      <pageSetup paperSize="8" orientation="portrait" r:id="rId2"/>
    </customSheetView>
    <customSheetView guid="{C0A33525-2FAA-4399-909F-1A52282E6E9A}" state="hidden">
      <pageMargins left="0.511811024" right="0.511811024" top="0.78740157499999996" bottom="0.78740157499999996" header="0.31496062000000002" footer="0.31496062000000002"/>
      <pageSetup paperSize="8" orientation="portrait" r:id="rId3"/>
    </customSheetView>
    <customSheetView guid="{650C7FD6-1755-4668-8EF1-3B7C3B405ED0}" state="hidden">
      <pageMargins left="0.511811024" right="0.511811024" top="0.78740157499999996" bottom="0.78740157499999996" header="0.31496062000000002" footer="0.31496062000000002"/>
      <pageSetup paperSize="8" orientation="portrait" r:id="rId4"/>
    </customSheetView>
    <customSheetView guid="{ED1B5C85-9B80-490E-8588-6B2C7D651C3C}" state="hidden">
      <pageMargins left="0.511811024" right="0.511811024" top="0.78740157499999996" bottom="0.78740157499999996" header="0.31496062000000002" footer="0.31496062000000002"/>
      <pageSetup paperSize="8" orientation="portrait" r:id="rId5"/>
    </customSheetView>
    <customSheetView guid="{1F5D5C3B-584A-4E1D-921E-CC88F424DC57}" state="hidden">
      <pageMargins left="0.511811024" right="0.511811024" top="0.78740157499999996" bottom="0.78740157499999996" header="0.31496062000000002" footer="0.31496062000000002"/>
      <pageSetup paperSize="8" orientation="portrait" r:id="rId6"/>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8" orientation="portrait" r:id="rId7"/>
    </customSheetView>
    <customSheetView guid="{76D6D523-3A20-4FC6-B305-B0C40BA9EF5B}" state="hidden">
      <pageMargins left="0.511811024" right="0.511811024" top="0.78740157499999996" bottom="0.78740157499999996" header="0.31496062000000002" footer="0.31496062000000002"/>
      <pageSetup paperSize="8" orientation="portrait" r:id="rId8"/>
    </customSheetView>
    <customSheetView guid="{9AE7F4FF-DFFA-490F-8AF2-4FB45EA2475B}" state="hidden">
      <pageMargins left="0.511811024" right="0.511811024" top="0.78740157499999996" bottom="0.78740157499999996" header="0.31496062000000002" footer="0.31496062000000002"/>
      <pageSetup paperSize="8" orientation="portrait" r:id="rId9"/>
    </customSheetView>
    <customSheetView guid="{13E94A3C-CB3A-4F58-A512-0396BF6DE7DC}" state="hidden">
      <pageMargins left="0.511811024" right="0.511811024" top="0.78740157499999996" bottom="0.78740157499999996" header="0.31496062000000002" footer="0.31496062000000002"/>
      <pageSetup paperSize="8"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8" orientation="portrait" r:id="rId11"/>
    </customSheetView>
    <customSheetView guid="{46BB051B-272B-49C8-A4C3-B4237F6E1B7D}" state="hidden">
      <pageMargins left="0.511811024" right="0.511811024" top="0.78740157499999996" bottom="0.78740157499999996" header="0.31496062000000002" footer="0.31496062000000002"/>
      <pageSetup paperSize="8" orientation="portrait" r:id="rId12"/>
    </customSheetView>
    <customSheetView guid="{B13D886E-BAB8-4D14-822A-F08281218447}" state="hidden">
      <pageMargins left="0.511811024" right="0.511811024" top="0.78740157499999996" bottom="0.78740157499999996" header="0.31496062000000002" footer="0.31496062000000002"/>
      <pageSetup paperSize="8" orientation="portrait" r:id="rId13"/>
    </customSheetView>
    <customSheetView guid="{129416D2-3637-48C1-A749-90B02AD0693E}" state="hidden">
      <pageMargins left="0.511811024" right="0.511811024" top="0.78740157499999996" bottom="0.78740157499999996" header="0.31496062000000002" footer="0.31496062000000002"/>
      <pageSetup paperSize="8" orientation="portrait" r:id="rId14"/>
    </customSheetView>
    <customSheetView guid="{0FB74A6A-4A44-4BA5-9EB0-B86297CD9790}" state="hidden">
      <pageMargins left="0.511811024" right="0.511811024" top="0.78740157499999996" bottom="0.78740157499999996" header="0.31496062000000002" footer="0.31496062000000002"/>
      <pageSetup paperSize="8" orientation="portrait" r:id="rId15"/>
    </customSheetView>
    <customSheetView guid="{E3BD65C7-28AF-4588-B550-0F7E84154BAA}" state="hidden">
      <pageMargins left="0.511811024" right="0.511811024" top="0.78740157499999996" bottom="0.78740157499999996" header="0.31496062000000002" footer="0.31496062000000002"/>
      <pageSetup paperSize="8" orientation="portrait" r:id="rId16"/>
    </customSheetView>
  </customSheetViews>
  <pageMargins left="0.511811024" right="0.511811024" top="0.78740157499999996" bottom="0.78740157499999996" header="0.31496062000000002" footer="0.31496062000000002"/>
  <pageSetup paperSize="8" orientation="portrait" r:id="rId1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7"/>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270E95A7-3B6C-4D9D-97B0-E7320BA4DFF7}" state="hidden">
      <pageMargins left="0.511811024" right="0.511811024" top="0.78740157499999996" bottom="0.78740157499999996" header="0.31496062000000002" footer="0.31496062000000002"/>
      <pageSetup paperSize="9" orientation="portrait" r:id="rId2"/>
    </customSheetView>
    <customSheetView guid="{C0A33525-2FAA-4399-909F-1A52282E6E9A}"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46BB051B-272B-49C8-A4C3-B4237F6E1B7D}" state="hidden">
      <pageMargins left="0.511811024" right="0.511811024" top="0.78740157499999996" bottom="0.78740157499999996" header="0.31496062000000002" footer="0.31496062000000002"/>
      <pageSetup paperSize="9" orientation="portrait" r:id="rId12"/>
    </customSheetView>
    <customSheetView guid="{B13D886E-BAB8-4D14-822A-F08281218447}" state="hidden">
      <pageMargins left="0.511811024" right="0.511811024" top="0.78740157499999996" bottom="0.78740157499999996" header="0.31496062000000002" footer="0.31496062000000002"/>
      <pageSetup paperSize="9" orientation="portrait" r:id="rId13"/>
    </customSheetView>
    <customSheetView guid="{129416D2-3637-48C1-A749-90B02AD0693E}" state="hidden">
      <pageMargins left="0.511811024" right="0.511811024" top="0.78740157499999996" bottom="0.78740157499999996" header="0.31496062000000002" footer="0.31496062000000002"/>
      <pageSetup paperSize="9" orientation="portrait" r:id="rId14"/>
    </customSheetView>
    <customSheetView guid="{0FB74A6A-4A44-4BA5-9EB0-B86297CD9790}"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270E95A7-3B6C-4D9D-97B0-E7320BA4DFF7}" state="hidden">
      <pageMargins left="0.511811024" right="0.511811024" top="0.78740157499999996" bottom="0.78740157499999996" header="0.31496062000000002" footer="0.31496062000000002"/>
      <pageSetup paperSize="9" orientation="portrait" r:id="rId2"/>
    </customSheetView>
    <customSheetView guid="{C0A33525-2FAA-4399-909F-1A52282E6E9A}"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46BB051B-272B-49C8-A4C3-B4237F6E1B7D}" state="hidden">
      <pageMargins left="0.511811024" right="0.511811024" top="0.78740157499999996" bottom="0.78740157499999996" header="0.31496062000000002" footer="0.31496062000000002"/>
      <pageSetup paperSize="9" orientation="portrait" r:id="rId12"/>
    </customSheetView>
    <customSheetView guid="{B13D886E-BAB8-4D14-822A-F08281218447}" state="hidden">
      <pageMargins left="0.511811024" right="0.511811024" top="0.78740157499999996" bottom="0.78740157499999996" header="0.31496062000000002" footer="0.31496062000000002"/>
      <pageSetup paperSize="9" orientation="portrait" r:id="rId13"/>
    </customSheetView>
    <customSheetView guid="{129416D2-3637-48C1-A749-90B02AD0693E}" state="hidden">
      <pageMargins left="0.511811024" right="0.511811024" top="0.78740157499999996" bottom="0.78740157499999996" header="0.31496062000000002" footer="0.31496062000000002"/>
      <pageSetup paperSize="9" orientation="portrait" r:id="rId14"/>
    </customSheetView>
    <customSheetView guid="{0FB74A6A-4A44-4BA5-9EB0-B86297CD9790}"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270E95A7-3B6C-4D9D-97B0-E7320BA4DFF7}" state="hidden">
      <pageMargins left="0.511811024" right="0.511811024" top="0.78740157499999996" bottom="0.78740157499999996" header="0.31496062000000002" footer="0.31496062000000002"/>
      <pageSetup paperSize="9" orientation="portrait" r:id="rId2"/>
    </customSheetView>
    <customSheetView guid="{C0A33525-2FAA-4399-909F-1A52282E6E9A}"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46BB051B-272B-49C8-A4C3-B4237F6E1B7D}" state="hidden">
      <pageMargins left="0.511811024" right="0.511811024" top="0.78740157499999996" bottom="0.78740157499999996" header="0.31496062000000002" footer="0.31496062000000002"/>
      <pageSetup paperSize="9" orientation="portrait" r:id="rId12"/>
    </customSheetView>
    <customSheetView guid="{B13D886E-BAB8-4D14-822A-F08281218447}" state="hidden">
      <pageMargins left="0.511811024" right="0.511811024" top="0.78740157499999996" bottom="0.78740157499999996" header="0.31496062000000002" footer="0.31496062000000002"/>
      <pageSetup paperSize="9" orientation="portrait" r:id="rId13"/>
    </customSheetView>
    <customSheetView guid="{129416D2-3637-48C1-A749-90B02AD0693E}" state="hidden">
      <pageMargins left="0.511811024" right="0.511811024" top="0.78740157499999996" bottom="0.78740157499999996" header="0.31496062000000002" footer="0.31496062000000002"/>
      <pageSetup paperSize="9" orientation="portrait" r:id="rId14"/>
    </customSheetView>
    <customSheetView guid="{0FB74A6A-4A44-4BA5-9EB0-B86297CD9790}"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270E95A7-3B6C-4D9D-97B0-E7320BA4DFF7}" state="hidden">
      <pageMargins left="0.511811024" right="0.511811024" top="0.78740157499999996" bottom="0.78740157499999996" header="0.31496062000000002" footer="0.31496062000000002"/>
      <pageSetup paperSize="9" orientation="portrait" r:id="rId2"/>
    </customSheetView>
    <customSheetView guid="{C0A33525-2FAA-4399-909F-1A52282E6E9A}"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46BB051B-272B-49C8-A4C3-B4237F6E1B7D}" state="hidden">
      <pageMargins left="0.511811024" right="0.511811024" top="0.78740157499999996" bottom="0.78740157499999996" header="0.31496062000000002" footer="0.31496062000000002"/>
      <pageSetup paperSize="9" orientation="portrait" r:id="rId12"/>
    </customSheetView>
    <customSheetView guid="{B13D886E-BAB8-4D14-822A-F08281218447}" state="hidden">
      <pageMargins left="0.511811024" right="0.511811024" top="0.78740157499999996" bottom="0.78740157499999996" header="0.31496062000000002" footer="0.31496062000000002"/>
      <pageSetup paperSize="9" orientation="portrait" r:id="rId13"/>
    </customSheetView>
    <customSheetView guid="{129416D2-3637-48C1-A749-90B02AD0693E}" state="hidden">
      <pageMargins left="0.511811024" right="0.511811024" top="0.78740157499999996" bottom="0.78740157499999996" header="0.31496062000000002" footer="0.31496062000000002"/>
      <pageSetup paperSize="9" orientation="portrait" r:id="rId14"/>
    </customSheetView>
    <customSheetView guid="{0FB74A6A-4A44-4BA5-9EB0-B86297CD9790}"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1"/>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270E95A7-3B6C-4D9D-97B0-E7320BA4DFF7}" state="hidden">
      <pageMargins left="0.511811024" right="0.511811024" top="0.78740157499999996" bottom="0.78740157499999996" header="0.31496062000000002" footer="0.31496062000000002"/>
      <pageSetup paperSize="9" orientation="portrait" r:id="rId2"/>
    </customSheetView>
    <customSheetView guid="{C0A33525-2FAA-4399-909F-1A52282E6E9A}"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46BB051B-272B-49C8-A4C3-B4237F6E1B7D}" state="hidden">
      <pageMargins left="0.511811024" right="0.511811024" top="0.78740157499999996" bottom="0.78740157499999996" header="0.31496062000000002" footer="0.31496062000000002"/>
      <pageSetup paperSize="9" orientation="portrait" r:id="rId12"/>
    </customSheetView>
    <customSheetView guid="{B13D886E-BAB8-4D14-822A-F08281218447}" state="hidden">
      <pageMargins left="0.511811024" right="0.511811024" top="0.78740157499999996" bottom="0.78740157499999996" header="0.31496062000000002" footer="0.31496062000000002"/>
      <pageSetup paperSize="9" orientation="portrait" r:id="rId13"/>
    </customSheetView>
    <customSheetView guid="{129416D2-3637-48C1-A749-90B02AD0693E}" state="hidden">
      <pageMargins left="0.511811024" right="0.511811024" top="0.78740157499999996" bottom="0.78740157499999996" header="0.31496062000000002" footer="0.31496062000000002"/>
      <pageSetup paperSize="9" orientation="portrait" r:id="rId14"/>
    </customSheetView>
    <customSheetView guid="{0FB74A6A-4A44-4BA5-9EB0-B86297CD9790}"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2"/>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270E95A7-3B6C-4D9D-97B0-E7320BA4DFF7}" state="hidden">
      <pageMargins left="0.511811024" right="0.511811024" top="0.78740157499999996" bottom="0.78740157499999996" header="0.31496062000000002" footer="0.31496062000000002"/>
      <pageSetup paperSize="9" orientation="portrait" r:id="rId2"/>
    </customSheetView>
    <customSheetView guid="{C0A33525-2FAA-4399-909F-1A52282E6E9A}"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ED1B5C85-9B80-490E-8588-6B2C7D651C3C}" state="hidden">
      <pageMargins left="0.511811024" right="0.511811024" top="0.78740157499999996" bottom="0.78740157499999996" header="0.31496062000000002" footer="0.31496062000000002"/>
      <pageSetup paperSize="9" orientation="portrait" r:id="rId5"/>
    </customSheetView>
    <customSheetView guid="{1F5D5C3B-584A-4E1D-921E-CC88F424DC57}" state="hidden">
      <pageMargins left="0.511811024" right="0.511811024" top="0.78740157499999996" bottom="0.78740157499999996" header="0.31496062000000002" footer="0.31496062000000002"/>
      <pageSetup paperSize="9" orientation="portrait" r:id="rId6"/>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7"/>
    </customSheetView>
    <customSheetView guid="{76D6D523-3A20-4FC6-B305-B0C40BA9EF5B}"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46BB051B-272B-49C8-A4C3-B4237F6E1B7D}" state="hidden">
      <pageMargins left="0.511811024" right="0.511811024" top="0.78740157499999996" bottom="0.78740157499999996" header="0.31496062000000002" footer="0.31496062000000002"/>
      <pageSetup paperSize="9" orientation="portrait" r:id="rId12"/>
    </customSheetView>
    <customSheetView guid="{B13D886E-BAB8-4D14-822A-F08281218447}" state="hidden">
      <pageMargins left="0.511811024" right="0.511811024" top="0.78740157499999996" bottom="0.78740157499999996" header="0.31496062000000002" footer="0.31496062000000002"/>
      <pageSetup paperSize="9" orientation="portrait" r:id="rId13"/>
    </customSheetView>
    <customSheetView guid="{129416D2-3637-48C1-A749-90B02AD0693E}" state="hidden">
      <pageMargins left="0.511811024" right="0.511811024" top="0.78740157499999996" bottom="0.78740157499999996" header="0.31496062000000002" footer="0.31496062000000002"/>
      <pageSetup paperSize="9" orientation="portrait" r:id="rId14"/>
    </customSheetView>
    <customSheetView guid="{0FB74A6A-4A44-4BA5-9EB0-B86297CD9790}"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dimension ref="A2:BA22"/>
  <sheetViews>
    <sheetView topLeftCell="A3" zoomScale="40" workbookViewId="0">
      <selection activeCell="A4" sqref="A4"/>
    </sheetView>
  </sheetViews>
  <sheetFormatPr defaultRowHeight="14.25"/>
  <cols>
    <col min="1" max="1" width="19.375" bestFit="1" customWidth="1"/>
    <col min="2" max="2" width="42.375" bestFit="1" customWidth="1"/>
    <col min="3" max="3" width="18.875" bestFit="1" customWidth="1"/>
    <col min="4" max="4" width="25.125" bestFit="1" customWidth="1"/>
    <col min="5" max="5" width="126.375" bestFit="1" customWidth="1"/>
    <col min="6" max="6" width="26.375" bestFit="1" customWidth="1"/>
    <col min="7" max="7" width="30.375" bestFit="1" customWidth="1"/>
    <col min="8" max="8" width="44.375" bestFit="1" customWidth="1"/>
    <col min="9" max="9" width="41.125" bestFit="1" customWidth="1"/>
    <col min="10" max="10" width="28.375" bestFit="1" customWidth="1"/>
    <col min="11" max="11" width="71.375" bestFit="1" customWidth="1"/>
    <col min="12" max="12" width="51.125" bestFit="1" customWidth="1"/>
    <col min="13" max="13" width="26.125" bestFit="1" customWidth="1"/>
    <col min="14" max="14" width="39.875" bestFit="1" customWidth="1"/>
    <col min="15" max="15" width="39.375" bestFit="1" customWidth="1"/>
    <col min="16" max="16" width="38.375" bestFit="1" customWidth="1"/>
    <col min="17" max="17" width="65.125" bestFit="1" customWidth="1"/>
    <col min="18" max="18" width="45.625" bestFit="1" customWidth="1"/>
    <col min="19" max="19" width="46.125" bestFit="1" customWidth="1"/>
    <col min="20" max="20" width="51.125" bestFit="1" customWidth="1"/>
    <col min="21" max="21" width="67.375" bestFit="1" customWidth="1"/>
    <col min="22" max="22" width="54.375" bestFit="1" customWidth="1"/>
    <col min="23" max="23" width="48" bestFit="1" customWidth="1"/>
    <col min="24" max="24" width="28.375" bestFit="1" customWidth="1"/>
    <col min="25" max="25" width="63" bestFit="1" customWidth="1"/>
    <col min="26" max="26" width="45.375" bestFit="1" customWidth="1"/>
    <col min="27" max="27" width="47.375" bestFit="1" customWidth="1"/>
    <col min="28" max="28" width="147.375" bestFit="1" customWidth="1"/>
    <col min="29" max="29" width="63" bestFit="1" customWidth="1"/>
    <col min="30" max="30" width="107" bestFit="1" customWidth="1"/>
    <col min="31" max="31" width="46.625" bestFit="1" customWidth="1"/>
    <col min="32" max="32" width="90.625" bestFit="1" customWidth="1"/>
    <col min="33" max="33" width="48.375" bestFit="1" customWidth="1"/>
    <col min="34" max="34" width="67" bestFit="1" customWidth="1"/>
    <col min="35" max="35" width="25.625" bestFit="1" customWidth="1"/>
    <col min="36" max="36" width="78.375" bestFit="1" customWidth="1"/>
    <col min="37" max="37" width="90.125" bestFit="1" customWidth="1"/>
    <col min="38" max="38" width="41.125" bestFit="1" customWidth="1"/>
    <col min="39" max="39" width="43" bestFit="1" customWidth="1"/>
    <col min="40" max="40" width="51.375" bestFit="1" customWidth="1"/>
    <col min="41" max="41" width="58.375" bestFit="1" customWidth="1"/>
    <col min="42" max="42" width="37.375" bestFit="1" customWidth="1"/>
    <col min="43" max="43" width="61.625" bestFit="1" customWidth="1"/>
    <col min="44" max="44" width="64.375" bestFit="1" customWidth="1"/>
    <col min="45" max="45" width="205.125" bestFit="1" customWidth="1"/>
    <col min="46" max="46" width="98.375" bestFit="1" customWidth="1"/>
    <col min="47" max="47" width="46.625" bestFit="1" customWidth="1"/>
    <col min="48" max="48" width="49.375" bestFit="1" customWidth="1"/>
    <col min="49" max="49" width="29.375" bestFit="1" customWidth="1"/>
    <col min="50" max="50" width="28" bestFit="1" customWidth="1"/>
    <col min="51" max="51" width="20.625" bestFit="1" customWidth="1"/>
    <col min="52" max="52" width="97" bestFit="1" customWidth="1"/>
  </cols>
  <sheetData>
    <row r="2" spans="1:53" ht="15" thickBot="1"/>
    <row r="3" spans="1:53" ht="42.75" thickBot="1">
      <c r="A3" s="11" t="s">
        <v>451</v>
      </c>
      <c r="B3" s="12" t="s">
        <v>713</v>
      </c>
      <c r="C3" s="11" t="s">
        <v>604</v>
      </c>
      <c r="D3" s="11" t="s">
        <v>1009</v>
      </c>
      <c r="E3" s="12" t="s">
        <v>692</v>
      </c>
      <c r="F3" s="11" t="s">
        <v>442</v>
      </c>
      <c r="G3" s="11" t="s">
        <v>567</v>
      </c>
      <c r="H3" s="11" t="s">
        <v>1228</v>
      </c>
      <c r="I3" s="11" t="s">
        <v>1229</v>
      </c>
      <c r="J3" s="13" t="s">
        <v>0</v>
      </c>
      <c r="K3" s="11" t="s">
        <v>1560</v>
      </c>
      <c r="L3" s="11" t="s">
        <v>1558</v>
      </c>
      <c r="M3" s="11" t="s">
        <v>572</v>
      </c>
      <c r="N3" s="11" t="s">
        <v>573</v>
      </c>
      <c r="O3" s="11" t="s">
        <v>574</v>
      </c>
      <c r="P3" s="11" t="s">
        <v>594</v>
      </c>
      <c r="Q3" s="11" t="s">
        <v>1639</v>
      </c>
      <c r="R3" s="11" t="s">
        <v>1579</v>
      </c>
      <c r="S3" s="11" t="s">
        <v>575</v>
      </c>
      <c r="T3" s="11" t="s">
        <v>1580</v>
      </c>
      <c r="U3" s="11" t="s">
        <v>1</v>
      </c>
      <c r="V3" s="11" t="s">
        <v>443</v>
      </c>
      <c r="W3" s="11" t="s">
        <v>1308</v>
      </c>
      <c r="X3" s="11" t="s">
        <v>3</v>
      </c>
      <c r="Y3" s="11" t="s">
        <v>1449</v>
      </c>
      <c r="Z3" s="11" t="s">
        <v>1450</v>
      </c>
      <c r="AA3" s="11" t="s">
        <v>1461</v>
      </c>
      <c r="AB3" s="11" t="s">
        <v>1462</v>
      </c>
      <c r="AC3" s="12" t="s">
        <v>1478</v>
      </c>
      <c r="AD3" s="12" t="s">
        <v>1448</v>
      </c>
      <c r="AE3" s="12" t="s">
        <v>456</v>
      </c>
      <c r="AF3" s="12" t="s">
        <v>1306</v>
      </c>
      <c r="AG3" s="12" t="s">
        <v>961</v>
      </c>
      <c r="AH3" s="12" t="s">
        <v>980</v>
      </c>
      <c r="AI3" s="12" t="s">
        <v>979</v>
      </c>
      <c r="AJ3" s="12" t="s">
        <v>1025</v>
      </c>
      <c r="AK3" s="12" t="s">
        <v>1026</v>
      </c>
      <c r="AL3" s="12" t="s">
        <v>758</v>
      </c>
      <c r="AM3" s="11" t="s">
        <v>1226</v>
      </c>
      <c r="AN3" s="11" t="s">
        <v>1231</v>
      </c>
      <c r="AO3" s="11" t="s">
        <v>1227</v>
      </c>
      <c r="AP3" s="11" t="s">
        <v>1225</v>
      </c>
      <c r="AQ3" s="11" t="s">
        <v>1496</v>
      </c>
      <c r="AR3" s="11" t="s">
        <v>1230</v>
      </c>
      <c r="AS3" s="12" t="s">
        <v>2</v>
      </c>
      <c r="AT3" s="12" t="s">
        <v>1474</v>
      </c>
      <c r="AU3" s="12" t="s">
        <v>1028</v>
      </c>
      <c r="AV3" s="11" t="s">
        <v>461</v>
      </c>
      <c r="AW3" s="12" t="s">
        <v>1481</v>
      </c>
      <c r="AX3" s="12" t="s">
        <v>1314</v>
      </c>
      <c r="AY3" s="12" t="s">
        <v>605</v>
      </c>
      <c r="AZ3" s="59" t="s">
        <v>1640</v>
      </c>
    </row>
    <row r="4" spans="1:53" ht="231.75" thickBot="1">
      <c r="A4" s="15">
        <f t="shared" ref="A4" si="0">ROW()-3</f>
        <v>1</v>
      </c>
      <c r="B4" s="15"/>
      <c r="C4" s="14"/>
      <c r="D4" s="14"/>
      <c r="E4" s="16" t="s">
        <v>1491</v>
      </c>
      <c r="F4" s="14" t="s">
        <v>49</v>
      </c>
      <c r="G4" s="14" t="s">
        <v>614</v>
      </c>
      <c r="H4" s="17" t="s">
        <v>1248</v>
      </c>
      <c r="I4" s="14" t="s">
        <v>606</v>
      </c>
      <c r="J4" s="14" t="s">
        <v>297</v>
      </c>
      <c r="K4" s="18"/>
      <c r="L4" s="18"/>
      <c r="M4" s="19"/>
      <c r="N4" s="19"/>
      <c r="O4" s="19"/>
      <c r="P4" s="18"/>
      <c r="Q4" s="20">
        <f>SUM('OUTRAS AÇÕES'!$M4:$P4)</f>
        <v>0</v>
      </c>
      <c r="R4" s="20"/>
      <c r="S4" s="20"/>
      <c r="T4" s="20"/>
      <c r="U4" s="21" t="s">
        <v>1493</v>
      </c>
      <c r="V4" s="22">
        <v>18</v>
      </c>
      <c r="W4" s="22" t="s">
        <v>1483</v>
      </c>
      <c r="X4" s="15" t="s">
        <v>668</v>
      </c>
      <c r="Y4" s="25">
        <v>46022</v>
      </c>
      <c r="Z4" s="24">
        <v>35</v>
      </c>
      <c r="AA4" s="17" t="s">
        <v>1485</v>
      </c>
      <c r="AB4" s="40" t="s">
        <v>1692</v>
      </c>
      <c r="AC4" s="23">
        <v>46022</v>
      </c>
      <c r="AD4" s="16" t="s">
        <v>1693</v>
      </c>
      <c r="AE4" s="17"/>
      <c r="AF4" s="17"/>
      <c r="AG4" s="17"/>
      <c r="AH4" s="17"/>
      <c r="AI4" s="23"/>
      <c r="AJ4" s="17" t="s">
        <v>1395</v>
      </c>
      <c r="AK4" s="17"/>
      <c r="AL4" s="17"/>
      <c r="AM4" s="23"/>
      <c r="AN4" s="23"/>
      <c r="AO4" s="23"/>
      <c r="AP4" s="23"/>
      <c r="AQ4" s="25"/>
      <c r="AR4" s="82">
        <v>46203</v>
      </c>
      <c r="AS4" s="16" t="s">
        <v>1014</v>
      </c>
      <c r="AT4" s="17" t="s">
        <v>1003</v>
      </c>
      <c r="AU4" s="14">
        <v>2927408</v>
      </c>
      <c r="AV4" s="24"/>
      <c r="AW4" s="14"/>
      <c r="AX4" s="14"/>
      <c r="AY4" s="14"/>
      <c r="AZ4" s="83"/>
    </row>
    <row r="5" spans="1:53" s="1" customFormat="1" ht="126.75" thickBot="1">
      <c r="A5" s="28">
        <f t="shared" ref="A5:A22" si="1">ROW()-3</f>
        <v>2</v>
      </c>
      <c r="B5" s="28">
        <v>2023</v>
      </c>
      <c r="C5" s="27" t="s">
        <v>610</v>
      </c>
      <c r="D5" s="27" t="s">
        <v>1010</v>
      </c>
      <c r="E5" s="29" t="s">
        <v>515</v>
      </c>
      <c r="F5" s="27" t="s">
        <v>51</v>
      </c>
      <c r="G5" s="27" t="s">
        <v>516</v>
      </c>
      <c r="H5" s="30" t="s">
        <v>1244</v>
      </c>
      <c r="I5" s="27" t="s">
        <v>1240</v>
      </c>
      <c r="J5" s="27" t="s">
        <v>361</v>
      </c>
      <c r="K5" s="31"/>
      <c r="L5" s="31">
        <v>990000</v>
      </c>
      <c r="M5" s="32">
        <v>990000</v>
      </c>
      <c r="N5" s="32"/>
      <c r="O5" s="32"/>
      <c r="P5" s="31"/>
      <c r="Q5" s="33">
        <f>SUM('OUTRAS AÇÕES'!$M5:$P5)</f>
        <v>990000</v>
      </c>
      <c r="R5" s="33"/>
      <c r="S5" s="33"/>
      <c r="T5" s="33"/>
      <c r="U5" s="34" t="s">
        <v>1570</v>
      </c>
      <c r="V5" s="35">
        <v>19</v>
      </c>
      <c r="W5" s="35" t="s">
        <v>1483</v>
      </c>
      <c r="X5" s="28" t="s">
        <v>668</v>
      </c>
      <c r="Y5" s="36"/>
      <c r="Z5" s="37"/>
      <c r="AA5" s="30" t="s">
        <v>1472</v>
      </c>
      <c r="AB5" s="30" t="s">
        <v>1479</v>
      </c>
      <c r="AC5" s="36"/>
      <c r="AD5" s="29" t="s">
        <v>1411</v>
      </c>
      <c r="AE5" s="30" t="s">
        <v>639</v>
      </c>
      <c r="AF5" s="30" t="s">
        <v>663</v>
      </c>
      <c r="AG5" s="30" t="s">
        <v>977</v>
      </c>
      <c r="AH5" s="30"/>
      <c r="AI5" s="36"/>
      <c r="AJ5" s="30" t="s">
        <v>1187</v>
      </c>
      <c r="AK5" s="30"/>
      <c r="AL5" s="30"/>
      <c r="AM5" s="36"/>
      <c r="AN5" s="36"/>
      <c r="AO5" s="36"/>
      <c r="AP5" s="36"/>
      <c r="AQ5" s="38"/>
      <c r="AR5" s="38"/>
      <c r="AS5" s="29" t="s">
        <v>1406</v>
      </c>
      <c r="AT5" s="39" t="s">
        <v>1480</v>
      </c>
      <c r="AU5" s="27">
        <f>IFERROR(INDEX(Domínios!$R$3:$R$419,(MATCH(PAC!$J145,Domínios!$S$3:$S$419,0))),"")</f>
        <v>2905701</v>
      </c>
      <c r="AV5" s="37" t="s">
        <v>1016</v>
      </c>
      <c r="AW5" s="27"/>
      <c r="AX5" s="27"/>
      <c r="AY5" s="27"/>
      <c r="AZ5" s="84"/>
    </row>
    <row r="6" spans="1:53" s="1" customFormat="1" ht="252.75" thickBot="1">
      <c r="A6" s="15">
        <f t="shared" si="1"/>
        <v>3</v>
      </c>
      <c r="B6" s="15">
        <v>2023</v>
      </c>
      <c r="C6" s="14" t="s">
        <v>605</v>
      </c>
      <c r="D6" s="14" t="s">
        <v>1010</v>
      </c>
      <c r="E6" s="16" t="s">
        <v>502</v>
      </c>
      <c r="F6" s="14" t="s">
        <v>450</v>
      </c>
      <c r="G6" s="14" t="s">
        <v>504</v>
      </c>
      <c r="H6" s="17" t="s">
        <v>1242</v>
      </c>
      <c r="I6" s="14" t="s">
        <v>1238</v>
      </c>
      <c r="J6" s="14" t="s">
        <v>256</v>
      </c>
      <c r="K6" s="18"/>
      <c r="L6" s="18">
        <v>2000000</v>
      </c>
      <c r="M6" s="19">
        <v>1951220</v>
      </c>
      <c r="N6" s="19">
        <v>273758.59000000003</v>
      </c>
      <c r="O6" s="19">
        <v>172981.59</v>
      </c>
      <c r="P6" s="18"/>
      <c r="Q6" s="20">
        <f>SUM('OUTRAS AÇÕES'!$M6:$P6)</f>
        <v>2397960.1799999997</v>
      </c>
      <c r="R6" s="20"/>
      <c r="S6" s="20">
        <f>IF('OUTRAS AÇÕES'!$R6&gt;0,'OUTRAS AÇÕES'!$R6,'OUTRAS AÇÕES'!$Q6)</f>
        <v>2397960.1799999997</v>
      </c>
      <c r="T6" s="20"/>
      <c r="U6" s="21" t="s">
        <v>1572</v>
      </c>
      <c r="V6" s="22">
        <v>8</v>
      </c>
      <c r="W6" s="22" t="s">
        <v>1419</v>
      </c>
      <c r="X6" s="15" t="s">
        <v>1390</v>
      </c>
      <c r="Y6" s="23">
        <v>45989</v>
      </c>
      <c r="Z6" s="24"/>
      <c r="AA6" s="17" t="s">
        <v>1463</v>
      </c>
      <c r="AB6" s="17" t="s">
        <v>1551</v>
      </c>
      <c r="AC6" s="23">
        <v>45991</v>
      </c>
      <c r="AD6" s="16" t="s">
        <v>1407</v>
      </c>
      <c r="AE6" s="17" t="s">
        <v>919</v>
      </c>
      <c r="AF6" s="17" t="s">
        <v>619</v>
      </c>
      <c r="AG6" s="17" t="s">
        <v>983</v>
      </c>
      <c r="AH6" s="17"/>
      <c r="AI6" s="23">
        <v>45926</v>
      </c>
      <c r="AJ6" s="17" t="s">
        <v>1040</v>
      </c>
      <c r="AK6" s="17" t="s">
        <v>1124</v>
      </c>
      <c r="AL6" s="17"/>
      <c r="AM6" s="23"/>
      <c r="AN6" s="23"/>
      <c r="AO6" s="23"/>
      <c r="AP6" s="23"/>
      <c r="AQ6" s="25"/>
      <c r="AR6" s="25"/>
      <c r="AS6" s="16" t="s">
        <v>1540</v>
      </c>
      <c r="AT6" s="26" t="s">
        <v>1423</v>
      </c>
      <c r="AU6" s="14">
        <f>IFERROR(INDEX(Domínios!$R$3:$R$419,(MATCH(PAC!$J400,Domínios!$S$3:$S$419,0))),"")</f>
        <v>2919306</v>
      </c>
      <c r="AV6" s="24" t="s">
        <v>643</v>
      </c>
      <c r="AW6" s="42">
        <f>IFERROR(IF('OUTRAS AÇÕES'!$W6="F01 - CAPTAÇÃO DE RECURSO",1,""),"")</f>
        <v>1</v>
      </c>
      <c r="AX6" s="42" t="str">
        <f>IFERROR(IF('OUTRAS AÇÕES'!$W6="F02 - LICITAÇÃO",1,""),"")</f>
        <v/>
      </c>
      <c r="AY6" s="43" t="str">
        <f>IFERROR(IF(PAC!$X$6:$X$581="F03 - EXECUÇÃO",1,""),"")</f>
        <v/>
      </c>
      <c r="AZ6" s="44">
        <f>IF('OUTRAS AÇÕES'!$R6&gt;0,0,'OUTRAS AÇÕES'!$Q6)</f>
        <v>2397960.1799999997</v>
      </c>
    </row>
    <row r="7" spans="1:53" s="1" customFormat="1" ht="231.75" thickBot="1">
      <c r="A7" s="28">
        <f t="shared" si="1"/>
        <v>4</v>
      </c>
      <c r="B7" s="28">
        <v>2023</v>
      </c>
      <c r="C7" s="27" t="s">
        <v>605</v>
      </c>
      <c r="D7" s="27" t="s">
        <v>1010</v>
      </c>
      <c r="E7" s="29" t="s">
        <v>502</v>
      </c>
      <c r="F7" s="27" t="s">
        <v>450</v>
      </c>
      <c r="G7" s="27" t="s">
        <v>504</v>
      </c>
      <c r="H7" s="30" t="s">
        <v>1242</v>
      </c>
      <c r="I7" s="27" t="s">
        <v>1238</v>
      </c>
      <c r="J7" s="27" t="s">
        <v>401</v>
      </c>
      <c r="K7" s="31"/>
      <c r="L7" s="31">
        <v>2000000</v>
      </c>
      <c r="M7" s="32">
        <v>1951220</v>
      </c>
      <c r="N7" s="32">
        <v>463771.78</v>
      </c>
      <c r="O7" s="32">
        <v>207204.85</v>
      </c>
      <c r="P7" s="31"/>
      <c r="Q7" s="33">
        <f>SUM('OUTRAS AÇÕES'!$M7:$P7)</f>
        <v>2622196.6300000004</v>
      </c>
      <c r="R7" s="33"/>
      <c r="S7" s="33">
        <f>IF('OUTRAS AÇÕES'!$R7&gt;0,'OUTRAS AÇÕES'!$R7,'OUTRAS AÇÕES'!$Q7)</f>
        <v>2622196.6300000004</v>
      </c>
      <c r="T7" s="33"/>
      <c r="U7" s="34" t="s">
        <v>1572</v>
      </c>
      <c r="V7" s="35">
        <v>8</v>
      </c>
      <c r="W7" s="35" t="s">
        <v>1419</v>
      </c>
      <c r="X7" s="28" t="s">
        <v>1390</v>
      </c>
      <c r="Y7" s="36">
        <v>45989</v>
      </c>
      <c r="Z7" s="37"/>
      <c r="AA7" s="30" t="s">
        <v>1463</v>
      </c>
      <c r="AB7" s="30" t="s">
        <v>1552</v>
      </c>
      <c r="AC7" s="36">
        <v>45991</v>
      </c>
      <c r="AD7" s="29" t="s">
        <v>1408</v>
      </c>
      <c r="AE7" s="30" t="s">
        <v>922</v>
      </c>
      <c r="AF7" s="30" t="s">
        <v>620</v>
      </c>
      <c r="AG7" s="30" t="s">
        <v>983</v>
      </c>
      <c r="AH7" s="30"/>
      <c r="AI7" s="36">
        <v>45927</v>
      </c>
      <c r="AJ7" s="30" t="s">
        <v>1041</v>
      </c>
      <c r="AK7" s="30" t="s">
        <v>1119</v>
      </c>
      <c r="AL7" s="30"/>
      <c r="AM7" s="36"/>
      <c r="AN7" s="36"/>
      <c r="AO7" s="36"/>
      <c r="AP7" s="36"/>
      <c r="AQ7" s="38"/>
      <c r="AR7" s="38"/>
      <c r="AS7" s="29" t="s">
        <v>1541</v>
      </c>
      <c r="AT7" s="39" t="s">
        <v>1409</v>
      </c>
      <c r="AU7" s="27">
        <f>IFERROR(INDEX(Domínios!$R$3:$R$419,(MATCH(PAC!$J402,Domínios!$S$3:$S$419,0))),"")</f>
        <v>2928208</v>
      </c>
      <c r="AV7" s="37" t="s">
        <v>643</v>
      </c>
      <c r="AW7" s="78">
        <f>IFERROR(IF('OUTRAS AÇÕES'!$W7="F01 - CAPTAÇÃO DE RECURSO",1,""),"")</f>
        <v>1</v>
      </c>
      <c r="AX7" s="78" t="str">
        <f>IFERROR(IF('OUTRAS AÇÕES'!$W7="F02 - LICITAÇÃO",1,""),"")</f>
        <v/>
      </c>
      <c r="AY7" s="79" t="str">
        <f>IFERROR(IF(PAC!$X$6:$X$581="F03 - EXECUÇÃO",1,""),"")</f>
        <v/>
      </c>
      <c r="AZ7" s="45">
        <f>IF('OUTRAS AÇÕES'!$R7&gt;0,0,'OUTRAS AÇÕES'!$Q7)</f>
        <v>2622196.6300000004</v>
      </c>
    </row>
    <row r="8" spans="1:53" s="1" customFormat="1" ht="378" customHeight="1" thickBot="1">
      <c r="A8" s="14">
        <f>ROW()-5</f>
        <v>3</v>
      </c>
      <c r="B8" s="88">
        <v>2025</v>
      </c>
      <c r="C8" s="14" t="s">
        <v>605</v>
      </c>
      <c r="D8" s="14" t="s">
        <v>1010</v>
      </c>
      <c r="E8" s="16" t="s">
        <v>1122</v>
      </c>
      <c r="F8" s="14" t="s">
        <v>56</v>
      </c>
      <c r="G8" s="14" t="s">
        <v>665</v>
      </c>
      <c r="H8" s="17" t="s">
        <v>1245</v>
      </c>
      <c r="I8" s="14" t="s">
        <v>468</v>
      </c>
      <c r="J8" s="14" t="s">
        <v>219</v>
      </c>
      <c r="K8" s="18"/>
      <c r="L8" s="18">
        <v>124948084.08</v>
      </c>
      <c r="M8" s="19">
        <v>119825212.65000001</v>
      </c>
      <c r="N8" s="19"/>
      <c r="O8" s="19"/>
      <c r="P8" s="18"/>
      <c r="Q8" s="20">
        <f>SUM('OUTRAS AÇÕES'!$M8:$P8)</f>
        <v>119825212.65000001</v>
      </c>
      <c r="R8" s="20"/>
      <c r="S8" s="20">
        <f>IF('OUTRAS AÇÕES'!$R8&gt;0,'OUTRAS AÇÕES'!$R8,'OUTRAS AÇÕES'!$Q8)</f>
        <v>119825212.65000001</v>
      </c>
      <c r="T8" s="20" t="s">
        <v>1810</v>
      </c>
      <c r="U8" s="21" t="s">
        <v>1575</v>
      </c>
      <c r="V8" s="21"/>
      <c r="W8" s="22">
        <v>18</v>
      </c>
      <c r="X8" s="22" t="s">
        <v>1419</v>
      </c>
      <c r="Y8" s="15" t="s">
        <v>1715</v>
      </c>
      <c r="Z8" s="87"/>
      <c r="AA8" s="24">
        <v>0</v>
      </c>
      <c r="AB8" s="17" t="s">
        <v>1482</v>
      </c>
      <c r="AC8" s="17" t="s">
        <v>1752</v>
      </c>
      <c r="AD8" s="23"/>
      <c r="AE8" s="16" t="s">
        <v>1486</v>
      </c>
      <c r="AF8" s="17"/>
      <c r="AG8" s="17"/>
      <c r="AH8" s="17"/>
      <c r="AI8" s="17"/>
      <c r="AJ8" s="23"/>
      <c r="AK8" s="17"/>
      <c r="AL8" s="17"/>
      <c r="AM8" s="17"/>
      <c r="AN8" s="23">
        <v>45836</v>
      </c>
      <c r="AO8" s="23">
        <v>45938</v>
      </c>
      <c r="AP8" s="23">
        <v>45983</v>
      </c>
      <c r="AQ8" s="23">
        <v>45983</v>
      </c>
      <c r="AR8" s="25">
        <v>46529</v>
      </c>
      <c r="AS8" s="25">
        <v>46623</v>
      </c>
      <c r="AT8" s="16"/>
      <c r="AU8" s="26"/>
      <c r="AV8" s="86"/>
      <c r="AW8" s="24"/>
      <c r="AX8" s="42">
        <f>IFERROR(IF('OUTRAS AÇÕES'!$X8="F01 - CAPTAÇÃO DE RECURSO",1,""),"")</f>
        <v>1</v>
      </c>
      <c r="AY8" s="42" t="str">
        <f>IFERROR(IF('OUTRAS AÇÕES'!$X8="F02 - LICITAÇÃO",1,""),"")</f>
        <v/>
      </c>
      <c r="AZ8" s="43">
        <f>IFERROR(IF(PAC!$X$6:$X$581="F03 - EXECUÇÃO DO OBJETO",1,""),"")</f>
        <v>1</v>
      </c>
      <c r="BA8" s="44">
        <f>IF('OUTRAS AÇÕES'!$R8&gt;0,0,'OUTRAS AÇÕES'!$Q8)</f>
        <v>119825212.65000001</v>
      </c>
    </row>
    <row r="9" spans="1:53" s="1" customFormat="1" ht="210.75" thickBot="1">
      <c r="A9" s="28">
        <f t="shared" si="1"/>
        <v>6</v>
      </c>
      <c r="B9" s="28">
        <v>2025</v>
      </c>
      <c r="C9" s="27" t="s">
        <v>605</v>
      </c>
      <c r="D9" s="27" t="s">
        <v>1010</v>
      </c>
      <c r="E9" s="29" t="s">
        <v>1527</v>
      </c>
      <c r="F9" s="27" t="s">
        <v>576</v>
      </c>
      <c r="G9" s="27" t="s">
        <v>596</v>
      </c>
      <c r="H9" s="30" t="s">
        <v>1243</v>
      </c>
      <c r="I9" s="27" t="s">
        <v>600</v>
      </c>
      <c r="J9" s="27" t="s">
        <v>103</v>
      </c>
      <c r="K9" s="31">
        <v>89909232.640000001</v>
      </c>
      <c r="L9" s="31"/>
      <c r="M9" s="32"/>
      <c r="N9" s="32">
        <v>4495973.6599999964</v>
      </c>
      <c r="O9" s="32"/>
      <c r="P9" s="31">
        <v>85413258.980000004</v>
      </c>
      <c r="Q9" s="33">
        <v>89909232.640000001</v>
      </c>
      <c r="R9" s="33"/>
      <c r="S9" s="33">
        <v>89909232.640000001</v>
      </c>
      <c r="T9" s="33"/>
      <c r="U9" s="34" t="s">
        <v>594</v>
      </c>
      <c r="V9" s="35" t="s">
        <v>1852</v>
      </c>
      <c r="W9" s="35"/>
      <c r="X9" s="28" t="s">
        <v>1694</v>
      </c>
      <c r="Y9" s="36" t="s">
        <v>1716</v>
      </c>
      <c r="Z9" s="37">
        <v>46630</v>
      </c>
      <c r="AA9" s="30">
        <v>0.2</v>
      </c>
      <c r="AB9" s="30"/>
      <c r="AC9" s="36" t="s">
        <v>1964</v>
      </c>
      <c r="AD9" s="29"/>
      <c r="AE9" s="30" t="s">
        <v>1296</v>
      </c>
      <c r="AF9" s="30" t="s">
        <v>1529</v>
      </c>
      <c r="AG9" s="30"/>
      <c r="AH9" s="30"/>
      <c r="AI9" s="36"/>
      <c r="AJ9" s="30"/>
      <c r="AK9" s="30"/>
      <c r="AL9" s="30"/>
      <c r="AM9" s="36"/>
      <c r="AN9" s="36"/>
      <c r="AO9" s="36"/>
      <c r="AP9" s="36"/>
      <c r="AQ9" s="38">
        <v>45880</v>
      </c>
      <c r="AR9" s="38">
        <v>46630</v>
      </c>
      <c r="AS9" s="29">
        <v>46630</v>
      </c>
      <c r="AT9" s="39" t="s">
        <v>1809</v>
      </c>
      <c r="AU9" s="27" t="s">
        <v>1753</v>
      </c>
      <c r="AV9" s="37"/>
      <c r="AW9" s="27" t="s">
        <v>1610</v>
      </c>
      <c r="AX9" s="27" t="s">
        <v>1493</v>
      </c>
      <c r="AY9" s="27" t="s">
        <v>1493</v>
      </c>
      <c r="AZ9" s="84">
        <v>1</v>
      </c>
      <c r="BA9" s="1">
        <v>89909232.640000001</v>
      </c>
    </row>
    <row r="10" spans="1:53" s="1" customFormat="1" ht="147.75" thickBot="1">
      <c r="A10" s="15">
        <f t="shared" si="1"/>
        <v>7</v>
      </c>
      <c r="B10" s="88">
        <v>2025</v>
      </c>
      <c r="C10" s="14" t="s">
        <v>605</v>
      </c>
      <c r="D10" s="14" t="s">
        <v>1010</v>
      </c>
      <c r="E10" s="89" t="s">
        <v>1518</v>
      </c>
      <c r="F10" s="14" t="s">
        <v>577</v>
      </c>
      <c r="G10" s="14" t="s">
        <v>541</v>
      </c>
      <c r="H10" s="17" t="s">
        <v>1243</v>
      </c>
      <c r="I10" s="14" t="s">
        <v>600</v>
      </c>
      <c r="J10" s="14" t="s">
        <v>196</v>
      </c>
      <c r="K10" s="18">
        <v>74569991.879999995</v>
      </c>
      <c r="L10" s="18"/>
      <c r="M10" s="19"/>
      <c r="N10" s="19"/>
      <c r="O10" s="19"/>
      <c r="P10" s="18"/>
      <c r="Q10" s="20">
        <v>0</v>
      </c>
      <c r="R10" s="20"/>
      <c r="S10" s="20">
        <v>0</v>
      </c>
      <c r="T10" s="20"/>
      <c r="U10" s="21" t="s">
        <v>594</v>
      </c>
      <c r="V10" s="21" t="s">
        <v>1764</v>
      </c>
      <c r="W10" s="22"/>
      <c r="X10" s="22" t="s">
        <v>1419</v>
      </c>
      <c r="Y10" s="15" t="s">
        <v>1714</v>
      </c>
      <c r="Z10" s="23"/>
      <c r="AA10" s="24"/>
      <c r="AB10" s="17"/>
      <c r="AC10" s="17" t="s">
        <v>2047</v>
      </c>
      <c r="AD10" s="23"/>
      <c r="AE10" s="16"/>
      <c r="AF10" s="17" t="s">
        <v>1519</v>
      </c>
      <c r="AG10" s="17"/>
      <c r="AH10" s="17"/>
      <c r="AI10" s="17"/>
      <c r="AJ10" s="23"/>
      <c r="AK10" s="17"/>
      <c r="AL10" s="17"/>
      <c r="AM10" s="17"/>
      <c r="AN10" s="23"/>
      <c r="AO10" s="23"/>
      <c r="AP10" s="23"/>
      <c r="AQ10" s="23"/>
      <c r="AR10" s="25"/>
      <c r="AS10" s="25"/>
      <c r="AT10" s="16" t="s">
        <v>1614</v>
      </c>
      <c r="AU10" s="17"/>
      <c r="AV10" s="86"/>
      <c r="AW10" s="90" t="s">
        <v>1612</v>
      </c>
      <c r="AX10" s="42">
        <v>1</v>
      </c>
      <c r="AY10" s="42" t="s">
        <v>1493</v>
      </c>
      <c r="AZ10" s="96" t="s">
        <v>1493</v>
      </c>
      <c r="BA10" s="44">
        <v>0</v>
      </c>
    </row>
    <row r="11" spans="1:53" s="1" customFormat="1" ht="21.75" thickBot="1">
      <c r="A11" s="28">
        <f t="shared" si="1"/>
        <v>8</v>
      </c>
      <c r="B11" s="28"/>
      <c r="C11" s="27"/>
      <c r="D11" s="27"/>
      <c r="E11" s="29"/>
      <c r="F11" s="27"/>
      <c r="G11" s="27"/>
      <c r="H11" s="30"/>
      <c r="I11" s="27"/>
      <c r="J11" s="27"/>
      <c r="K11" s="31"/>
      <c r="L11" s="31"/>
      <c r="M11" s="32"/>
      <c r="N11" s="32"/>
      <c r="O11" s="32"/>
      <c r="P11" s="31"/>
      <c r="Q11" s="33"/>
      <c r="R11" s="33"/>
      <c r="S11" s="33"/>
      <c r="T11" s="33"/>
      <c r="U11" s="34"/>
      <c r="V11" s="35"/>
      <c r="W11" s="35"/>
      <c r="X11" s="28"/>
      <c r="Y11" s="36"/>
      <c r="Z11" s="37"/>
      <c r="AA11" s="30"/>
      <c r="AB11" s="30"/>
      <c r="AC11" s="36"/>
      <c r="AD11" s="29"/>
      <c r="AE11" s="30"/>
      <c r="AF11" s="30"/>
      <c r="AG11" s="30"/>
      <c r="AH11" s="30"/>
      <c r="AI11" s="36"/>
      <c r="AJ11" s="30"/>
      <c r="AK11" s="30"/>
      <c r="AL11" s="30"/>
      <c r="AM11" s="36"/>
      <c r="AN11" s="36"/>
      <c r="AO11" s="36"/>
      <c r="AP11" s="36"/>
      <c r="AQ11" s="38"/>
      <c r="AR11" s="38"/>
      <c r="AS11" s="29"/>
      <c r="AT11" s="39"/>
      <c r="AU11" s="27"/>
      <c r="AV11" s="37"/>
      <c r="AW11" s="27"/>
      <c r="AX11" s="27"/>
      <c r="AY11" s="27"/>
      <c r="AZ11" s="84"/>
    </row>
    <row r="12" spans="1:53" s="1" customFormat="1" ht="21.75" thickBot="1">
      <c r="A12" s="15">
        <f t="shared" si="1"/>
        <v>9</v>
      </c>
      <c r="B12" s="15"/>
      <c r="C12" s="14"/>
      <c r="D12" s="14"/>
      <c r="E12" s="16"/>
      <c r="F12" s="14"/>
      <c r="G12" s="14"/>
      <c r="H12" s="17"/>
      <c r="I12" s="14"/>
      <c r="J12" s="14"/>
      <c r="K12" s="18"/>
      <c r="L12" s="18"/>
      <c r="M12" s="19"/>
      <c r="N12" s="19"/>
      <c r="O12" s="19"/>
      <c r="P12" s="18"/>
      <c r="Q12" s="20"/>
      <c r="R12" s="20"/>
      <c r="S12" s="20"/>
      <c r="T12" s="20"/>
      <c r="U12" s="21"/>
      <c r="V12" s="22"/>
      <c r="W12" s="22"/>
      <c r="X12" s="15"/>
      <c r="Y12" s="23"/>
      <c r="Z12" s="24"/>
      <c r="AA12" s="17"/>
      <c r="AB12" s="17"/>
      <c r="AC12" s="23"/>
      <c r="AD12" s="16"/>
      <c r="AE12" s="17"/>
      <c r="AF12" s="17"/>
      <c r="AG12" s="17"/>
      <c r="AH12" s="17"/>
      <c r="AI12" s="23"/>
      <c r="AJ12" s="17"/>
      <c r="AK12" s="17"/>
      <c r="AL12" s="17"/>
      <c r="AM12" s="23"/>
      <c r="AN12" s="23"/>
      <c r="AO12" s="23"/>
      <c r="AP12" s="23"/>
      <c r="AQ12" s="25"/>
      <c r="AR12" s="25"/>
      <c r="AS12" s="16"/>
      <c r="AT12" s="26"/>
      <c r="AU12" s="14"/>
      <c r="AV12" s="24"/>
      <c r="AW12" s="14"/>
      <c r="AX12" s="14"/>
      <c r="AY12" s="14"/>
      <c r="AZ12" s="83"/>
    </row>
    <row r="13" spans="1:53" s="1" customFormat="1" ht="21.75" thickBot="1">
      <c r="A13" s="28">
        <f t="shared" si="1"/>
        <v>10</v>
      </c>
      <c r="B13" s="28"/>
      <c r="C13" s="27"/>
      <c r="D13" s="27"/>
      <c r="E13" s="29"/>
      <c r="F13" s="27"/>
      <c r="G13" s="27"/>
      <c r="H13" s="30"/>
      <c r="I13" s="27"/>
      <c r="J13" s="27"/>
      <c r="K13" s="31"/>
      <c r="L13" s="31"/>
      <c r="M13" s="32"/>
      <c r="N13" s="32"/>
      <c r="O13" s="32"/>
      <c r="P13" s="31"/>
      <c r="Q13" s="33"/>
      <c r="R13" s="33"/>
      <c r="S13" s="33"/>
      <c r="T13" s="33"/>
      <c r="U13" s="34"/>
      <c r="V13" s="35"/>
      <c r="W13" s="35"/>
      <c r="X13" s="28"/>
      <c r="Y13" s="36"/>
      <c r="Z13" s="37"/>
      <c r="AA13" s="30"/>
      <c r="AB13" s="30"/>
      <c r="AC13" s="36"/>
      <c r="AD13" s="29"/>
      <c r="AE13" s="30"/>
      <c r="AF13" s="30"/>
      <c r="AG13" s="30"/>
      <c r="AH13" s="30"/>
      <c r="AI13" s="36"/>
      <c r="AJ13" s="30"/>
      <c r="AK13" s="30"/>
      <c r="AL13" s="30"/>
      <c r="AM13" s="36"/>
      <c r="AN13" s="36"/>
      <c r="AO13" s="36"/>
      <c r="AP13" s="36"/>
      <c r="AQ13" s="38"/>
      <c r="AR13" s="38"/>
      <c r="AS13" s="29"/>
      <c r="AT13" s="39"/>
      <c r="AU13" s="27"/>
      <c r="AV13" s="37"/>
      <c r="AW13" s="27"/>
      <c r="AX13" s="27"/>
      <c r="AY13" s="27"/>
      <c r="AZ13" s="84"/>
    </row>
    <row r="14" spans="1:53" s="1" customFormat="1" ht="21.75" thickBot="1">
      <c r="A14" s="15">
        <f t="shared" si="1"/>
        <v>11</v>
      </c>
      <c r="B14" s="15"/>
      <c r="C14" s="14"/>
      <c r="D14" s="14"/>
      <c r="E14" s="16"/>
      <c r="F14" s="14"/>
      <c r="G14" s="14"/>
      <c r="H14" s="17"/>
      <c r="I14" s="14"/>
      <c r="J14" s="14"/>
      <c r="K14" s="18"/>
      <c r="L14" s="18"/>
      <c r="M14" s="19"/>
      <c r="N14" s="19"/>
      <c r="O14" s="19"/>
      <c r="P14" s="18"/>
      <c r="Q14" s="20"/>
      <c r="R14" s="20"/>
      <c r="S14" s="20"/>
      <c r="T14" s="20"/>
      <c r="U14" s="21"/>
      <c r="V14" s="22"/>
      <c r="W14" s="22"/>
      <c r="X14" s="15"/>
      <c r="Y14" s="23"/>
      <c r="Z14" s="24"/>
      <c r="AA14" s="17"/>
      <c r="AB14" s="17"/>
      <c r="AC14" s="23"/>
      <c r="AD14" s="16"/>
      <c r="AE14" s="17"/>
      <c r="AF14" s="17"/>
      <c r="AG14" s="17"/>
      <c r="AH14" s="17"/>
      <c r="AI14" s="23"/>
      <c r="AJ14" s="17"/>
      <c r="AK14" s="17"/>
      <c r="AL14" s="17"/>
      <c r="AM14" s="23"/>
      <c r="AN14" s="23"/>
      <c r="AO14" s="23"/>
      <c r="AP14" s="23"/>
      <c r="AQ14" s="25"/>
      <c r="AR14" s="25"/>
      <c r="AS14" s="16"/>
      <c r="AT14" s="26"/>
      <c r="AU14" s="14"/>
      <c r="AV14" s="24"/>
      <c r="AW14" s="14"/>
      <c r="AX14" s="14"/>
      <c r="AY14" s="14"/>
      <c r="AZ14" s="83"/>
    </row>
    <row r="15" spans="1:53" s="1" customFormat="1" ht="21.75" thickBot="1">
      <c r="A15" s="28">
        <f t="shared" si="1"/>
        <v>12</v>
      </c>
      <c r="B15" s="28"/>
      <c r="C15" s="27"/>
      <c r="D15" s="27"/>
      <c r="E15" s="29"/>
      <c r="F15" s="27"/>
      <c r="G15" s="27"/>
      <c r="H15" s="30"/>
      <c r="I15" s="27"/>
      <c r="J15" s="27"/>
      <c r="K15" s="31"/>
      <c r="L15" s="31"/>
      <c r="M15" s="32"/>
      <c r="N15" s="32"/>
      <c r="O15" s="32"/>
      <c r="P15" s="31"/>
      <c r="Q15" s="33"/>
      <c r="R15" s="33"/>
      <c r="S15" s="33"/>
      <c r="T15" s="33"/>
      <c r="U15" s="34"/>
      <c r="V15" s="35"/>
      <c r="W15" s="35"/>
      <c r="X15" s="28"/>
      <c r="Y15" s="36"/>
      <c r="Z15" s="37"/>
      <c r="AA15" s="30"/>
      <c r="AB15" s="30"/>
      <c r="AC15" s="36"/>
      <c r="AD15" s="29"/>
      <c r="AE15" s="30"/>
      <c r="AF15" s="30"/>
      <c r="AG15" s="30"/>
      <c r="AH15" s="30"/>
      <c r="AI15" s="36"/>
      <c r="AJ15" s="30"/>
      <c r="AK15" s="30"/>
      <c r="AL15" s="30"/>
      <c r="AM15" s="36"/>
      <c r="AN15" s="36"/>
      <c r="AO15" s="36"/>
      <c r="AP15" s="36"/>
      <c r="AQ15" s="38"/>
      <c r="AR15" s="38"/>
      <c r="AS15" s="29"/>
      <c r="AT15" s="39"/>
      <c r="AU15" s="27"/>
      <c r="AV15" s="37"/>
      <c r="AW15" s="27"/>
      <c r="AX15" s="27"/>
      <c r="AY15" s="27"/>
      <c r="AZ15" s="84"/>
    </row>
    <row r="16" spans="1:53" s="1" customFormat="1" ht="21.75" thickBot="1">
      <c r="A16" s="15">
        <f t="shared" si="1"/>
        <v>13</v>
      </c>
      <c r="B16" s="15"/>
      <c r="C16" s="14"/>
      <c r="D16" s="14"/>
      <c r="E16" s="16"/>
      <c r="F16" s="14"/>
      <c r="G16" s="14"/>
      <c r="H16" s="17"/>
      <c r="I16" s="14"/>
      <c r="J16" s="14"/>
      <c r="K16" s="18"/>
      <c r="L16" s="18"/>
      <c r="M16" s="19"/>
      <c r="N16" s="19"/>
      <c r="O16" s="19"/>
      <c r="P16" s="18"/>
      <c r="Q16" s="20"/>
      <c r="R16" s="20"/>
      <c r="S16" s="20"/>
      <c r="T16" s="20"/>
      <c r="U16" s="21"/>
      <c r="V16" s="22"/>
      <c r="W16" s="22"/>
      <c r="X16" s="15"/>
      <c r="Y16" s="23"/>
      <c r="Z16" s="24"/>
      <c r="AA16" s="17"/>
      <c r="AB16" s="17"/>
      <c r="AC16" s="23"/>
      <c r="AD16" s="16"/>
      <c r="AE16" s="17"/>
      <c r="AF16" s="17"/>
      <c r="AG16" s="17"/>
      <c r="AH16" s="17"/>
      <c r="AI16" s="23"/>
      <c r="AJ16" s="17"/>
      <c r="AK16" s="17"/>
      <c r="AL16" s="17"/>
      <c r="AM16" s="23"/>
      <c r="AN16" s="23"/>
      <c r="AO16" s="23"/>
      <c r="AP16" s="23"/>
      <c r="AQ16" s="25"/>
      <c r="AR16" s="25"/>
      <c r="AS16" s="16"/>
      <c r="AT16" s="26"/>
      <c r="AU16" s="14"/>
      <c r="AV16" s="24"/>
      <c r="AW16" s="14"/>
      <c r="AX16" s="14"/>
      <c r="AY16" s="14"/>
      <c r="AZ16" s="83"/>
    </row>
    <row r="17" spans="1:52" s="1" customFormat="1" ht="21.75" thickBot="1">
      <c r="A17" s="28">
        <f t="shared" si="1"/>
        <v>14</v>
      </c>
      <c r="B17" s="28"/>
      <c r="C17" s="27"/>
      <c r="D17" s="27"/>
      <c r="E17" s="29"/>
      <c r="F17" s="27"/>
      <c r="G17" s="27"/>
      <c r="H17" s="30"/>
      <c r="I17" s="27"/>
      <c r="J17" s="27"/>
      <c r="K17" s="31"/>
      <c r="L17" s="31"/>
      <c r="M17" s="32"/>
      <c r="N17" s="32"/>
      <c r="O17" s="32"/>
      <c r="P17" s="31"/>
      <c r="Q17" s="33"/>
      <c r="R17" s="33"/>
      <c r="S17" s="33"/>
      <c r="T17" s="33"/>
      <c r="U17" s="34"/>
      <c r="V17" s="35"/>
      <c r="W17" s="35"/>
      <c r="X17" s="28"/>
      <c r="Y17" s="36"/>
      <c r="Z17" s="37"/>
      <c r="AA17" s="30"/>
      <c r="AB17" s="30"/>
      <c r="AC17" s="36"/>
      <c r="AD17" s="29"/>
      <c r="AE17" s="30"/>
      <c r="AF17" s="30"/>
      <c r="AG17" s="30"/>
      <c r="AH17" s="30"/>
      <c r="AI17" s="36"/>
      <c r="AJ17" s="30"/>
      <c r="AK17" s="30"/>
      <c r="AL17" s="30"/>
      <c r="AM17" s="36"/>
      <c r="AN17" s="36"/>
      <c r="AO17" s="36"/>
      <c r="AP17" s="36"/>
      <c r="AQ17" s="38"/>
      <c r="AR17" s="38"/>
      <c r="AS17" s="29"/>
      <c r="AT17" s="39"/>
      <c r="AU17" s="27"/>
      <c r="AV17" s="37"/>
      <c r="AW17" s="27"/>
      <c r="AX17" s="27"/>
      <c r="AY17" s="27"/>
      <c r="AZ17" s="84"/>
    </row>
    <row r="18" spans="1:52" s="1" customFormat="1" ht="21.75" thickBot="1">
      <c r="A18" s="15">
        <f t="shared" si="1"/>
        <v>15</v>
      </c>
      <c r="B18" s="15"/>
      <c r="C18" s="14"/>
      <c r="D18" s="14"/>
      <c r="E18" s="16"/>
      <c r="F18" s="14"/>
      <c r="G18" s="14"/>
      <c r="H18" s="17"/>
      <c r="I18" s="14"/>
      <c r="J18" s="14"/>
      <c r="K18" s="18"/>
      <c r="L18" s="18"/>
      <c r="M18" s="19"/>
      <c r="N18" s="19"/>
      <c r="O18" s="19"/>
      <c r="P18" s="18"/>
      <c r="Q18" s="20"/>
      <c r="R18" s="20"/>
      <c r="S18" s="20"/>
      <c r="T18" s="20"/>
      <c r="U18" s="21"/>
      <c r="V18" s="22"/>
      <c r="W18" s="22"/>
      <c r="X18" s="15"/>
      <c r="Y18" s="23"/>
      <c r="Z18" s="24"/>
      <c r="AA18" s="17"/>
      <c r="AB18" s="17"/>
      <c r="AC18" s="23"/>
      <c r="AD18" s="16"/>
      <c r="AE18" s="17"/>
      <c r="AF18" s="17"/>
      <c r="AG18" s="17"/>
      <c r="AH18" s="17"/>
      <c r="AI18" s="23"/>
      <c r="AJ18" s="17"/>
      <c r="AK18" s="17"/>
      <c r="AL18" s="17"/>
      <c r="AM18" s="23"/>
      <c r="AN18" s="23"/>
      <c r="AO18" s="23"/>
      <c r="AP18" s="23"/>
      <c r="AQ18" s="25"/>
      <c r="AR18" s="25"/>
      <c r="AS18" s="16"/>
      <c r="AT18" s="26"/>
      <c r="AU18" s="14"/>
      <c r="AV18" s="24"/>
      <c r="AW18" s="14"/>
      <c r="AX18" s="14"/>
      <c r="AY18" s="14"/>
      <c r="AZ18" s="83"/>
    </row>
    <row r="19" spans="1:52" s="1" customFormat="1" ht="21.75" thickBot="1">
      <c r="A19" s="28">
        <f t="shared" si="1"/>
        <v>16</v>
      </c>
      <c r="B19" s="28"/>
      <c r="C19" s="27"/>
      <c r="D19" s="27"/>
      <c r="E19" s="29"/>
      <c r="F19" s="27"/>
      <c r="G19" s="27"/>
      <c r="H19" s="30"/>
      <c r="I19" s="27"/>
      <c r="J19" s="27"/>
      <c r="K19" s="31"/>
      <c r="L19" s="31"/>
      <c r="M19" s="32"/>
      <c r="N19" s="32"/>
      <c r="O19" s="32"/>
      <c r="P19" s="31"/>
      <c r="Q19" s="33"/>
      <c r="R19" s="33"/>
      <c r="S19" s="33"/>
      <c r="T19" s="33"/>
      <c r="U19" s="34"/>
      <c r="V19" s="35"/>
      <c r="W19" s="35"/>
      <c r="X19" s="28"/>
      <c r="Y19" s="36"/>
      <c r="Z19" s="37"/>
      <c r="AA19" s="30"/>
      <c r="AB19" s="30"/>
      <c r="AC19" s="36"/>
      <c r="AD19" s="29"/>
      <c r="AE19" s="30"/>
      <c r="AF19" s="30"/>
      <c r="AG19" s="30"/>
      <c r="AH19" s="30"/>
      <c r="AI19" s="36"/>
      <c r="AJ19" s="30"/>
      <c r="AK19" s="30"/>
      <c r="AL19" s="30"/>
      <c r="AM19" s="36"/>
      <c r="AN19" s="36"/>
      <c r="AO19" s="36"/>
      <c r="AP19" s="36"/>
      <c r="AQ19" s="38"/>
      <c r="AR19" s="38"/>
      <c r="AS19" s="29"/>
      <c r="AT19" s="39"/>
      <c r="AU19" s="27"/>
      <c r="AV19" s="37"/>
      <c r="AW19" s="27"/>
      <c r="AX19" s="27"/>
      <c r="AY19" s="27"/>
      <c r="AZ19" s="84"/>
    </row>
    <row r="20" spans="1:52" s="1" customFormat="1" ht="21.75" thickBot="1">
      <c r="A20" s="15">
        <f t="shared" si="1"/>
        <v>17</v>
      </c>
      <c r="B20" s="15"/>
      <c r="C20" s="14"/>
      <c r="D20" s="14"/>
      <c r="E20" s="16"/>
      <c r="F20" s="14"/>
      <c r="G20" s="14"/>
      <c r="H20" s="17"/>
      <c r="I20" s="14"/>
      <c r="J20" s="14"/>
      <c r="K20" s="18"/>
      <c r="L20" s="18"/>
      <c r="M20" s="19"/>
      <c r="N20" s="19"/>
      <c r="O20" s="19"/>
      <c r="P20" s="18"/>
      <c r="Q20" s="20"/>
      <c r="R20" s="20"/>
      <c r="S20" s="20"/>
      <c r="T20" s="20"/>
      <c r="U20" s="21"/>
      <c r="V20" s="22"/>
      <c r="W20" s="22"/>
      <c r="X20" s="15"/>
      <c r="Y20" s="23"/>
      <c r="Z20" s="24"/>
      <c r="AA20" s="17"/>
      <c r="AB20" s="17"/>
      <c r="AC20" s="23"/>
      <c r="AD20" s="16"/>
      <c r="AE20" s="17"/>
      <c r="AF20" s="17"/>
      <c r="AG20" s="17"/>
      <c r="AH20" s="17"/>
      <c r="AI20" s="23"/>
      <c r="AJ20" s="17"/>
      <c r="AK20" s="17"/>
      <c r="AL20" s="17"/>
      <c r="AM20" s="23"/>
      <c r="AN20" s="23"/>
      <c r="AO20" s="23"/>
      <c r="AP20" s="23"/>
      <c r="AQ20" s="25"/>
      <c r="AR20" s="25"/>
      <c r="AS20" s="16"/>
      <c r="AT20" s="26"/>
      <c r="AU20" s="14"/>
      <c r="AV20" s="24"/>
      <c r="AW20" s="14"/>
      <c r="AX20" s="14"/>
      <c r="AY20" s="14"/>
      <c r="AZ20" s="83"/>
    </row>
    <row r="21" spans="1:52" s="1" customFormat="1" ht="21.75" thickBot="1">
      <c r="A21" s="28">
        <f t="shared" si="1"/>
        <v>18</v>
      </c>
      <c r="B21" s="28"/>
      <c r="C21" s="27"/>
      <c r="D21" s="27"/>
      <c r="E21" s="29"/>
      <c r="F21" s="27"/>
      <c r="G21" s="27"/>
      <c r="H21" s="30"/>
      <c r="I21" s="27"/>
      <c r="J21" s="27"/>
      <c r="K21" s="31"/>
      <c r="L21" s="31"/>
      <c r="M21" s="32"/>
      <c r="N21" s="32"/>
      <c r="O21" s="32"/>
      <c r="P21" s="31"/>
      <c r="Q21" s="33"/>
      <c r="R21" s="33"/>
      <c r="S21" s="33"/>
      <c r="T21" s="33"/>
      <c r="U21" s="34"/>
      <c r="V21" s="35"/>
      <c r="W21" s="35"/>
      <c r="X21" s="28"/>
      <c r="Y21" s="36"/>
      <c r="Z21" s="37"/>
      <c r="AA21" s="30"/>
      <c r="AB21" s="30"/>
      <c r="AC21" s="36"/>
      <c r="AD21" s="29"/>
      <c r="AE21" s="30"/>
      <c r="AF21" s="30"/>
      <c r="AG21" s="30"/>
      <c r="AH21" s="30"/>
      <c r="AI21" s="36"/>
      <c r="AJ21" s="30"/>
      <c r="AK21" s="30"/>
      <c r="AL21" s="30"/>
      <c r="AM21" s="36"/>
      <c r="AN21" s="36"/>
      <c r="AO21" s="36"/>
      <c r="AP21" s="36"/>
      <c r="AQ21" s="38"/>
      <c r="AR21" s="38"/>
      <c r="AS21" s="29"/>
      <c r="AT21" s="39"/>
      <c r="AU21" s="27"/>
      <c r="AV21" s="37"/>
      <c r="AW21" s="27"/>
      <c r="AX21" s="27"/>
      <c r="AY21" s="27"/>
      <c r="AZ21" s="84"/>
    </row>
    <row r="22" spans="1:52" s="1" customFormat="1" ht="21.75" thickBot="1">
      <c r="A22" s="53">
        <f t="shared" si="1"/>
        <v>19</v>
      </c>
      <c r="B22" s="53"/>
      <c r="C22" s="46"/>
      <c r="D22" s="46"/>
      <c r="E22" s="56"/>
      <c r="F22" s="46"/>
      <c r="G22" s="46"/>
      <c r="H22" s="47"/>
      <c r="I22" s="46"/>
      <c r="J22" s="46"/>
      <c r="K22" s="48"/>
      <c r="L22" s="48"/>
      <c r="M22" s="49"/>
      <c r="N22" s="49"/>
      <c r="O22" s="49"/>
      <c r="P22" s="48"/>
      <c r="Q22" s="50"/>
      <c r="R22" s="50"/>
      <c r="S22" s="50"/>
      <c r="T22" s="50"/>
      <c r="U22" s="51"/>
      <c r="V22" s="52"/>
      <c r="W22" s="52"/>
      <c r="X22" s="53"/>
      <c r="Y22" s="54"/>
      <c r="Z22" s="55"/>
      <c r="AA22" s="47"/>
      <c r="AB22" s="47"/>
      <c r="AC22" s="54"/>
      <c r="AD22" s="56"/>
      <c r="AE22" s="47"/>
      <c r="AF22" s="47"/>
      <c r="AG22" s="47"/>
      <c r="AH22" s="47"/>
      <c r="AI22" s="54"/>
      <c r="AJ22" s="47"/>
      <c r="AK22" s="47"/>
      <c r="AL22" s="47"/>
      <c r="AM22" s="54"/>
      <c r="AN22" s="54"/>
      <c r="AO22" s="54"/>
      <c r="AP22" s="54"/>
      <c r="AQ22" s="57"/>
      <c r="AR22" s="57"/>
      <c r="AS22" s="56"/>
      <c r="AT22" s="58"/>
      <c r="AU22" s="46"/>
      <c r="AV22" s="55"/>
      <c r="AW22" s="80"/>
      <c r="AX22" s="80"/>
      <c r="AY22" s="81"/>
      <c r="AZ22" s="41"/>
    </row>
  </sheetData>
  <autoFilter ref="A3:AZ22"/>
  <customSheetViews>
    <customSheetView guid="{A10EBD83-7D03-4E3F-9980-D4843478A706}" scale="40" showAutoFilter="1" topLeftCell="A3">
      <selection activeCell="A4" sqref="A4"/>
      <pageMargins left="0.511811024" right="0.511811024" top="0.78740157499999996" bottom="0.78740157499999996" header="0.31496062000000002" footer="0.31496062000000002"/>
      <pageSetup paperSize="9" orientation="portrait" r:id="rId1"/>
      <autoFilter ref="A3:AZ22"/>
    </customSheetView>
    <customSheetView guid="{270E95A7-3B6C-4D9D-97B0-E7320BA4DFF7}" scale="40" showAutoFilter="1" topLeftCell="A3">
      <selection activeCell="A4" sqref="A4"/>
      <pageMargins left="0.511811024" right="0.511811024" top="0.78740157499999996" bottom="0.78740157499999996" header="0.31496062000000002" footer="0.31496062000000002"/>
      <pageSetup paperSize="9" orientation="portrait" r:id="rId2"/>
      <autoFilter ref="A3:AZ22"/>
    </customSheetView>
    <customSheetView guid="{C0A33525-2FAA-4399-909F-1A52282E6E9A}" scale="40" showAutoFilter="1" topLeftCell="A3">
      <selection activeCell="A4" sqref="A4"/>
      <pageMargins left="0.511811024" right="0.511811024" top="0.78740157499999996" bottom="0.78740157499999996" header="0.31496062000000002" footer="0.31496062000000002"/>
      <pageSetup paperSize="9" orientation="portrait" r:id="rId3"/>
      <autoFilter ref="A3:AZ22"/>
    </customSheetView>
    <customSheetView guid="{650C7FD6-1755-4668-8EF1-3B7C3B405ED0}" scale="40" showAutoFilter="1" topLeftCell="A3">
      <selection activeCell="A4" sqref="A4"/>
      <pageMargins left="0.511811024" right="0.511811024" top="0.78740157499999996" bottom="0.78740157499999996" header="0.31496062000000002" footer="0.31496062000000002"/>
      <pageSetup paperSize="9" orientation="portrait" r:id="rId4"/>
      <autoFilter ref="A3:AZ22"/>
    </customSheetView>
    <customSheetView guid="{ED1B5C85-9B80-490E-8588-6B2C7D651C3C}" scale="40" showAutoFilter="1" topLeftCell="A3">
      <selection activeCell="A4" sqref="A4"/>
      <pageMargins left="0.511811024" right="0.511811024" top="0.78740157499999996" bottom="0.78740157499999996" header="0.31496062000000002" footer="0.31496062000000002"/>
      <pageSetup paperSize="9" orientation="portrait" r:id="rId5"/>
      <autoFilter ref="A3:AZ22"/>
    </customSheetView>
    <customSheetView guid="{1F5D5C3B-584A-4E1D-921E-CC88F424DC57}" scale="40" showAutoFilter="1" topLeftCell="A3">
      <selection activeCell="A4" sqref="A4"/>
      <pageMargins left="0.511811024" right="0.511811024" top="0.78740157499999996" bottom="0.78740157499999996" header="0.31496062000000002" footer="0.31496062000000002"/>
      <pageSetup paperSize="9" orientation="portrait" r:id="rId6"/>
      <autoFilter ref="A3:AZ22"/>
    </customSheetView>
    <customSheetView guid="{535F29DD-DAB5-45F1-B721-096B9A19B9FA}" scale="40">
      <selection activeCell="A3" sqref="A3"/>
      <pageMargins left="0.511811024" right="0.511811024" top="0.78740157499999996" bottom="0.78740157499999996" header="0.31496062000000002" footer="0.31496062000000002"/>
    </customSheetView>
    <customSheetView guid="{ACBCA272-4BF0-464F-9826-B88631775C9A}" scale="40" showAutoFilter="1" topLeftCell="A3">
      <selection activeCell="A4" sqref="A4"/>
      <pageMargins left="0.511811024" right="0.511811024" top="0.78740157499999996" bottom="0.78740157499999996" header="0.31496062000000002" footer="0.31496062000000002"/>
      <pageSetup paperSize="9" orientation="portrait" r:id="rId7"/>
      <autoFilter ref="A3:AZ22"/>
    </customSheetView>
    <customSheetView guid="{76D6D523-3A20-4FC6-B305-B0C40BA9EF5B}" scale="40" showAutoFilter="1" topLeftCell="A3">
      <selection activeCell="A4" sqref="A4"/>
      <pageMargins left="0.511811024" right="0.511811024" top="0.78740157499999996" bottom="0.78740157499999996" header="0.31496062000000002" footer="0.31496062000000002"/>
      <pageSetup paperSize="9" orientation="portrait" r:id="rId8"/>
      <autoFilter ref="A3:AZ22"/>
    </customSheetView>
    <customSheetView guid="{9AE7F4FF-DFFA-490F-8AF2-4FB45EA2475B}" scale="40" showAutoFilter="1" topLeftCell="A3">
      <selection activeCell="A4" sqref="A4"/>
      <pageMargins left="0.511811024" right="0.511811024" top="0.78740157499999996" bottom="0.78740157499999996" header="0.31496062000000002" footer="0.31496062000000002"/>
      <pageSetup paperSize="9" orientation="portrait" r:id="rId9"/>
      <autoFilter ref="A3:AZ22"/>
    </customSheetView>
    <customSheetView guid="{13E94A3C-CB3A-4F58-A512-0396BF6DE7DC}" scale="40" showAutoFilter="1" topLeftCell="A3">
      <selection activeCell="A4" sqref="A4"/>
      <pageMargins left="0.511811024" right="0.511811024" top="0.78740157499999996" bottom="0.78740157499999996" header="0.31496062000000002" footer="0.31496062000000002"/>
      <pageSetup paperSize="9" orientation="portrait" r:id="rId10"/>
      <autoFilter ref="A3:AZ22"/>
    </customSheetView>
    <customSheetView guid="{083D9386-A209-4E4D-86CD-025B1176CEB5}" scale="40" showPageBreaks="1" showAutoFilter="1" topLeftCell="A3">
      <selection activeCell="A4" sqref="A4"/>
      <pageMargins left="0.511811024" right="0.511811024" top="0.78740157499999996" bottom="0.78740157499999996" header="0.31496062000000002" footer="0.31496062000000002"/>
      <pageSetup paperSize="9" orientation="portrait" r:id="rId11"/>
      <autoFilter ref="A3:AZ22"/>
    </customSheetView>
    <customSheetView guid="{46BB051B-272B-49C8-A4C3-B4237F6E1B7D}" scale="40" showAutoFilter="1" topLeftCell="A3">
      <selection activeCell="A4" sqref="A4"/>
      <pageMargins left="0.511811024" right="0.511811024" top="0.78740157499999996" bottom="0.78740157499999996" header="0.31496062000000002" footer="0.31496062000000002"/>
      <pageSetup paperSize="9" orientation="portrait" r:id="rId12"/>
      <autoFilter ref="A3:AZ22"/>
    </customSheetView>
    <customSheetView guid="{B13D886E-BAB8-4D14-822A-F08281218447}" scale="40" showAutoFilter="1" topLeftCell="A3">
      <selection activeCell="A4" sqref="A4"/>
      <pageMargins left="0.511811024" right="0.511811024" top="0.78740157499999996" bottom="0.78740157499999996" header="0.31496062000000002" footer="0.31496062000000002"/>
      <pageSetup paperSize="9" orientation="portrait" r:id="rId13"/>
      <autoFilter ref="A3:AZ22"/>
    </customSheetView>
    <customSheetView guid="{129416D2-3637-48C1-A749-90B02AD0693E}" scale="40" showAutoFilter="1" topLeftCell="A3">
      <selection activeCell="A4" sqref="A4"/>
      <pageMargins left="0.511811024" right="0.511811024" top="0.78740157499999996" bottom="0.78740157499999996" header="0.31496062000000002" footer="0.31496062000000002"/>
      <pageSetup paperSize="9" orientation="portrait" r:id="rId14"/>
      <autoFilter ref="A3:AZ22"/>
    </customSheetView>
    <customSheetView guid="{0FB74A6A-4A44-4BA5-9EB0-B86297CD9790}" scale="40" showAutoFilter="1" topLeftCell="A3">
      <selection activeCell="A4" sqref="A4"/>
      <pageMargins left="0.511811024" right="0.511811024" top="0.78740157499999996" bottom="0.78740157499999996" header="0.31496062000000002" footer="0.31496062000000002"/>
      <pageSetup paperSize="9" orientation="portrait" r:id="rId15"/>
      <autoFilter ref="A3:AZ22"/>
    </customSheetView>
    <customSheetView guid="{E3BD65C7-28AF-4588-B550-0F7E84154BAA}" scale="40" showAutoFilter="1" topLeftCell="A3">
      <selection activeCell="A4" sqref="A4"/>
      <pageMargins left="0.511811024" right="0.511811024" top="0.78740157499999996" bottom="0.78740157499999996" header="0.31496062000000002" footer="0.31496062000000002"/>
      <pageSetup paperSize="9" orientation="portrait" r:id="rId16"/>
      <autoFilter ref="A3:AZ22"/>
    </customSheetView>
  </customSheetViews>
  <dataValidations count="11">
    <dataValidation type="decimal" allowBlank="1" showInputMessage="1" showErrorMessage="1" sqref="Q5:R5 Q8:R22 K6:S7">
      <formula1>0</formula1>
      <formula2>1000000000000</formula2>
    </dataValidation>
    <dataValidation type="date" allowBlank="1" showInputMessage="1" showErrorMessage="1" sqref="AL22:AP22 X22 Y5:Y21 AM5:AQ21">
      <formula1>1</formula1>
      <formula2>55153</formula2>
    </dataValidation>
    <dataValidation type="date" allowBlank="1" showInputMessage="1" showErrorMessage="1" sqref="AQ22 AR5:AR21">
      <formula1>36526</formula1>
      <formula2>55153</formula2>
    </dataValidation>
    <dataValidation type="date" operator="greaterThan" allowBlank="1" showInputMessage="1" showErrorMessage="1" sqref="AH22 AI5:AI21">
      <formula1>43831</formula1>
    </dataValidation>
    <dataValidation type="whole" allowBlank="1" showInputMessage="1" showErrorMessage="1" sqref="B5:B22">
      <formula1>2010</formula1>
      <formula2>2030</formula2>
    </dataValidation>
    <dataValidation type="list" allowBlank="1" showInputMessage="1" showErrorMessage="1" sqref="AL6:AL7">
      <formula1>$P$4:$P$6</formula1>
    </dataValidation>
    <dataValidation type="decimal" allowBlank="1" showInputMessage="1" showErrorMessage="1" sqref="Z6:Z7">
      <formula1>0</formula1>
      <formula2>100</formula2>
    </dataValidation>
    <dataValidation type="whole" allowBlank="1" showInputMessage="1" showErrorMessage="1" sqref="V6:V7">
      <formula1>0</formula1>
      <formula2>800</formula2>
    </dataValidation>
    <dataValidation type="list" allowBlank="1" showInputMessage="1" showErrorMessage="1" sqref="U5:U21">
      <formula1>$AI$3:$AI$19</formula1>
    </dataValidation>
    <dataValidation type="list" allowBlank="1" showInputMessage="1" showErrorMessage="1" sqref="AA5:AA21">
      <formula1>$AG$3:$AG$46</formula1>
    </dataValidation>
    <dataValidation type="list" allowBlank="1" showInputMessage="1" showErrorMessage="1" sqref="X5:X21">
      <formula1>$L$3:$L$23</formula1>
    </dataValidation>
  </dataValidations>
  <pageMargins left="0.511811024" right="0.511811024" top="0.78740157499999996" bottom="0.78740157499999996" header="0.31496062000000002" footer="0.31496062000000002"/>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14:formula1>
            <xm:f>Domínios!$B$3:$B$4</xm:f>
          </x14:formula1>
          <xm:sqref>C5 C8:C22</xm:sqref>
        </x14:dataValidation>
        <x14:dataValidation type="list" allowBlank="1" showInputMessage="1" showErrorMessage="1">
          <x14:formula1>
            <xm:f>Domínios!$Y$3:$Y$9</xm:f>
          </x14:formula1>
          <xm:sqref>AF22 AG5:AG21</xm:sqref>
        </x14:dataValidation>
        <x14:dataValidation type="list" allowBlank="1" showInputMessage="1" showErrorMessage="1">
          <x14:formula1>
            <xm:f>Domínios!$AC$3:$AC$15</xm:f>
          </x14:formula1>
          <xm:sqref>H5:H22</xm:sqref>
        </x14:dataValidation>
        <x14:dataValidation type="list" allowBlank="1" showInputMessage="1" showErrorMessage="1">
          <x14:formula1>
            <xm:f>Domínios!$AA$3:$AA$6</xm:f>
          </x14:formula1>
          <xm:sqref>D5:D22</xm:sqref>
        </x14:dataValidation>
        <x14:dataValidation type="list" allowBlank="1" showInputMessage="1" showErrorMessage="1">
          <x14:formula1>
            <xm:f>Domínios!$B$3:$B$5</xm:f>
          </x14:formula1>
          <xm:sqref>C6:C7</xm:sqref>
        </x14:dataValidation>
        <x14:dataValidation type="list" allowBlank="1" showInputMessage="1" showErrorMessage="1">
          <x14:formula1>
            <xm:f>Domínios!$AE$3:$AE$7</xm:f>
          </x14:formula1>
          <xm:sqref>V22 W5:W21</xm:sqref>
        </x14:dataValidation>
        <x14:dataValidation type="list" allowBlank="1" showInputMessage="1" showErrorMessage="1">
          <x14:formula1>
            <xm:f>Domínios!$L$3:$L$23</xm:f>
          </x14:formula1>
          <xm:sqref>W22</xm:sqref>
        </x14:dataValidation>
        <x14:dataValidation type="list" allowBlank="1" showInputMessage="1" showErrorMessage="1">
          <x14:formula1>
            <xm:f>Domínios!$D$3:$D$21</xm:f>
          </x14:formula1>
          <xm:sqref>F5:F22</xm:sqref>
        </x14:dataValidation>
        <x14:dataValidation type="list" allowBlank="1" showInputMessage="1" showErrorMessage="1">
          <x14:formula1>
            <xm:f>Domínios!$J$3:$J$35</xm:f>
          </x14:formula1>
          <xm:sqref>G5:G22</xm:sqref>
        </x14:dataValidation>
        <x14:dataValidation type="list" allowBlank="1" showInputMessage="1" showErrorMessage="1">
          <x14:formula1>
            <xm:f>Domínios!$P$3:$P$21</xm:f>
          </x14:formula1>
          <xm:sqref>I5:I22</xm:sqref>
        </x14:dataValidation>
        <x14:dataValidation type="list" allowBlank="1" showInputMessage="1" showErrorMessage="1">
          <x14:formula1>
            <xm:f>Domínios!$S$3:$S$420</xm:f>
          </x14:formula1>
          <xm:sqref>J5:J22</xm:sqref>
        </x14:dataValidation>
        <x14:dataValidation type="list" allowBlank="1" showInputMessage="1" showErrorMessage="1">
          <x14:formula1>
            <xm:f>Domínios!$AG$3:$AG$46</xm:f>
          </x14:formula1>
          <xm:sqref>Z22</xm:sqref>
        </x14:dataValidation>
        <x14:dataValidation type="list" allowBlank="1" showInputMessage="1" showErrorMessage="1">
          <x14:formula1>
            <xm:f>Domínios!$AI$3:$AI$18</xm:f>
          </x14:formula1>
          <xm:sqref>T22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
  <dimension ref="B2:AM421"/>
  <sheetViews>
    <sheetView topLeftCell="Z4" zoomScale="70" zoomScaleNormal="55" workbookViewId="0">
      <selection activeCell="AG27" sqref="AG27"/>
    </sheetView>
  </sheetViews>
  <sheetFormatPr defaultColWidth="9.125" defaultRowHeight="21"/>
  <cols>
    <col min="1" max="1" width="3.125" style="1" customWidth="1"/>
    <col min="2" max="2" width="27.125" style="1" bestFit="1" customWidth="1"/>
    <col min="3" max="3" width="3.125" style="1" customWidth="1"/>
    <col min="4" max="4" width="40.375" style="1" bestFit="1" customWidth="1"/>
    <col min="5" max="5" width="3.125" style="1" customWidth="1"/>
    <col min="6" max="6" width="23.875" style="1" bestFit="1" customWidth="1"/>
    <col min="7" max="7" width="3.125" style="1" customWidth="1"/>
    <col min="8" max="8" width="31.625" style="1" bestFit="1" customWidth="1"/>
    <col min="9" max="9" width="3" style="1" customWidth="1"/>
    <col min="10" max="10" width="31.625" style="1" bestFit="1" customWidth="1"/>
    <col min="11" max="11" width="3.875" style="1" customWidth="1"/>
    <col min="12" max="12" width="45.375" style="1" bestFit="1" customWidth="1"/>
    <col min="13" max="13" width="2.375" style="1" customWidth="1"/>
    <col min="14" max="14" width="41.375" style="1" bestFit="1" customWidth="1"/>
    <col min="15" max="15" width="3.375" style="1" customWidth="1"/>
    <col min="16" max="16" width="35.375" style="1" bestFit="1" customWidth="1"/>
    <col min="17" max="17" width="2.625" style="1" customWidth="1"/>
    <col min="18" max="18" width="11.375" style="1" bestFit="1" customWidth="1"/>
    <col min="19" max="19" width="34.625" style="1" bestFit="1" customWidth="1"/>
    <col min="20" max="20" width="2.125" style="1" customWidth="1"/>
    <col min="21" max="21" width="35" style="1" bestFit="1" customWidth="1"/>
    <col min="22" max="22" width="3.625" style="1" customWidth="1"/>
    <col min="23" max="23" width="30.125" style="1" customWidth="1"/>
    <col min="24" max="24" width="9.125" style="1"/>
    <col min="25" max="25" width="30.125" style="1" customWidth="1"/>
    <col min="26" max="26" width="9.125" style="1"/>
    <col min="27" max="27" width="24.375" style="1" customWidth="1"/>
    <col min="28" max="28" width="9.125" style="1"/>
    <col min="29" max="29" width="23.125" style="1" customWidth="1"/>
    <col min="30" max="30" width="9.125" style="1"/>
    <col min="31" max="31" width="35.125" style="1" bestFit="1" customWidth="1"/>
    <col min="32" max="32" width="6.375" style="1" customWidth="1"/>
    <col min="33" max="33" width="115" style="1" bestFit="1" customWidth="1"/>
    <col min="34" max="34" width="4.375" style="1" customWidth="1"/>
    <col min="35" max="35" width="71" style="1" customWidth="1"/>
    <col min="36" max="36" width="9.125" style="1"/>
    <col min="37" max="37" width="25.875" style="1" customWidth="1"/>
    <col min="38" max="16384" width="9.125" style="1"/>
  </cols>
  <sheetData>
    <row r="2" spans="2:39" ht="52.5" customHeight="1">
      <c r="B2" s="3" t="s">
        <v>4</v>
      </c>
      <c r="C2" s="4"/>
      <c r="D2" s="3" t="s">
        <v>40</v>
      </c>
      <c r="E2" s="4"/>
      <c r="F2" s="3" t="s">
        <v>444</v>
      </c>
      <c r="G2" s="4"/>
      <c r="H2" s="3" t="s">
        <v>5</v>
      </c>
      <c r="I2" s="4"/>
      <c r="J2" s="3" t="s">
        <v>567</v>
      </c>
      <c r="K2" s="4"/>
      <c r="L2" s="3" t="s">
        <v>3</v>
      </c>
      <c r="N2" s="3" t="s">
        <v>714</v>
      </c>
      <c r="O2" s="4"/>
      <c r="P2" s="3" t="s">
        <v>6</v>
      </c>
      <c r="Q2" s="4"/>
      <c r="R2" s="3" t="s">
        <v>7</v>
      </c>
      <c r="S2" s="3" t="s">
        <v>8</v>
      </c>
      <c r="U2" s="3" t="s">
        <v>698</v>
      </c>
      <c r="W2" s="3" t="s">
        <v>699</v>
      </c>
      <c r="Y2" s="3" t="s">
        <v>961</v>
      </c>
      <c r="AA2" s="3" t="s">
        <v>1020</v>
      </c>
      <c r="AC2" s="3" t="s">
        <v>1250</v>
      </c>
      <c r="AE2" s="3" t="s">
        <v>1308</v>
      </c>
      <c r="AG2" s="3" t="s">
        <v>1461</v>
      </c>
      <c r="AI2" s="3" t="s">
        <v>1</v>
      </c>
      <c r="AK2" s="3" t="s">
        <v>1763</v>
      </c>
    </row>
    <row r="3" spans="2:39">
      <c r="B3" s="5" t="s">
        <v>610</v>
      </c>
      <c r="D3" s="5" t="s">
        <v>576</v>
      </c>
      <c r="F3" s="5" t="s">
        <v>11</v>
      </c>
      <c r="H3" s="6" t="s">
        <v>9</v>
      </c>
      <c r="J3" s="7" t="s">
        <v>1956</v>
      </c>
      <c r="L3" s="5" t="s">
        <v>2469</v>
      </c>
      <c r="N3" s="5" t="s">
        <v>716</v>
      </c>
      <c r="P3" s="6" t="s">
        <v>606</v>
      </c>
      <c r="R3" s="1">
        <v>2900108</v>
      </c>
      <c r="S3" s="1" t="s">
        <v>10</v>
      </c>
      <c r="U3" s="6" t="s">
        <v>696</v>
      </c>
      <c r="W3" s="6" t="s">
        <v>696</v>
      </c>
      <c r="Y3" s="6" t="s">
        <v>977</v>
      </c>
      <c r="AA3" s="6" t="s">
        <v>1011</v>
      </c>
      <c r="AC3" s="6" t="s">
        <v>1242</v>
      </c>
      <c r="AE3" s="6" t="s">
        <v>1419</v>
      </c>
      <c r="AG3" s="6" t="s">
        <v>1464</v>
      </c>
      <c r="AI3" s="5" t="s">
        <v>574</v>
      </c>
      <c r="AK3" s="5" t="s">
        <v>1805</v>
      </c>
    </row>
    <row r="4" spans="2:39">
      <c r="B4" s="5" t="s">
        <v>605</v>
      </c>
      <c r="D4" s="5" t="s">
        <v>577</v>
      </c>
      <c r="F4" s="5" t="s">
        <v>447</v>
      </c>
      <c r="H4" s="6" t="s">
        <v>11</v>
      </c>
      <c r="J4" s="8" t="s">
        <v>1022</v>
      </c>
      <c r="L4" s="5" t="s">
        <v>2470</v>
      </c>
      <c r="N4" s="5" t="s">
        <v>715</v>
      </c>
      <c r="P4" s="6" t="s">
        <v>597</v>
      </c>
      <c r="R4" s="1">
        <v>2900207</v>
      </c>
      <c r="S4" s="1" t="s">
        <v>13</v>
      </c>
      <c r="U4" s="6" t="s">
        <v>697</v>
      </c>
      <c r="W4" s="6" t="s">
        <v>697</v>
      </c>
      <c r="Y4" s="6" t="s">
        <v>978</v>
      </c>
      <c r="AA4" s="6" t="s">
        <v>1010</v>
      </c>
      <c r="AC4" s="6" t="s">
        <v>1243</v>
      </c>
      <c r="AE4" s="6" t="s">
        <v>1418</v>
      </c>
      <c r="AG4" s="6" t="s">
        <v>1452</v>
      </c>
      <c r="AI4" s="5" t="s">
        <v>573</v>
      </c>
      <c r="AK4" s="5" t="s">
        <v>1776</v>
      </c>
      <c r="AM4" s="5" t="s">
        <v>1768</v>
      </c>
    </row>
    <row r="5" spans="2:39">
      <c r="B5" s="5" t="s">
        <v>1495</v>
      </c>
      <c r="D5" s="5" t="s">
        <v>42</v>
      </c>
      <c r="F5" s="5" t="s">
        <v>445</v>
      </c>
      <c r="H5" s="6" t="s">
        <v>15</v>
      </c>
      <c r="J5" s="8" t="s">
        <v>641</v>
      </c>
      <c r="L5" s="5" t="s">
        <v>2471</v>
      </c>
      <c r="P5" s="6" t="s">
        <v>598</v>
      </c>
      <c r="R5" s="1">
        <v>2900306</v>
      </c>
      <c r="S5" s="1" t="s">
        <v>16</v>
      </c>
      <c r="U5" s="2"/>
      <c r="Y5" s="6" t="s">
        <v>1974</v>
      </c>
      <c r="AA5" s="6"/>
      <c r="AC5" s="6" t="s">
        <v>1244</v>
      </c>
      <c r="AE5" s="6" t="s">
        <v>1694</v>
      </c>
      <c r="AG5" s="6" t="s">
        <v>1454</v>
      </c>
      <c r="AI5" s="5" t="s">
        <v>1567</v>
      </c>
      <c r="AK5" s="5" t="s">
        <v>1777</v>
      </c>
      <c r="AM5" s="5" t="s">
        <v>1769</v>
      </c>
    </row>
    <row r="6" spans="2:39">
      <c r="D6" s="5" t="s">
        <v>568</v>
      </c>
      <c r="F6" s="5" t="s">
        <v>446</v>
      </c>
      <c r="H6" s="5" t="s">
        <v>17</v>
      </c>
      <c r="J6" s="9" t="s">
        <v>1021</v>
      </c>
      <c r="L6" s="5" t="s">
        <v>2472</v>
      </c>
      <c r="P6" s="6" t="s">
        <v>599</v>
      </c>
      <c r="R6" s="1">
        <v>2900355</v>
      </c>
      <c r="S6" s="1" t="s">
        <v>18</v>
      </c>
      <c r="U6" s="2"/>
      <c r="Y6" s="6" t="s">
        <v>984</v>
      </c>
      <c r="AA6" s="6"/>
      <c r="AC6" s="6" t="s">
        <v>1245</v>
      </c>
      <c r="AE6" s="6" t="s">
        <v>1490</v>
      </c>
      <c r="AG6" s="6" t="s">
        <v>1455</v>
      </c>
      <c r="AI6" s="5" t="s">
        <v>1566</v>
      </c>
      <c r="AK6" s="5" t="s">
        <v>1764</v>
      </c>
      <c r="AM6" s="5" t="s">
        <v>1766</v>
      </c>
    </row>
    <row r="7" spans="2:39">
      <c r="D7" s="5" t="s">
        <v>47</v>
      </c>
      <c r="F7" s="5" t="s">
        <v>448</v>
      </c>
      <c r="H7" s="6" t="s">
        <v>14</v>
      </c>
      <c r="J7" s="9" t="s">
        <v>507</v>
      </c>
      <c r="L7" s="5" t="s">
        <v>2473</v>
      </c>
      <c r="P7" s="5" t="s">
        <v>600</v>
      </c>
      <c r="R7" s="1">
        <v>2900405</v>
      </c>
      <c r="S7" s="1" t="s">
        <v>19</v>
      </c>
      <c r="AC7" s="6" t="s">
        <v>1246</v>
      </c>
      <c r="AE7" s="6"/>
      <c r="AG7" s="6" t="s">
        <v>1489</v>
      </c>
      <c r="AI7" s="5" t="s">
        <v>594</v>
      </c>
      <c r="AK7" s="5" t="s">
        <v>1778</v>
      </c>
      <c r="AM7" s="5" t="s">
        <v>1767</v>
      </c>
    </row>
    <row r="8" spans="2:39">
      <c r="D8" s="5" t="s">
        <v>49</v>
      </c>
      <c r="H8" s="5" t="s">
        <v>20</v>
      </c>
      <c r="J8" s="9" t="s">
        <v>504</v>
      </c>
      <c r="L8" s="5" t="s">
        <v>2474</v>
      </c>
      <c r="P8" s="5" t="s">
        <v>601</v>
      </c>
      <c r="R8" s="1">
        <v>2900603</v>
      </c>
      <c r="S8" s="1" t="s">
        <v>21</v>
      </c>
      <c r="AC8" s="6" t="s">
        <v>1247</v>
      </c>
      <c r="AG8" s="10" t="s">
        <v>1485</v>
      </c>
      <c r="AI8" s="5" t="s">
        <v>1562</v>
      </c>
      <c r="AK8" s="5" t="s">
        <v>1779</v>
      </c>
      <c r="AM8" s="5" t="s">
        <v>1775</v>
      </c>
    </row>
    <row r="9" spans="2:39">
      <c r="D9" s="5" t="s">
        <v>578</v>
      </c>
      <c r="H9" s="5" t="s">
        <v>22</v>
      </c>
      <c r="J9" s="9" t="s">
        <v>12</v>
      </c>
      <c r="L9" s="5" t="s">
        <v>2475</v>
      </c>
      <c r="P9" s="5" t="s">
        <v>602</v>
      </c>
      <c r="R9" s="1">
        <v>2900702</v>
      </c>
      <c r="S9" s="1" t="s">
        <v>23</v>
      </c>
      <c r="AC9" s="6" t="s">
        <v>1248</v>
      </c>
      <c r="AG9" s="6" t="s">
        <v>1482</v>
      </c>
      <c r="AI9" s="5" t="s">
        <v>1564</v>
      </c>
      <c r="AK9" s="5" t="s">
        <v>1765</v>
      </c>
      <c r="AM9" s="5" t="s">
        <v>1771</v>
      </c>
    </row>
    <row r="10" spans="2:39">
      <c r="D10" s="5" t="s">
        <v>51</v>
      </c>
      <c r="H10" s="6" t="s">
        <v>24</v>
      </c>
      <c r="J10" s="9" t="s">
        <v>612</v>
      </c>
      <c r="L10" s="5" t="s">
        <v>2476</v>
      </c>
      <c r="P10" s="6" t="s">
        <v>717</v>
      </c>
      <c r="R10" s="1">
        <v>2900801</v>
      </c>
      <c r="S10" s="1" t="s">
        <v>25</v>
      </c>
      <c r="U10" s="2"/>
      <c r="AC10" s="6" t="s">
        <v>1249</v>
      </c>
      <c r="AG10" s="6" t="s">
        <v>1459</v>
      </c>
      <c r="AI10" s="5" t="s">
        <v>1563</v>
      </c>
      <c r="AK10" s="5" t="s">
        <v>1780</v>
      </c>
      <c r="AM10" s="5" t="s">
        <v>1773</v>
      </c>
    </row>
    <row r="11" spans="2:39">
      <c r="D11" s="5" t="s">
        <v>53</v>
      </c>
      <c r="H11" s="193"/>
      <c r="J11" s="9" t="s">
        <v>503</v>
      </c>
      <c r="L11" s="5" t="s">
        <v>2477</v>
      </c>
      <c r="P11" s="6" t="s">
        <v>603</v>
      </c>
      <c r="R11" s="1">
        <v>2900900</v>
      </c>
      <c r="S11" s="1" t="s">
        <v>26</v>
      </c>
      <c r="U11" s="2"/>
      <c r="AC11" s="6" t="s">
        <v>2758</v>
      </c>
      <c r="AG11" s="6" t="s">
        <v>1469</v>
      </c>
      <c r="AI11" s="5" t="s">
        <v>1839</v>
      </c>
      <c r="AK11" s="5" t="s">
        <v>1781</v>
      </c>
      <c r="AM11" s="5" t="s">
        <v>1770</v>
      </c>
    </row>
    <row r="12" spans="2:39">
      <c r="D12" s="5" t="s">
        <v>611</v>
      </c>
      <c r="J12" s="9" t="s">
        <v>613</v>
      </c>
      <c r="L12" s="5" t="s">
        <v>2478</v>
      </c>
      <c r="P12" s="6" t="s">
        <v>467</v>
      </c>
      <c r="R12" s="1">
        <v>2901007</v>
      </c>
      <c r="S12" s="1" t="s">
        <v>27</v>
      </c>
      <c r="U12" s="2"/>
      <c r="AC12" s="6" t="s">
        <v>1307</v>
      </c>
      <c r="AG12" s="6" t="s">
        <v>1470</v>
      </c>
      <c r="AI12" s="5" t="s">
        <v>1568</v>
      </c>
      <c r="AK12" s="5" t="s">
        <v>1782</v>
      </c>
      <c r="AM12" s="5" t="s">
        <v>1772</v>
      </c>
    </row>
    <row r="13" spans="2:39">
      <c r="D13" s="5" t="s">
        <v>56</v>
      </c>
      <c r="J13" s="5" t="s">
        <v>614</v>
      </c>
      <c r="L13" s="5" t="s">
        <v>2479</v>
      </c>
      <c r="P13" s="6" t="s">
        <v>468</v>
      </c>
      <c r="R13" s="1">
        <v>2901106</v>
      </c>
      <c r="S13" s="1" t="s">
        <v>28</v>
      </c>
      <c r="U13" s="2"/>
      <c r="AC13" s="93"/>
      <c r="AG13" s="6" t="s">
        <v>1468</v>
      </c>
      <c r="AI13" s="5" t="s">
        <v>1569</v>
      </c>
      <c r="AK13" s="5" t="s">
        <v>1783</v>
      </c>
      <c r="AM13" s="5" t="s">
        <v>1774</v>
      </c>
    </row>
    <row r="14" spans="2:39">
      <c r="D14" s="5" t="s">
        <v>450</v>
      </c>
      <c r="J14" s="5" t="s">
        <v>1023</v>
      </c>
      <c r="L14" s="5" t="s">
        <v>2480</v>
      </c>
      <c r="P14" s="6" t="s">
        <v>593</v>
      </c>
      <c r="R14" s="1">
        <v>2901155</v>
      </c>
      <c r="S14" s="1" t="s">
        <v>29</v>
      </c>
      <c r="U14" s="2"/>
      <c r="AG14" s="6" t="s">
        <v>1471</v>
      </c>
      <c r="AI14" s="5" t="s">
        <v>1565</v>
      </c>
      <c r="AK14" s="5" t="s">
        <v>1852</v>
      </c>
      <c r="AM14" s="5" t="s">
        <v>1853</v>
      </c>
    </row>
    <row r="15" spans="2:39">
      <c r="J15" s="5" t="s">
        <v>665</v>
      </c>
      <c r="L15" s="5" t="s">
        <v>2481</v>
      </c>
      <c r="P15" s="6" t="s">
        <v>1237</v>
      </c>
      <c r="R15" s="1">
        <v>2901205</v>
      </c>
      <c r="S15" s="1" t="s">
        <v>30</v>
      </c>
      <c r="U15" s="2"/>
      <c r="AG15" s="6" t="s">
        <v>1453</v>
      </c>
      <c r="AI15" s="5"/>
    </row>
    <row r="16" spans="2:39">
      <c r="J16" s="5" t="s">
        <v>959</v>
      </c>
      <c r="L16" s="5" t="s">
        <v>2483</v>
      </c>
      <c r="P16" s="6" t="s">
        <v>1238</v>
      </c>
      <c r="R16" s="1">
        <v>2901304</v>
      </c>
      <c r="S16" s="1" t="s">
        <v>31</v>
      </c>
      <c r="U16" s="2"/>
      <c r="AG16" s="6" t="s">
        <v>1457</v>
      </c>
      <c r="AI16" s="5"/>
    </row>
    <row r="17" spans="10:35">
      <c r="J17" s="5" t="s">
        <v>960</v>
      </c>
      <c r="L17" s="5" t="s">
        <v>2484</v>
      </c>
      <c r="P17" s="6" t="s">
        <v>1239</v>
      </c>
      <c r="R17" s="1">
        <v>2901353</v>
      </c>
      <c r="S17" s="1" t="s">
        <v>32</v>
      </c>
      <c r="U17" s="2"/>
      <c r="AG17" s="6" t="s">
        <v>1467</v>
      </c>
      <c r="AI17" s="5"/>
    </row>
    <row r="18" spans="10:35">
      <c r="J18" s="5" t="s">
        <v>695</v>
      </c>
      <c r="L18" s="5" t="s">
        <v>2485</v>
      </c>
      <c r="P18" s="6" t="s">
        <v>1240</v>
      </c>
      <c r="R18" s="1">
        <v>2901403</v>
      </c>
      <c r="S18" s="1" t="s">
        <v>33</v>
      </c>
      <c r="U18" s="2"/>
      <c r="AG18" s="6" t="s">
        <v>1456</v>
      </c>
      <c r="AI18" s="5"/>
    </row>
    <row r="19" spans="10:35">
      <c r="J19" s="5" t="s">
        <v>506</v>
      </c>
      <c r="L19" s="5" t="s">
        <v>2486</v>
      </c>
      <c r="P19" s="92"/>
      <c r="R19" s="1">
        <v>2901502</v>
      </c>
      <c r="S19" s="1" t="s">
        <v>34</v>
      </c>
      <c r="U19" s="2"/>
      <c r="AG19" s="6" t="s">
        <v>1472</v>
      </c>
    </row>
    <row r="20" spans="10:35">
      <c r="J20" s="5" t="s">
        <v>694</v>
      </c>
      <c r="L20" s="5" t="s">
        <v>2482</v>
      </c>
      <c r="R20" s="1">
        <v>2901601</v>
      </c>
      <c r="S20" s="1" t="s">
        <v>35</v>
      </c>
      <c r="U20" s="2"/>
      <c r="AG20" s="6" t="s">
        <v>1451</v>
      </c>
    </row>
    <row r="21" spans="10:35">
      <c r="J21" s="5" t="s">
        <v>1808</v>
      </c>
      <c r="R21" s="1">
        <v>2901700</v>
      </c>
      <c r="S21" s="1" t="s">
        <v>36</v>
      </c>
      <c r="AG21" s="6" t="s">
        <v>1473</v>
      </c>
    </row>
    <row r="22" spans="10:35">
      <c r="J22" s="5" t="s">
        <v>513</v>
      </c>
      <c r="R22" s="1">
        <v>2901809</v>
      </c>
      <c r="S22" s="1" t="s">
        <v>37</v>
      </c>
      <c r="AG22" s="6" t="s">
        <v>1465</v>
      </c>
    </row>
    <row r="23" spans="10:35">
      <c r="J23" s="5" t="s">
        <v>546</v>
      </c>
      <c r="R23" s="1">
        <v>2901908</v>
      </c>
      <c r="S23" s="1" t="s">
        <v>38</v>
      </c>
      <c r="AG23" s="6" t="s">
        <v>1460</v>
      </c>
    </row>
    <row r="24" spans="10:35">
      <c r="J24" s="5" t="s">
        <v>505</v>
      </c>
      <c r="R24" s="1">
        <v>2901957</v>
      </c>
      <c r="S24" s="1" t="s">
        <v>39</v>
      </c>
      <c r="AG24" s="6" t="s">
        <v>1463</v>
      </c>
    </row>
    <row r="25" spans="10:35">
      <c r="J25" s="5" t="s">
        <v>569</v>
      </c>
      <c r="R25" s="1">
        <v>2902054</v>
      </c>
      <c r="S25" s="1" t="s">
        <v>41</v>
      </c>
      <c r="AG25" s="6" t="s">
        <v>1466</v>
      </c>
    </row>
    <row r="26" spans="10:35">
      <c r="J26" s="5" t="s">
        <v>566</v>
      </c>
      <c r="R26" s="1">
        <v>2902005</v>
      </c>
      <c r="S26" s="1" t="s">
        <v>43</v>
      </c>
      <c r="AG26" s="6" t="s">
        <v>1458</v>
      </c>
    </row>
    <row r="27" spans="10:35">
      <c r="J27" s="5" t="s">
        <v>532</v>
      </c>
      <c r="R27" s="1">
        <v>2902104</v>
      </c>
      <c r="S27" s="1" t="s">
        <v>45</v>
      </c>
      <c r="AG27" s="6" t="s">
        <v>1501</v>
      </c>
    </row>
    <row r="28" spans="10:35">
      <c r="J28" s="5" t="s">
        <v>541</v>
      </c>
      <c r="R28" s="1">
        <v>2902203</v>
      </c>
      <c r="S28" s="1" t="s">
        <v>46</v>
      </c>
      <c r="AG28" s="6" t="s">
        <v>1508</v>
      </c>
    </row>
    <row r="29" spans="10:35">
      <c r="J29" s="5" t="s">
        <v>595</v>
      </c>
      <c r="R29" s="1">
        <v>2902252</v>
      </c>
      <c r="S29" s="1" t="s">
        <v>48</v>
      </c>
      <c r="AG29" s="6" t="s">
        <v>1509</v>
      </c>
    </row>
    <row r="30" spans="10:35">
      <c r="J30" s="5" t="s">
        <v>596</v>
      </c>
      <c r="R30" s="1">
        <v>2902302</v>
      </c>
      <c r="S30" s="1" t="s">
        <v>50</v>
      </c>
      <c r="AG30" s="6" t="s">
        <v>1510</v>
      </c>
    </row>
    <row r="31" spans="10:35">
      <c r="J31" s="5" t="s">
        <v>557</v>
      </c>
      <c r="R31" s="1">
        <v>2902401</v>
      </c>
      <c r="S31" s="1" t="s">
        <v>52</v>
      </c>
      <c r="AG31" s="10" t="s">
        <v>1511</v>
      </c>
    </row>
    <row r="32" spans="10:35">
      <c r="J32" s="5" t="s">
        <v>448</v>
      </c>
      <c r="R32" s="1">
        <v>2902500</v>
      </c>
      <c r="S32" s="1" t="s">
        <v>54</v>
      </c>
      <c r="AG32" s="10" t="s">
        <v>1512</v>
      </c>
    </row>
    <row r="33" spans="10:33">
      <c r="J33" s="5" t="s">
        <v>516</v>
      </c>
      <c r="R33" s="1">
        <v>2902609</v>
      </c>
      <c r="S33" s="1" t="s">
        <v>55</v>
      </c>
      <c r="AG33" s="10" t="s">
        <v>1513</v>
      </c>
    </row>
    <row r="34" spans="10:33">
      <c r="J34" s="5" t="s">
        <v>1410</v>
      </c>
      <c r="R34" s="1">
        <v>2902658</v>
      </c>
      <c r="S34" s="1" t="s">
        <v>57</v>
      </c>
      <c r="AG34" s="10" t="s">
        <v>1514</v>
      </c>
    </row>
    <row r="35" spans="10:33">
      <c r="J35" s="5" t="s">
        <v>1537</v>
      </c>
      <c r="R35" s="1">
        <v>2902708</v>
      </c>
      <c r="S35" s="1" t="s">
        <v>58</v>
      </c>
      <c r="AG35" s="6" t="s">
        <v>2123</v>
      </c>
    </row>
    <row r="36" spans="10:33">
      <c r="J36" s="91" t="s">
        <v>1957</v>
      </c>
      <c r="R36" s="1">
        <v>2902807</v>
      </c>
      <c r="S36" s="1" t="s">
        <v>59</v>
      </c>
    </row>
    <row r="37" spans="10:33" ht="42">
      <c r="J37" s="91" t="s">
        <v>1958</v>
      </c>
      <c r="R37" s="1">
        <v>2902906</v>
      </c>
      <c r="S37" s="1" t="s">
        <v>60</v>
      </c>
    </row>
    <row r="38" spans="10:33">
      <c r="J38" s="7" t="s">
        <v>2125</v>
      </c>
      <c r="R38" s="1">
        <v>2903003</v>
      </c>
      <c r="S38" s="1" t="s">
        <v>61</v>
      </c>
    </row>
    <row r="39" spans="10:33">
      <c r="R39" s="1">
        <v>2903102</v>
      </c>
      <c r="S39" s="1" t="s">
        <v>62</v>
      </c>
    </row>
    <row r="40" spans="10:33">
      <c r="R40" s="1">
        <v>2903201</v>
      </c>
      <c r="S40" s="1" t="s">
        <v>63</v>
      </c>
    </row>
    <row r="41" spans="10:33">
      <c r="R41" s="1">
        <v>2903235</v>
      </c>
      <c r="S41" s="1" t="s">
        <v>64</v>
      </c>
    </row>
    <row r="42" spans="10:33">
      <c r="R42" s="1">
        <v>2903300</v>
      </c>
      <c r="S42" s="1" t="s">
        <v>65</v>
      </c>
    </row>
    <row r="43" spans="10:33">
      <c r="R43" s="1">
        <v>2903276</v>
      </c>
      <c r="S43" s="1" t="s">
        <v>66</v>
      </c>
    </row>
    <row r="44" spans="10:33">
      <c r="R44" s="1">
        <v>2903409</v>
      </c>
      <c r="S44" s="1" t="s">
        <v>67</v>
      </c>
    </row>
    <row r="45" spans="10:33">
      <c r="R45" s="1">
        <v>2903508</v>
      </c>
      <c r="S45" s="1" t="s">
        <v>68</v>
      </c>
    </row>
    <row r="46" spans="10:33">
      <c r="R46" s="1">
        <v>2903607</v>
      </c>
      <c r="S46" s="1" t="s">
        <v>69</v>
      </c>
    </row>
    <row r="47" spans="10:33">
      <c r="R47" s="1">
        <v>2903706</v>
      </c>
      <c r="S47" s="1" t="s">
        <v>70</v>
      </c>
    </row>
    <row r="48" spans="10:33">
      <c r="R48" s="1">
        <v>2903805</v>
      </c>
      <c r="S48" s="1" t="s">
        <v>71</v>
      </c>
    </row>
    <row r="49" spans="18:19">
      <c r="R49" s="1">
        <v>2903904</v>
      </c>
      <c r="S49" s="1" t="s">
        <v>72</v>
      </c>
    </row>
    <row r="50" spans="18:19">
      <c r="R50" s="1">
        <v>2903953</v>
      </c>
      <c r="S50" s="1" t="s">
        <v>73</v>
      </c>
    </row>
    <row r="51" spans="18:19">
      <c r="R51" s="1">
        <v>2904001</v>
      </c>
      <c r="S51" s="1" t="s">
        <v>74</v>
      </c>
    </row>
    <row r="52" spans="18:19">
      <c r="R52" s="1">
        <v>2904050</v>
      </c>
      <c r="S52" s="1" t="s">
        <v>75</v>
      </c>
    </row>
    <row r="53" spans="18:19">
      <c r="R53" s="1">
        <v>2904100</v>
      </c>
      <c r="S53" s="1" t="s">
        <v>76</v>
      </c>
    </row>
    <row r="54" spans="18:19">
      <c r="R54" s="1">
        <v>2904209</v>
      </c>
      <c r="S54" s="1" t="s">
        <v>77</v>
      </c>
    </row>
    <row r="55" spans="18:19">
      <c r="R55" s="1">
        <v>2904308</v>
      </c>
      <c r="S55" s="1" t="s">
        <v>78</v>
      </c>
    </row>
    <row r="56" spans="18:19">
      <c r="R56" s="1">
        <v>2904407</v>
      </c>
      <c r="S56" s="1" t="s">
        <v>79</v>
      </c>
    </row>
    <row r="57" spans="18:19">
      <c r="R57" s="1">
        <v>2904506</v>
      </c>
      <c r="S57" s="1" t="s">
        <v>80</v>
      </c>
    </row>
    <row r="58" spans="18:19">
      <c r="R58" s="1">
        <v>2904605</v>
      </c>
      <c r="S58" s="1" t="s">
        <v>81</v>
      </c>
    </row>
    <row r="59" spans="18:19">
      <c r="R59" s="1">
        <v>2904704</v>
      </c>
      <c r="S59" s="1" t="s">
        <v>82</v>
      </c>
    </row>
    <row r="60" spans="18:19">
      <c r="R60" s="1">
        <v>2904753</v>
      </c>
      <c r="S60" s="1" t="s">
        <v>83</v>
      </c>
    </row>
    <row r="61" spans="18:19">
      <c r="R61" s="1">
        <v>2904803</v>
      </c>
      <c r="S61" s="1" t="s">
        <v>84</v>
      </c>
    </row>
    <row r="62" spans="18:19">
      <c r="R62" s="1">
        <v>2904852</v>
      </c>
      <c r="S62" s="1" t="s">
        <v>85</v>
      </c>
    </row>
    <row r="63" spans="18:19">
      <c r="R63" s="1">
        <v>2904902</v>
      </c>
      <c r="S63" s="1" t="s">
        <v>86</v>
      </c>
    </row>
    <row r="64" spans="18:19">
      <c r="R64" s="1">
        <v>2905008</v>
      </c>
      <c r="S64" s="1" t="s">
        <v>87</v>
      </c>
    </row>
    <row r="65" spans="18:19">
      <c r="R65" s="1">
        <v>2905107</v>
      </c>
      <c r="S65" s="1" t="s">
        <v>88</v>
      </c>
    </row>
    <row r="66" spans="18:19">
      <c r="R66" s="1">
        <v>2905156</v>
      </c>
      <c r="S66" s="1" t="s">
        <v>89</v>
      </c>
    </row>
    <row r="67" spans="18:19">
      <c r="R67" s="1">
        <v>2905206</v>
      </c>
      <c r="S67" s="1" t="s">
        <v>90</v>
      </c>
    </row>
    <row r="68" spans="18:19">
      <c r="R68" s="1">
        <v>2905305</v>
      </c>
      <c r="S68" s="1" t="s">
        <v>91</v>
      </c>
    </row>
    <row r="69" spans="18:19">
      <c r="R69" s="1">
        <v>2905404</v>
      </c>
      <c r="S69" s="1" t="s">
        <v>92</v>
      </c>
    </row>
    <row r="70" spans="18:19">
      <c r="R70" s="1">
        <v>2905503</v>
      </c>
      <c r="S70" s="1" t="s">
        <v>93</v>
      </c>
    </row>
    <row r="71" spans="18:19">
      <c r="R71" s="1">
        <v>2905602</v>
      </c>
      <c r="S71" s="1" t="s">
        <v>94</v>
      </c>
    </row>
    <row r="72" spans="18:19">
      <c r="R72" s="1">
        <v>2905701</v>
      </c>
      <c r="S72" s="1" t="s">
        <v>95</v>
      </c>
    </row>
    <row r="73" spans="18:19">
      <c r="R73" s="1">
        <v>2905800</v>
      </c>
      <c r="S73" s="1" t="s">
        <v>96</v>
      </c>
    </row>
    <row r="74" spans="18:19">
      <c r="R74" s="1">
        <v>2905909</v>
      </c>
      <c r="S74" s="1" t="s">
        <v>97</v>
      </c>
    </row>
    <row r="75" spans="18:19">
      <c r="R75" s="1">
        <v>2906006</v>
      </c>
      <c r="S75" s="1" t="s">
        <v>98</v>
      </c>
    </row>
    <row r="76" spans="18:19">
      <c r="R76" s="1">
        <v>2906105</v>
      </c>
      <c r="S76" s="1" t="s">
        <v>99</v>
      </c>
    </row>
    <row r="77" spans="18:19">
      <c r="R77" s="1">
        <v>2906204</v>
      </c>
      <c r="S77" s="1" t="s">
        <v>100</v>
      </c>
    </row>
    <row r="78" spans="18:19">
      <c r="R78" s="1">
        <v>2906303</v>
      </c>
      <c r="S78" s="1" t="s">
        <v>101</v>
      </c>
    </row>
    <row r="79" spans="18:19">
      <c r="R79" s="1">
        <v>2906402</v>
      </c>
      <c r="S79" s="1" t="s">
        <v>102</v>
      </c>
    </row>
    <row r="80" spans="18:19">
      <c r="R80" s="1">
        <v>2906501</v>
      </c>
      <c r="S80" s="1" t="s">
        <v>103</v>
      </c>
    </row>
    <row r="81" spans="18:19">
      <c r="R81" s="1">
        <v>2906600</v>
      </c>
      <c r="S81" s="1" t="s">
        <v>104</v>
      </c>
    </row>
    <row r="82" spans="18:19">
      <c r="R82" s="1">
        <v>2906709</v>
      </c>
      <c r="S82" s="1" t="s">
        <v>105</v>
      </c>
    </row>
    <row r="83" spans="18:19">
      <c r="R83" s="1">
        <v>2906808</v>
      </c>
      <c r="S83" s="1" t="s">
        <v>106</v>
      </c>
    </row>
    <row r="84" spans="18:19">
      <c r="R84" s="1">
        <v>2906824</v>
      </c>
      <c r="S84" s="1" t="s">
        <v>107</v>
      </c>
    </row>
    <row r="85" spans="18:19">
      <c r="R85" s="1">
        <v>2906857</v>
      </c>
      <c r="S85" s="1" t="s">
        <v>108</v>
      </c>
    </row>
    <row r="86" spans="18:19">
      <c r="R86" s="1">
        <v>2906873</v>
      </c>
      <c r="S86" s="1" t="s">
        <v>109</v>
      </c>
    </row>
    <row r="87" spans="18:19">
      <c r="R87" s="1">
        <v>2906899</v>
      </c>
      <c r="S87" s="1" t="s">
        <v>110</v>
      </c>
    </row>
    <row r="88" spans="18:19">
      <c r="R88" s="1">
        <v>2906907</v>
      </c>
      <c r="S88" s="1" t="s">
        <v>111</v>
      </c>
    </row>
    <row r="89" spans="18:19">
      <c r="R89" s="1">
        <v>2907004</v>
      </c>
      <c r="S89" s="1" t="s">
        <v>112</v>
      </c>
    </row>
    <row r="90" spans="18:19">
      <c r="R90" s="1">
        <v>2907103</v>
      </c>
      <c r="S90" s="1" t="s">
        <v>113</v>
      </c>
    </row>
    <row r="91" spans="18:19">
      <c r="R91" s="1">
        <v>2907202</v>
      </c>
      <c r="S91" s="1" t="s">
        <v>114</v>
      </c>
    </row>
    <row r="92" spans="18:19">
      <c r="R92" s="1">
        <v>2907301</v>
      </c>
      <c r="S92" s="1" t="s">
        <v>115</v>
      </c>
    </row>
    <row r="93" spans="18:19">
      <c r="R93" s="1">
        <v>2907400</v>
      </c>
      <c r="S93" s="1" t="s">
        <v>116</v>
      </c>
    </row>
    <row r="94" spans="18:19">
      <c r="R94" s="1">
        <v>2907509</v>
      </c>
      <c r="S94" s="1" t="s">
        <v>117</v>
      </c>
    </row>
    <row r="95" spans="18:19">
      <c r="R95" s="1">
        <v>2907558</v>
      </c>
      <c r="S95" s="1" t="s">
        <v>118</v>
      </c>
    </row>
    <row r="96" spans="18:19">
      <c r="R96" s="1">
        <v>2907608</v>
      </c>
      <c r="S96" s="1" t="s">
        <v>119</v>
      </c>
    </row>
    <row r="97" spans="18:19">
      <c r="R97" s="1">
        <v>2907707</v>
      </c>
      <c r="S97" s="1" t="s">
        <v>120</v>
      </c>
    </row>
    <row r="98" spans="18:19">
      <c r="R98" s="1">
        <v>2907806</v>
      </c>
      <c r="S98" s="1" t="s">
        <v>121</v>
      </c>
    </row>
    <row r="99" spans="18:19">
      <c r="R99" s="1">
        <v>2907905</v>
      </c>
      <c r="S99" s="1" t="s">
        <v>122</v>
      </c>
    </row>
    <row r="100" spans="18:19">
      <c r="R100" s="1">
        <v>2908002</v>
      </c>
      <c r="S100" s="1" t="s">
        <v>123</v>
      </c>
    </row>
    <row r="101" spans="18:19">
      <c r="R101" s="1">
        <v>2908101</v>
      </c>
      <c r="S101" s="1" t="s">
        <v>124</v>
      </c>
    </row>
    <row r="102" spans="18:19">
      <c r="R102" s="1">
        <v>2908200</v>
      </c>
      <c r="S102" s="1" t="s">
        <v>125</v>
      </c>
    </row>
    <row r="103" spans="18:19">
      <c r="R103" s="1">
        <v>2908309</v>
      </c>
      <c r="S103" s="1" t="s">
        <v>126</v>
      </c>
    </row>
    <row r="104" spans="18:19">
      <c r="R104" s="1">
        <v>2908408</v>
      </c>
      <c r="S104" s="1" t="s">
        <v>127</v>
      </c>
    </row>
    <row r="105" spans="18:19">
      <c r="R105" s="1">
        <v>2908507</v>
      </c>
      <c r="S105" s="1" t="s">
        <v>128</v>
      </c>
    </row>
    <row r="106" spans="18:19">
      <c r="R106" s="1">
        <v>2908606</v>
      </c>
      <c r="S106" s="1" t="s">
        <v>129</v>
      </c>
    </row>
    <row r="107" spans="18:19">
      <c r="R107" s="1">
        <v>2908705</v>
      </c>
      <c r="S107" s="1" t="s">
        <v>130</v>
      </c>
    </row>
    <row r="108" spans="18:19">
      <c r="R108" s="1">
        <v>2908804</v>
      </c>
      <c r="S108" s="1" t="s">
        <v>131</v>
      </c>
    </row>
    <row r="109" spans="18:19">
      <c r="R109" s="1">
        <v>2908903</v>
      </c>
      <c r="S109" s="1" t="s">
        <v>132</v>
      </c>
    </row>
    <row r="110" spans="18:19">
      <c r="R110" s="1">
        <v>2909000</v>
      </c>
      <c r="S110" s="1" t="s">
        <v>133</v>
      </c>
    </row>
    <row r="111" spans="18:19">
      <c r="R111" s="1">
        <v>2909109</v>
      </c>
      <c r="S111" s="1" t="s">
        <v>134</v>
      </c>
    </row>
    <row r="112" spans="18:19">
      <c r="R112" s="1">
        <v>2909208</v>
      </c>
      <c r="S112" s="1" t="s">
        <v>135</v>
      </c>
    </row>
    <row r="113" spans="18:19">
      <c r="R113" s="1">
        <v>2909307</v>
      </c>
      <c r="S113" s="1" t="s">
        <v>136</v>
      </c>
    </row>
    <row r="114" spans="18:19">
      <c r="R114" s="1">
        <v>2909406</v>
      </c>
      <c r="S114" s="1" t="s">
        <v>137</v>
      </c>
    </row>
    <row r="115" spans="18:19">
      <c r="R115" s="1">
        <v>2909505</v>
      </c>
      <c r="S115" s="1" t="s">
        <v>138</v>
      </c>
    </row>
    <row r="116" spans="18:19">
      <c r="R116" s="1">
        <v>2909604</v>
      </c>
      <c r="S116" s="1" t="s">
        <v>139</v>
      </c>
    </row>
    <row r="117" spans="18:19">
      <c r="R117" s="1">
        <v>2909703</v>
      </c>
      <c r="S117" s="1" t="s">
        <v>140</v>
      </c>
    </row>
    <row r="118" spans="18:19">
      <c r="R118" s="1">
        <v>2909802</v>
      </c>
      <c r="S118" s="1" t="s">
        <v>141</v>
      </c>
    </row>
    <row r="119" spans="18:19">
      <c r="R119" s="1">
        <v>2909901</v>
      </c>
      <c r="S119" s="1" t="s">
        <v>142</v>
      </c>
    </row>
    <row r="120" spans="18:19">
      <c r="R120" s="1">
        <v>2910008</v>
      </c>
      <c r="S120" s="1" t="s">
        <v>143</v>
      </c>
    </row>
    <row r="121" spans="18:19">
      <c r="R121" s="1">
        <v>2910057</v>
      </c>
      <c r="S121" s="1" t="s">
        <v>144</v>
      </c>
    </row>
    <row r="122" spans="18:19">
      <c r="S122" s="1" t="s">
        <v>449</v>
      </c>
    </row>
    <row r="123" spans="18:19">
      <c r="R123" s="1">
        <v>2910107</v>
      </c>
      <c r="S123" s="1" t="s">
        <v>145</v>
      </c>
    </row>
    <row r="124" spans="18:19">
      <c r="R124" s="1">
        <v>2910206</v>
      </c>
      <c r="S124" s="1" t="s">
        <v>146</v>
      </c>
    </row>
    <row r="125" spans="18:19">
      <c r="R125" s="1">
        <v>2910305</v>
      </c>
      <c r="S125" s="1" t="s">
        <v>147</v>
      </c>
    </row>
    <row r="126" spans="18:19">
      <c r="R126" s="1">
        <v>2910404</v>
      </c>
      <c r="S126" s="1" t="s">
        <v>148</v>
      </c>
    </row>
    <row r="127" spans="18:19">
      <c r="R127" s="1">
        <v>2910503</v>
      </c>
      <c r="S127" s="1" t="s">
        <v>149</v>
      </c>
    </row>
    <row r="128" spans="18:19">
      <c r="R128" s="1">
        <v>2900504</v>
      </c>
      <c r="S128" s="1" t="s">
        <v>150</v>
      </c>
    </row>
    <row r="129" spans="18:19">
      <c r="R129" s="1">
        <v>2910602</v>
      </c>
      <c r="S129" s="1" t="s">
        <v>151</v>
      </c>
    </row>
    <row r="130" spans="18:19">
      <c r="R130" s="1">
        <v>2910701</v>
      </c>
      <c r="S130" s="1" t="s">
        <v>152</v>
      </c>
    </row>
    <row r="131" spans="18:19">
      <c r="R131" s="1">
        <v>2910727</v>
      </c>
      <c r="S131" s="1" t="s">
        <v>153</v>
      </c>
    </row>
    <row r="132" spans="18:19">
      <c r="R132" s="1">
        <v>2910750</v>
      </c>
      <c r="S132" s="1" t="s">
        <v>154</v>
      </c>
    </row>
    <row r="133" spans="18:19">
      <c r="R133" s="1">
        <v>2910776</v>
      </c>
      <c r="S133" s="1" t="s">
        <v>155</v>
      </c>
    </row>
    <row r="134" spans="18:19">
      <c r="R134" s="1">
        <v>2910800</v>
      </c>
      <c r="S134" s="1" t="s">
        <v>156</v>
      </c>
    </row>
    <row r="135" spans="18:19">
      <c r="R135" s="1">
        <v>2910859</v>
      </c>
      <c r="S135" s="1" t="s">
        <v>157</v>
      </c>
    </row>
    <row r="136" spans="18:19">
      <c r="R136" s="1">
        <v>2910909</v>
      </c>
      <c r="S136" s="1" t="s">
        <v>158</v>
      </c>
    </row>
    <row r="137" spans="18:19">
      <c r="R137" s="1">
        <v>2911006</v>
      </c>
      <c r="S137" s="1" t="s">
        <v>159</v>
      </c>
    </row>
    <row r="138" spans="18:19">
      <c r="R138" s="1">
        <v>2911105</v>
      </c>
      <c r="S138" s="1" t="s">
        <v>160</v>
      </c>
    </row>
    <row r="139" spans="18:19">
      <c r="R139" s="1">
        <v>2911204</v>
      </c>
      <c r="S139" s="1" t="s">
        <v>161</v>
      </c>
    </row>
    <row r="140" spans="18:19">
      <c r="R140" s="1">
        <v>2911253</v>
      </c>
      <c r="S140" s="1" t="s">
        <v>162</v>
      </c>
    </row>
    <row r="141" spans="18:19">
      <c r="R141" s="1">
        <v>2911303</v>
      </c>
      <c r="S141" s="1" t="s">
        <v>163</v>
      </c>
    </row>
    <row r="142" spans="18:19">
      <c r="R142" s="1">
        <v>2911402</v>
      </c>
      <c r="S142" s="1" t="s">
        <v>164</v>
      </c>
    </row>
    <row r="143" spans="18:19">
      <c r="R143" s="1">
        <v>2911501</v>
      </c>
      <c r="S143" s="1" t="s">
        <v>165</v>
      </c>
    </row>
    <row r="144" spans="18:19">
      <c r="R144" s="1">
        <v>2911600</v>
      </c>
      <c r="S144" s="1" t="s">
        <v>166</v>
      </c>
    </row>
    <row r="145" spans="18:19">
      <c r="R145" s="1">
        <v>2911659</v>
      </c>
      <c r="S145" s="1" t="s">
        <v>167</v>
      </c>
    </row>
    <row r="146" spans="18:19">
      <c r="R146" s="1">
        <v>2911709</v>
      </c>
      <c r="S146" s="1" t="s">
        <v>168</v>
      </c>
    </row>
    <row r="147" spans="18:19">
      <c r="R147" s="1">
        <v>2911808</v>
      </c>
      <c r="S147" s="1" t="s">
        <v>169</v>
      </c>
    </row>
    <row r="148" spans="18:19">
      <c r="R148" s="1">
        <v>2911857</v>
      </c>
      <c r="S148" s="1" t="s">
        <v>170</v>
      </c>
    </row>
    <row r="149" spans="18:19">
      <c r="R149" s="1">
        <v>2911907</v>
      </c>
      <c r="S149" s="1" t="s">
        <v>171</v>
      </c>
    </row>
    <row r="150" spans="18:19">
      <c r="R150" s="1">
        <v>2912004</v>
      </c>
      <c r="S150" s="1" t="s">
        <v>172</v>
      </c>
    </row>
    <row r="151" spans="18:19">
      <c r="R151" s="1">
        <v>2912103</v>
      </c>
      <c r="S151" s="1" t="s">
        <v>173</v>
      </c>
    </row>
    <row r="152" spans="18:19">
      <c r="R152" s="1">
        <v>2912202</v>
      </c>
      <c r="S152" s="1" t="s">
        <v>174</v>
      </c>
    </row>
    <row r="153" spans="18:19">
      <c r="R153" s="1">
        <v>2912301</v>
      </c>
      <c r="S153" s="1" t="s">
        <v>175</v>
      </c>
    </row>
    <row r="154" spans="18:19">
      <c r="R154" s="1">
        <v>2912400</v>
      </c>
      <c r="S154" s="1" t="s">
        <v>176</v>
      </c>
    </row>
    <row r="155" spans="18:19">
      <c r="R155" s="1">
        <v>2912509</v>
      </c>
      <c r="S155" s="1" t="s">
        <v>177</v>
      </c>
    </row>
    <row r="156" spans="18:19">
      <c r="R156" s="1">
        <v>2912608</v>
      </c>
      <c r="S156" s="1" t="s">
        <v>178</v>
      </c>
    </row>
    <row r="157" spans="18:19">
      <c r="R157" s="1">
        <v>2912707</v>
      </c>
      <c r="S157" s="1" t="s">
        <v>179</v>
      </c>
    </row>
    <row r="158" spans="18:19">
      <c r="R158" s="1">
        <v>2912806</v>
      </c>
      <c r="S158" s="1" t="s">
        <v>180</v>
      </c>
    </row>
    <row r="159" spans="18:19">
      <c r="R159" s="1">
        <v>2912905</v>
      </c>
      <c r="S159" s="1" t="s">
        <v>181</v>
      </c>
    </row>
    <row r="160" spans="18:19">
      <c r="R160" s="1">
        <v>2913002</v>
      </c>
      <c r="S160" s="1" t="s">
        <v>182</v>
      </c>
    </row>
    <row r="161" spans="18:19">
      <c r="R161" s="1">
        <v>2913101</v>
      </c>
      <c r="S161" s="1" t="s">
        <v>183</v>
      </c>
    </row>
    <row r="162" spans="18:19">
      <c r="R162" s="1">
        <v>2913200</v>
      </c>
      <c r="S162" s="1" t="s">
        <v>184</v>
      </c>
    </row>
    <row r="163" spans="18:19">
      <c r="R163" s="1">
        <v>2913309</v>
      </c>
      <c r="S163" s="1" t="s">
        <v>185</v>
      </c>
    </row>
    <row r="164" spans="18:19">
      <c r="R164" s="1">
        <v>2913408</v>
      </c>
      <c r="S164" s="1" t="s">
        <v>186</v>
      </c>
    </row>
    <row r="165" spans="18:19">
      <c r="R165" s="1">
        <v>2913457</v>
      </c>
      <c r="S165" s="1" t="s">
        <v>187</v>
      </c>
    </row>
    <row r="166" spans="18:19">
      <c r="R166" s="1">
        <v>2913507</v>
      </c>
      <c r="S166" s="1" t="s">
        <v>188</v>
      </c>
    </row>
    <row r="167" spans="18:19">
      <c r="R167" s="1">
        <v>2913606</v>
      </c>
      <c r="S167" s="1" t="s">
        <v>189</v>
      </c>
    </row>
    <row r="168" spans="18:19">
      <c r="R168" s="1">
        <v>2913705</v>
      </c>
      <c r="S168" s="1" t="s">
        <v>190</v>
      </c>
    </row>
    <row r="169" spans="18:19">
      <c r="R169" s="1">
        <v>2913804</v>
      </c>
      <c r="S169" s="1" t="s">
        <v>191</v>
      </c>
    </row>
    <row r="170" spans="18:19">
      <c r="R170" s="1">
        <v>2913903</v>
      </c>
      <c r="S170" s="1" t="s">
        <v>192</v>
      </c>
    </row>
    <row r="171" spans="18:19">
      <c r="R171" s="1">
        <v>2914000</v>
      </c>
      <c r="S171" s="1" t="s">
        <v>193</v>
      </c>
    </row>
    <row r="172" spans="18:19">
      <c r="R172" s="1">
        <v>2914109</v>
      </c>
      <c r="S172" s="1" t="s">
        <v>194</v>
      </c>
    </row>
    <row r="173" spans="18:19">
      <c r="R173" s="1">
        <v>2914208</v>
      </c>
      <c r="S173" s="1" t="s">
        <v>195</v>
      </c>
    </row>
    <row r="174" spans="18:19">
      <c r="R174" s="1">
        <v>2914307</v>
      </c>
      <c r="S174" s="1" t="s">
        <v>196</v>
      </c>
    </row>
    <row r="175" spans="18:19">
      <c r="R175" s="1">
        <v>2914406</v>
      </c>
      <c r="S175" s="1" t="s">
        <v>197</v>
      </c>
    </row>
    <row r="176" spans="18:19">
      <c r="R176" s="1">
        <v>2914505</v>
      </c>
      <c r="S176" s="1" t="s">
        <v>198</v>
      </c>
    </row>
    <row r="177" spans="18:19">
      <c r="R177" s="1">
        <v>2914604</v>
      </c>
      <c r="S177" s="1" t="s">
        <v>199</v>
      </c>
    </row>
    <row r="178" spans="18:19">
      <c r="R178" s="1">
        <v>2914653</v>
      </c>
      <c r="S178" s="1" t="s">
        <v>200</v>
      </c>
    </row>
    <row r="179" spans="18:19">
      <c r="R179" s="1">
        <v>2914703</v>
      </c>
      <c r="S179" s="1" t="s">
        <v>201</v>
      </c>
    </row>
    <row r="180" spans="18:19">
      <c r="R180" s="1">
        <v>2914802</v>
      </c>
      <c r="S180" s="1" t="s">
        <v>202</v>
      </c>
    </row>
    <row r="181" spans="18:19">
      <c r="R181" s="1">
        <v>2914901</v>
      </c>
      <c r="S181" s="1" t="s">
        <v>203</v>
      </c>
    </row>
    <row r="182" spans="18:19">
      <c r="R182" s="1">
        <v>2915007</v>
      </c>
      <c r="S182" s="1" t="s">
        <v>204</v>
      </c>
    </row>
    <row r="183" spans="18:19">
      <c r="R183" s="1">
        <v>2915106</v>
      </c>
      <c r="S183" s="1" t="s">
        <v>205</v>
      </c>
    </row>
    <row r="184" spans="18:19">
      <c r="R184" s="1">
        <v>2915205</v>
      </c>
      <c r="S184" s="1" t="s">
        <v>206</v>
      </c>
    </row>
    <row r="185" spans="18:19">
      <c r="R185" s="1">
        <v>2915304</v>
      </c>
      <c r="S185" s="1" t="s">
        <v>207</v>
      </c>
    </row>
    <row r="186" spans="18:19">
      <c r="R186" s="1">
        <v>2915353</v>
      </c>
      <c r="S186" s="1" t="s">
        <v>208</v>
      </c>
    </row>
    <row r="187" spans="18:19">
      <c r="R187" s="1">
        <v>2915403</v>
      </c>
      <c r="S187" s="1" t="s">
        <v>209</v>
      </c>
    </row>
    <row r="188" spans="18:19">
      <c r="R188" s="1">
        <v>2915502</v>
      </c>
      <c r="S188" s="1" t="s">
        <v>210</v>
      </c>
    </row>
    <row r="189" spans="18:19">
      <c r="R189" s="1">
        <v>2915601</v>
      </c>
      <c r="S189" s="1" t="s">
        <v>211</v>
      </c>
    </row>
    <row r="190" spans="18:19">
      <c r="R190" s="1">
        <v>2915700</v>
      </c>
      <c r="S190" s="1" t="s">
        <v>212</v>
      </c>
    </row>
    <row r="191" spans="18:19">
      <c r="R191" s="1">
        <v>2915809</v>
      </c>
      <c r="S191" s="1" t="s">
        <v>213</v>
      </c>
    </row>
    <row r="192" spans="18:19">
      <c r="R192" s="1">
        <v>2915908</v>
      </c>
      <c r="S192" s="1" t="s">
        <v>214</v>
      </c>
    </row>
    <row r="193" spans="18:19">
      <c r="R193" s="1">
        <v>2916005</v>
      </c>
      <c r="S193" s="1" t="s">
        <v>215</v>
      </c>
    </row>
    <row r="194" spans="18:19">
      <c r="R194" s="1">
        <v>2916104</v>
      </c>
      <c r="S194" s="1" t="s">
        <v>216</v>
      </c>
    </row>
    <row r="195" spans="18:19">
      <c r="R195" s="1">
        <v>2916203</v>
      </c>
      <c r="S195" s="1" t="s">
        <v>217</v>
      </c>
    </row>
    <row r="196" spans="18:19">
      <c r="R196" s="1">
        <v>2916302</v>
      </c>
      <c r="S196" s="1" t="s">
        <v>218</v>
      </c>
    </row>
    <row r="197" spans="18:19">
      <c r="R197" s="1">
        <v>2916401</v>
      </c>
      <c r="S197" s="1" t="s">
        <v>219</v>
      </c>
    </row>
    <row r="198" spans="18:19">
      <c r="R198" s="1">
        <v>2916500</v>
      </c>
      <c r="S198" s="1" t="s">
        <v>220</v>
      </c>
    </row>
    <row r="199" spans="18:19">
      <c r="R199" s="1">
        <v>2916609</v>
      </c>
      <c r="S199" s="1" t="s">
        <v>221</v>
      </c>
    </row>
    <row r="200" spans="18:19">
      <c r="R200" s="1">
        <v>2916708</v>
      </c>
      <c r="S200" s="1" t="s">
        <v>222</v>
      </c>
    </row>
    <row r="201" spans="18:19">
      <c r="R201" s="1">
        <v>2916807</v>
      </c>
      <c r="S201" s="1" t="s">
        <v>223</v>
      </c>
    </row>
    <row r="202" spans="18:19">
      <c r="R202" s="1">
        <v>2916856</v>
      </c>
      <c r="S202" s="1" t="s">
        <v>224</v>
      </c>
    </row>
    <row r="203" spans="18:19">
      <c r="R203" s="1">
        <v>2916906</v>
      </c>
      <c r="S203" s="1" t="s">
        <v>225</v>
      </c>
    </row>
    <row r="204" spans="18:19">
      <c r="R204" s="1">
        <v>2917003</v>
      </c>
      <c r="S204" s="1" t="s">
        <v>226</v>
      </c>
    </row>
    <row r="205" spans="18:19">
      <c r="R205" s="1">
        <v>2917102</v>
      </c>
      <c r="S205" s="1" t="s">
        <v>227</v>
      </c>
    </row>
    <row r="206" spans="18:19">
      <c r="R206" s="1">
        <v>2917201</v>
      </c>
      <c r="S206" s="1" t="s">
        <v>228</v>
      </c>
    </row>
    <row r="207" spans="18:19">
      <c r="R207" s="1">
        <v>2917300</v>
      </c>
      <c r="S207" s="1" t="s">
        <v>229</v>
      </c>
    </row>
    <row r="208" spans="18:19">
      <c r="R208" s="1">
        <v>2917334</v>
      </c>
      <c r="S208" s="1" t="s">
        <v>230</v>
      </c>
    </row>
    <row r="209" spans="18:19">
      <c r="R209" s="1">
        <v>2917359</v>
      </c>
      <c r="S209" s="1" t="s">
        <v>231</v>
      </c>
    </row>
    <row r="210" spans="18:19">
      <c r="R210" s="1">
        <v>2917409</v>
      </c>
      <c r="S210" s="1" t="s">
        <v>232</v>
      </c>
    </row>
    <row r="211" spans="18:19">
      <c r="R211" s="1">
        <v>2917508</v>
      </c>
      <c r="S211" s="1" t="s">
        <v>233</v>
      </c>
    </row>
    <row r="212" spans="18:19">
      <c r="R212" s="1">
        <v>2917607</v>
      </c>
      <c r="S212" s="1" t="s">
        <v>234</v>
      </c>
    </row>
    <row r="213" spans="18:19">
      <c r="R213" s="1">
        <v>2917706</v>
      </c>
      <c r="S213" s="1" t="s">
        <v>235</v>
      </c>
    </row>
    <row r="214" spans="18:19">
      <c r="R214" s="1">
        <v>2917805</v>
      </c>
      <c r="S214" s="1" t="s">
        <v>236</v>
      </c>
    </row>
    <row r="215" spans="18:19">
      <c r="R215" s="1">
        <v>2917904</v>
      </c>
      <c r="S215" s="1" t="s">
        <v>237</v>
      </c>
    </row>
    <row r="216" spans="18:19">
      <c r="R216" s="1">
        <v>2918001</v>
      </c>
      <c r="S216" s="1" t="s">
        <v>238</v>
      </c>
    </row>
    <row r="217" spans="18:19">
      <c r="R217" s="1">
        <v>2918100</v>
      </c>
      <c r="S217" s="1" t="s">
        <v>239</v>
      </c>
    </row>
    <row r="218" spans="18:19">
      <c r="R218" s="1">
        <v>2918209</v>
      </c>
      <c r="S218" s="1" t="s">
        <v>240</v>
      </c>
    </row>
    <row r="219" spans="18:19">
      <c r="R219" s="1">
        <v>2918308</v>
      </c>
      <c r="S219" s="1" t="s">
        <v>241</v>
      </c>
    </row>
    <row r="220" spans="18:19">
      <c r="R220" s="1">
        <v>2918357</v>
      </c>
      <c r="S220" s="1" t="s">
        <v>242</v>
      </c>
    </row>
    <row r="221" spans="18:19">
      <c r="R221" s="1">
        <v>2918407</v>
      </c>
      <c r="S221" s="1" t="s">
        <v>243</v>
      </c>
    </row>
    <row r="222" spans="18:19">
      <c r="R222" s="1">
        <v>2918456</v>
      </c>
      <c r="S222" s="1" t="s">
        <v>244</v>
      </c>
    </row>
    <row r="223" spans="18:19">
      <c r="R223" s="1">
        <v>2918506</v>
      </c>
      <c r="S223" s="1" t="s">
        <v>245</v>
      </c>
    </row>
    <row r="224" spans="18:19">
      <c r="R224" s="1">
        <v>2918555</v>
      </c>
      <c r="S224" s="1" t="s">
        <v>246</v>
      </c>
    </row>
    <row r="225" spans="18:19">
      <c r="R225" s="1">
        <v>2918605</v>
      </c>
      <c r="S225" s="1" t="s">
        <v>247</v>
      </c>
    </row>
    <row r="226" spans="18:19">
      <c r="R226" s="1">
        <v>2918704</v>
      </c>
      <c r="S226" s="1" t="s">
        <v>248</v>
      </c>
    </row>
    <row r="227" spans="18:19">
      <c r="R227" s="1">
        <v>2918753</v>
      </c>
      <c r="S227" s="1" t="s">
        <v>249</v>
      </c>
    </row>
    <row r="228" spans="18:19">
      <c r="R228" s="1">
        <v>2918803</v>
      </c>
      <c r="S228" s="1" t="s">
        <v>250</v>
      </c>
    </row>
    <row r="229" spans="18:19">
      <c r="R229" s="1">
        <v>2918902</v>
      </c>
      <c r="S229" s="1" t="s">
        <v>251</v>
      </c>
    </row>
    <row r="230" spans="18:19">
      <c r="R230" s="1">
        <v>2919009</v>
      </c>
      <c r="S230" s="1" t="s">
        <v>252</v>
      </c>
    </row>
    <row r="231" spans="18:19">
      <c r="R231" s="1">
        <v>2919058</v>
      </c>
      <c r="S231" s="1" t="s">
        <v>253</v>
      </c>
    </row>
    <row r="232" spans="18:19">
      <c r="R232" s="1">
        <v>2919108</v>
      </c>
      <c r="S232" s="1" t="s">
        <v>254</v>
      </c>
    </row>
    <row r="233" spans="18:19">
      <c r="R233" s="1">
        <v>2919157</v>
      </c>
      <c r="S233" s="1" t="s">
        <v>255</v>
      </c>
    </row>
    <row r="234" spans="18:19">
      <c r="R234" s="1">
        <v>2919207</v>
      </c>
      <c r="S234" s="1" t="s">
        <v>256</v>
      </c>
    </row>
    <row r="235" spans="18:19">
      <c r="R235" s="1">
        <v>2919306</v>
      </c>
      <c r="S235" s="1" t="s">
        <v>257</v>
      </c>
    </row>
    <row r="236" spans="18:19">
      <c r="R236" s="1">
        <v>2919405</v>
      </c>
      <c r="S236" s="1" t="s">
        <v>258</v>
      </c>
    </row>
    <row r="237" spans="18:19">
      <c r="R237" s="1">
        <v>2919504</v>
      </c>
      <c r="S237" s="1" t="s">
        <v>259</v>
      </c>
    </row>
    <row r="238" spans="18:19">
      <c r="R238" s="1">
        <v>2919553</v>
      </c>
      <c r="S238" s="1" t="s">
        <v>260</v>
      </c>
    </row>
    <row r="239" spans="18:19">
      <c r="R239" s="1">
        <v>2919603</v>
      </c>
      <c r="S239" s="1" t="s">
        <v>261</v>
      </c>
    </row>
    <row r="240" spans="18:19">
      <c r="R240" s="1">
        <v>2919702</v>
      </c>
      <c r="S240" s="1" t="s">
        <v>262</v>
      </c>
    </row>
    <row r="241" spans="18:19">
      <c r="R241" s="1">
        <v>2919801</v>
      </c>
      <c r="S241" s="1" t="s">
        <v>263</v>
      </c>
    </row>
    <row r="242" spans="18:19">
      <c r="R242" s="1">
        <v>2919900</v>
      </c>
      <c r="S242" s="1" t="s">
        <v>264</v>
      </c>
    </row>
    <row r="243" spans="18:19">
      <c r="R243" s="1">
        <v>2919926</v>
      </c>
      <c r="S243" s="1" t="s">
        <v>265</v>
      </c>
    </row>
    <row r="244" spans="18:19">
      <c r="R244" s="1">
        <v>2919959</v>
      </c>
      <c r="S244" s="1" t="s">
        <v>266</v>
      </c>
    </row>
    <row r="245" spans="18:19">
      <c r="R245" s="1">
        <v>2920007</v>
      </c>
      <c r="S245" s="1" t="s">
        <v>267</v>
      </c>
    </row>
    <row r="246" spans="18:19">
      <c r="R246" s="1">
        <v>2920106</v>
      </c>
      <c r="S246" s="1" t="s">
        <v>268</v>
      </c>
    </row>
    <row r="247" spans="18:19">
      <c r="R247" s="1">
        <v>2920205</v>
      </c>
      <c r="S247" s="1" t="s">
        <v>269</v>
      </c>
    </row>
    <row r="248" spans="18:19">
      <c r="R248" s="1">
        <v>2920304</v>
      </c>
      <c r="S248" s="1" t="s">
        <v>270</v>
      </c>
    </row>
    <row r="249" spans="18:19">
      <c r="R249" s="1">
        <v>2920403</v>
      </c>
      <c r="S249" s="1" t="s">
        <v>271</v>
      </c>
    </row>
    <row r="250" spans="18:19">
      <c r="R250" s="1">
        <v>2920452</v>
      </c>
      <c r="S250" s="1" t="s">
        <v>272</v>
      </c>
    </row>
    <row r="251" spans="18:19">
      <c r="R251" s="1">
        <v>2920502</v>
      </c>
      <c r="S251" s="1" t="s">
        <v>273</v>
      </c>
    </row>
    <row r="252" spans="18:19">
      <c r="R252" s="1">
        <v>2920601</v>
      </c>
      <c r="S252" s="1" t="s">
        <v>274</v>
      </c>
    </row>
    <row r="253" spans="18:19">
      <c r="R253" s="1">
        <v>2920700</v>
      </c>
      <c r="S253" s="1" t="s">
        <v>275</v>
      </c>
    </row>
    <row r="254" spans="18:19">
      <c r="R254" s="1">
        <v>2920809</v>
      </c>
      <c r="S254" s="1" t="s">
        <v>276</v>
      </c>
    </row>
    <row r="255" spans="18:19">
      <c r="R255" s="1">
        <v>2920908</v>
      </c>
      <c r="S255" s="1" t="s">
        <v>277</v>
      </c>
    </row>
    <row r="256" spans="18:19">
      <c r="R256" s="1">
        <v>2921005</v>
      </c>
      <c r="S256" s="1" t="s">
        <v>278</v>
      </c>
    </row>
    <row r="257" spans="18:19">
      <c r="R257" s="1">
        <v>2921054</v>
      </c>
      <c r="S257" s="1" t="s">
        <v>279</v>
      </c>
    </row>
    <row r="258" spans="18:19">
      <c r="R258" s="1">
        <v>2921104</v>
      </c>
      <c r="S258" s="1" t="s">
        <v>280</v>
      </c>
    </row>
    <row r="259" spans="18:19">
      <c r="R259" s="1">
        <v>2921203</v>
      </c>
      <c r="S259" s="1" t="s">
        <v>281</v>
      </c>
    </row>
    <row r="260" spans="18:19">
      <c r="R260" s="1">
        <v>2921302</v>
      </c>
      <c r="S260" s="1" t="s">
        <v>282</v>
      </c>
    </row>
    <row r="261" spans="18:19">
      <c r="R261" s="1">
        <v>2921401</v>
      </c>
      <c r="S261" s="1" t="s">
        <v>283</v>
      </c>
    </row>
    <row r="262" spans="18:19">
      <c r="R262" s="1">
        <v>2921450</v>
      </c>
      <c r="S262" s="1" t="s">
        <v>284</v>
      </c>
    </row>
    <row r="263" spans="18:19">
      <c r="R263" s="1">
        <v>2921500</v>
      </c>
      <c r="S263" s="1" t="s">
        <v>285</v>
      </c>
    </row>
    <row r="264" spans="18:19">
      <c r="R264" s="1">
        <v>2921609</v>
      </c>
      <c r="S264" s="1" t="s">
        <v>286</v>
      </c>
    </row>
    <row r="265" spans="18:19">
      <c r="R265" s="1">
        <v>2921708</v>
      </c>
      <c r="S265" s="1" t="s">
        <v>287</v>
      </c>
    </row>
    <row r="266" spans="18:19">
      <c r="R266" s="1">
        <v>2921807</v>
      </c>
      <c r="S266" s="1" t="s">
        <v>288</v>
      </c>
    </row>
    <row r="267" spans="18:19">
      <c r="R267" s="1">
        <v>2921906</v>
      </c>
      <c r="S267" s="1" t="s">
        <v>289</v>
      </c>
    </row>
    <row r="268" spans="18:19">
      <c r="R268" s="1">
        <v>2922003</v>
      </c>
      <c r="S268" s="1" t="s">
        <v>290</v>
      </c>
    </row>
    <row r="269" spans="18:19">
      <c r="R269" s="1">
        <v>2922052</v>
      </c>
      <c r="S269" s="1" t="s">
        <v>291</v>
      </c>
    </row>
    <row r="270" spans="18:19">
      <c r="R270" s="1">
        <v>2922102</v>
      </c>
      <c r="S270" s="1" t="s">
        <v>292</v>
      </c>
    </row>
    <row r="271" spans="18:19">
      <c r="R271" s="1">
        <v>2922201</v>
      </c>
      <c r="S271" s="1" t="s">
        <v>293</v>
      </c>
    </row>
    <row r="272" spans="18:19">
      <c r="R272" s="1">
        <v>2922250</v>
      </c>
      <c r="S272" s="1" t="s">
        <v>294</v>
      </c>
    </row>
    <row r="273" spans="18:19">
      <c r="R273" s="1">
        <v>2922300</v>
      </c>
      <c r="S273" s="1" t="s">
        <v>295</v>
      </c>
    </row>
    <row r="274" spans="18:19">
      <c r="R274" s="1">
        <v>2922409</v>
      </c>
      <c r="S274" s="1" t="s">
        <v>296</v>
      </c>
    </row>
    <row r="275" spans="18:19">
      <c r="R275" s="1">
        <v>2922508</v>
      </c>
      <c r="S275" s="1" t="s">
        <v>297</v>
      </c>
    </row>
    <row r="276" spans="18:19">
      <c r="R276" s="1">
        <v>2922607</v>
      </c>
      <c r="S276" s="1" t="s">
        <v>298</v>
      </c>
    </row>
    <row r="277" spans="18:19">
      <c r="R277" s="1">
        <v>2922656</v>
      </c>
      <c r="S277" s="1" t="s">
        <v>299</v>
      </c>
    </row>
    <row r="278" spans="18:19">
      <c r="R278" s="1">
        <v>2922706</v>
      </c>
      <c r="S278" s="1" t="s">
        <v>300</v>
      </c>
    </row>
    <row r="279" spans="18:19">
      <c r="R279" s="1">
        <v>2922730</v>
      </c>
      <c r="S279" s="1" t="s">
        <v>301</v>
      </c>
    </row>
    <row r="280" spans="18:19">
      <c r="R280" s="1">
        <v>2922755</v>
      </c>
      <c r="S280" s="1" t="s">
        <v>302</v>
      </c>
    </row>
    <row r="281" spans="18:19">
      <c r="R281" s="1">
        <v>2922805</v>
      </c>
      <c r="S281" s="1" t="s">
        <v>303</v>
      </c>
    </row>
    <row r="282" spans="18:19">
      <c r="R282" s="1">
        <v>2922854</v>
      </c>
      <c r="S282" s="1" t="s">
        <v>304</v>
      </c>
    </row>
    <row r="283" spans="18:19">
      <c r="R283" s="1">
        <v>2922904</v>
      </c>
      <c r="S283" s="1" t="s">
        <v>305</v>
      </c>
    </row>
    <row r="284" spans="18:19">
      <c r="R284" s="1">
        <v>2923001</v>
      </c>
      <c r="S284" s="1" t="s">
        <v>306</v>
      </c>
    </row>
    <row r="285" spans="18:19">
      <c r="R285" s="1">
        <v>2923035</v>
      </c>
      <c r="S285" s="1" t="s">
        <v>307</v>
      </c>
    </row>
    <row r="286" spans="18:19">
      <c r="R286" s="1">
        <v>2923050</v>
      </c>
      <c r="S286" s="1" t="s">
        <v>308</v>
      </c>
    </row>
    <row r="287" spans="18:19">
      <c r="R287" s="1">
        <v>2923100</v>
      </c>
      <c r="S287" s="1" t="s">
        <v>309</v>
      </c>
    </row>
    <row r="288" spans="18:19">
      <c r="R288" s="1">
        <v>2923209</v>
      </c>
      <c r="S288" s="1" t="s">
        <v>310</v>
      </c>
    </row>
    <row r="289" spans="18:19">
      <c r="R289" s="1">
        <v>2923308</v>
      </c>
      <c r="S289" s="1" t="s">
        <v>311</v>
      </c>
    </row>
    <row r="290" spans="18:19">
      <c r="R290" s="1">
        <v>2923357</v>
      </c>
      <c r="S290" s="1" t="s">
        <v>312</v>
      </c>
    </row>
    <row r="291" spans="18:19">
      <c r="R291" s="1">
        <v>2923407</v>
      </c>
      <c r="S291" s="1" t="s">
        <v>313</v>
      </c>
    </row>
    <row r="292" spans="18:19">
      <c r="R292" s="1">
        <v>2923506</v>
      </c>
      <c r="S292" s="1" t="s">
        <v>314</v>
      </c>
    </row>
    <row r="293" spans="18:19">
      <c r="R293" s="1">
        <v>2923605</v>
      </c>
      <c r="S293" s="1" t="s">
        <v>315</v>
      </c>
    </row>
    <row r="294" spans="18:19">
      <c r="R294" s="1">
        <v>2923704</v>
      </c>
      <c r="S294" s="1" t="s">
        <v>316</v>
      </c>
    </row>
    <row r="295" spans="18:19">
      <c r="R295" s="1">
        <v>2923803</v>
      </c>
      <c r="S295" s="1" t="s">
        <v>317</v>
      </c>
    </row>
    <row r="296" spans="18:19">
      <c r="R296" s="1">
        <v>2923902</v>
      </c>
      <c r="S296" s="1" t="s">
        <v>318</v>
      </c>
    </row>
    <row r="297" spans="18:19">
      <c r="R297" s="1">
        <v>2924009</v>
      </c>
      <c r="S297" s="1" t="s">
        <v>319</v>
      </c>
    </row>
    <row r="298" spans="18:19">
      <c r="R298" s="1">
        <v>2924058</v>
      </c>
      <c r="S298" s="1" t="s">
        <v>320</v>
      </c>
    </row>
    <row r="299" spans="18:19">
      <c r="R299" s="1">
        <v>2924108</v>
      </c>
      <c r="S299" s="1" t="s">
        <v>321</v>
      </c>
    </row>
    <row r="300" spans="18:19">
      <c r="R300" s="1">
        <v>2924207</v>
      </c>
      <c r="S300" s="1" t="s">
        <v>322</v>
      </c>
    </row>
    <row r="301" spans="18:19">
      <c r="R301" s="1">
        <v>2924306</v>
      </c>
      <c r="S301" s="1" t="s">
        <v>323</v>
      </c>
    </row>
    <row r="302" spans="18:19">
      <c r="R302" s="1">
        <v>2924405</v>
      </c>
      <c r="S302" s="1" t="s">
        <v>324</v>
      </c>
    </row>
    <row r="303" spans="18:19">
      <c r="R303" s="1">
        <v>2924504</v>
      </c>
      <c r="S303" s="1" t="s">
        <v>325</v>
      </c>
    </row>
    <row r="304" spans="18:19">
      <c r="R304" s="1">
        <v>2924603</v>
      </c>
      <c r="S304" s="1" t="s">
        <v>326</v>
      </c>
    </row>
    <row r="305" spans="18:19">
      <c r="R305" s="1">
        <v>2924652</v>
      </c>
      <c r="S305" s="1" t="s">
        <v>327</v>
      </c>
    </row>
    <row r="306" spans="18:19">
      <c r="R306" s="1">
        <v>2924678</v>
      </c>
      <c r="S306" s="1" t="s">
        <v>328</v>
      </c>
    </row>
    <row r="307" spans="18:19">
      <c r="R307" s="1">
        <v>2924702</v>
      </c>
      <c r="S307" s="1" t="s">
        <v>329</v>
      </c>
    </row>
    <row r="308" spans="18:19">
      <c r="R308" s="1">
        <v>2924801</v>
      </c>
      <c r="S308" s="1" t="s">
        <v>330</v>
      </c>
    </row>
    <row r="309" spans="18:19">
      <c r="R309" s="1">
        <v>2924900</v>
      </c>
      <c r="S309" s="1" t="s">
        <v>331</v>
      </c>
    </row>
    <row r="310" spans="18:19">
      <c r="R310" s="1">
        <v>2925006</v>
      </c>
      <c r="S310" s="1" t="s">
        <v>332</v>
      </c>
    </row>
    <row r="311" spans="18:19">
      <c r="R311" s="1">
        <v>2925105</v>
      </c>
      <c r="S311" s="1" t="s">
        <v>333</v>
      </c>
    </row>
    <row r="312" spans="18:19">
      <c r="R312" s="1">
        <v>2925204</v>
      </c>
      <c r="S312" s="1" t="s">
        <v>334</v>
      </c>
    </row>
    <row r="313" spans="18:19">
      <c r="R313" s="1">
        <v>2925253</v>
      </c>
      <c r="S313" s="1" t="s">
        <v>335</v>
      </c>
    </row>
    <row r="314" spans="18:19">
      <c r="R314" s="1">
        <v>2925303</v>
      </c>
      <c r="S314" s="1" t="s">
        <v>336</v>
      </c>
    </row>
    <row r="315" spans="18:19">
      <c r="R315" s="1">
        <v>2925402</v>
      </c>
      <c r="S315" s="1" t="s">
        <v>337</v>
      </c>
    </row>
    <row r="316" spans="18:19">
      <c r="R316" s="1">
        <v>2925501</v>
      </c>
      <c r="S316" s="1" t="s">
        <v>338</v>
      </c>
    </row>
    <row r="317" spans="18:19">
      <c r="R317" s="1">
        <v>2925600</v>
      </c>
      <c r="S317" s="1" t="s">
        <v>339</v>
      </c>
    </row>
    <row r="318" spans="18:19">
      <c r="R318" s="1">
        <v>2925709</v>
      </c>
      <c r="S318" s="1" t="s">
        <v>340</v>
      </c>
    </row>
    <row r="319" spans="18:19">
      <c r="R319" s="1">
        <v>2925758</v>
      </c>
      <c r="S319" s="1" t="s">
        <v>341</v>
      </c>
    </row>
    <row r="320" spans="18:19">
      <c r="R320" s="1">
        <v>2925808</v>
      </c>
      <c r="S320" s="1" t="s">
        <v>342</v>
      </c>
    </row>
    <row r="321" spans="18:19">
      <c r="R321" s="1">
        <v>2925907</v>
      </c>
      <c r="S321" s="1" t="s">
        <v>343</v>
      </c>
    </row>
    <row r="322" spans="18:19">
      <c r="R322" s="1">
        <v>2925931</v>
      </c>
      <c r="S322" s="1" t="s">
        <v>344</v>
      </c>
    </row>
    <row r="323" spans="18:19">
      <c r="R323" s="1">
        <v>2925956</v>
      </c>
      <c r="S323" s="1" t="s">
        <v>345</v>
      </c>
    </row>
    <row r="324" spans="18:19">
      <c r="R324" s="1">
        <v>2926004</v>
      </c>
      <c r="S324" s="1" t="s">
        <v>346</v>
      </c>
    </row>
    <row r="325" spans="18:19">
      <c r="R325" s="1">
        <v>2926103</v>
      </c>
      <c r="S325" s="1" t="s">
        <v>347</v>
      </c>
    </row>
    <row r="326" spans="18:19">
      <c r="R326" s="1">
        <v>2926202</v>
      </c>
      <c r="S326" s="1" t="s">
        <v>348</v>
      </c>
    </row>
    <row r="327" spans="18:19">
      <c r="R327" s="1">
        <v>2926301</v>
      </c>
      <c r="S327" s="1" t="s">
        <v>349</v>
      </c>
    </row>
    <row r="328" spans="18:19">
      <c r="R328" s="1">
        <v>2926400</v>
      </c>
      <c r="S328" s="1" t="s">
        <v>350</v>
      </c>
    </row>
    <row r="329" spans="18:19">
      <c r="R329" s="1">
        <v>2926509</v>
      </c>
      <c r="S329" s="1" t="s">
        <v>351</v>
      </c>
    </row>
    <row r="330" spans="18:19">
      <c r="R330" s="1">
        <v>2926608</v>
      </c>
      <c r="S330" s="1" t="s">
        <v>352</v>
      </c>
    </row>
    <row r="331" spans="18:19">
      <c r="R331" s="1">
        <v>2926657</v>
      </c>
      <c r="S331" s="1" t="s">
        <v>353</v>
      </c>
    </row>
    <row r="332" spans="18:19">
      <c r="R332" s="1">
        <v>2926707</v>
      </c>
      <c r="S332" s="1" t="s">
        <v>354</v>
      </c>
    </row>
    <row r="333" spans="18:19">
      <c r="R333" s="1">
        <v>2926806</v>
      </c>
      <c r="S333" s="1" t="s">
        <v>355</v>
      </c>
    </row>
    <row r="334" spans="18:19">
      <c r="R334" s="1">
        <v>2926905</v>
      </c>
      <c r="S334" s="1" t="s">
        <v>356</v>
      </c>
    </row>
    <row r="335" spans="18:19">
      <c r="R335" s="1">
        <v>2927002</v>
      </c>
      <c r="S335" s="1" t="s">
        <v>357</v>
      </c>
    </row>
    <row r="336" spans="18:19">
      <c r="S336" s="1" t="s">
        <v>2258</v>
      </c>
    </row>
    <row r="337" spans="18:19">
      <c r="R337" s="1">
        <v>2927101</v>
      </c>
      <c r="S337" s="1" t="s">
        <v>358</v>
      </c>
    </row>
    <row r="338" spans="18:19">
      <c r="R338" s="1">
        <v>2927200</v>
      </c>
      <c r="S338" s="1" t="s">
        <v>359</v>
      </c>
    </row>
    <row r="339" spans="18:19">
      <c r="R339" s="1">
        <v>2927309</v>
      </c>
      <c r="S339" s="1" t="s">
        <v>360</v>
      </c>
    </row>
    <row r="340" spans="18:19">
      <c r="R340" s="1">
        <v>2927408</v>
      </c>
      <c r="S340" s="1" t="s">
        <v>361</v>
      </c>
    </row>
    <row r="341" spans="18:19">
      <c r="R341" s="1">
        <v>2927507</v>
      </c>
      <c r="S341" s="1" t="s">
        <v>362</v>
      </c>
    </row>
    <row r="342" spans="18:19">
      <c r="R342" s="1">
        <v>2927606</v>
      </c>
      <c r="S342" s="1" t="s">
        <v>363</v>
      </c>
    </row>
    <row r="343" spans="18:19">
      <c r="R343" s="1">
        <v>2927705</v>
      </c>
      <c r="S343" s="1" t="s">
        <v>364</v>
      </c>
    </row>
    <row r="344" spans="18:19">
      <c r="R344" s="1">
        <v>2927804</v>
      </c>
      <c r="S344" s="1" t="s">
        <v>365</v>
      </c>
    </row>
    <row r="345" spans="18:19">
      <c r="R345" s="1">
        <v>2927903</v>
      </c>
      <c r="S345" s="1" t="s">
        <v>366</v>
      </c>
    </row>
    <row r="346" spans="18:19">
      <c r="R346" s="1">
        <v>2928059</v>
      </c>
      <c r="S346" s="1" t="s">
        <v>367</v>
      </c>
    </row>
    <row r="347" spans="18:19">
      <c r="R347" s="1">
        <v>2928109</v>
      </c>
      <c r="S347" s="1" t="s">
        <v>368</v>
      </c>
    </row>
    <row r="348" spans="18:19">
      <c r="R348" s="1">
        <v>2928406</v>
      </c>
      <c r="S348" s="1" t="s">
        <v>369</v>
      </c>
    </row>
    <row r="349" spans="18:19">
      <c r="R349" s="1">
        <v>2928505</v>
      </c>
      <c r="S349" s="1" t="s">
        <v>370</v>
      </c>
    </row>
    <row r="350" spans="18:19">
      <c r="R350" s="1">
        <v>2928000</v>
      </c>
      <c r="S350" s="1" t="s">
        <v>371</v>
      </c>
    </row>
    <row r="351" spans="18:19">
      <c r="R351" s="1">
        <v>2928208</v>
      </c>
      <c r="S351" s="1" t="s">
        <v>372</v>
      </c>
    </row>
    <row r="352" spans="18:19">
      <c r="R352" s="1">
        <v>2928307</v>
      </c>
      <c r="S352" s="1" t="s">
        <v>373</v>
      </c>
    </row>
    <row r="353" spans="18:19">
      <c r="R353" s="1">
        <v>2928604</v>
      </c>
      <c r="S353" s="1" t="s">
        <v>374</v>
      </c>
    </row>
    <row r="354" spans="18:19">
      <c r="R354" s="1">
        <v>2928703</v>
      </c>
      <c r="S354" s="1" t="s">
        <v>375</v>
      </c>
    </row>
    <row r="355" spans="18:19">
      <c r="R355" s="1">
        <v>2928802</v>
      </c>
      <c r="S355" s="1" t="s">
        <v>376</v>
      </c>
    </row>
    <row r="356" spans="18:19">
      <c r="R356" s="1">
        <v>2928901</v>
      </c>
      <c r="S356" s="1" t="s">
        <v>377</v>
      </c>
    </row>
    <row r="357" spans="18:19">
      <c r="R357" s="1">
        <v>2928950</v>
      </c>
      <c r="S357" s="1" t="s">
        <v>378</v>
      </c>
    </row>
    <row r="358" spans="18:19">
      <c r="R358" s="1">
        <v>2929107</v>
      </c>
      <c r="S358" s="1" t="s">
        <v>379</v>
      </c>
    </row>
    <row r="359" spans="18:19">
      <c r="R359" s="1">
        <v>2929008</v>
      </c>
      <c r="S359" s="1" t="s">
        <v>380</v>
      </c>
    </row>
    <row r="360" spans="18:19">
      <c r="R360" s="1">
        <v>2929057</v>
      </c>
      <c r="S360" s="1" t="s">
        <v>381</v>
      </c>
    </row>
    <row r="361" spans="18:19">
      <c r="R361" s="1">
        <v>2929206</v>
      </c>
      <c r="S361" s="1" t="s">
        <v>382</v>
      </c>
    </row>
    <row r="362" spans="18:19">
      <c r="R362" s="1">
        <v>2929255</v>
      </c>
      <c r="S362" s="1" t="s">
        <v>383</v>
      </c>
    </row>
    <row r="363" spans="18:19">
      <c r="R363" s="1">
        <v>2929305</v>
      </c>
      <c r="S363" s="1" t="s">
        <v>384</v>
      </c>
    </row>
    <row r="364" spans="18:19">
      <c r="R364" s="1">
        <v>2929354</v>
      </c>
      <c r="S364" s="1" t="s">
        <v>385</v>
      </c>
    </row>
    <row r="365" spans="18:19">
      <c r="R365" s="1">
        <v>2929370</v>
      </c>
      <c r="S365" s="1" t="s">
        <v>386</v>
      </c>
    </row>
    <row r="366" spans="18:19">
      <c r="R366" s="1">
        <v>2929404</v>
      </c>
      <c r="S366" s="1" t="s">
        <v>387</v>
      </c>
    </row>
    <row r="367" spans="18:19">
      <c r="R367" s="1">
        <v>2929503</v>
      </c>
      <c r="S367" s="1" t="s">
        <v>388</v>
      </c>
    </row>
    <row r="368" spans="18:19">
      <c r="R368" s="1">
        <v>2929602</v>
      </c>
      <c r="S368" s="1" t="s">
        <v>389</v>
      </c>
    </row>
    <row r="369" spans="18:19">
      <c r="R369" s="1">
        <v>2929701</v>
      </c>
      <c r="S369" s="1" t="s">
        <v>390</v>
      </c>
    </row>
    <row r="370" spans="18:19">
      <c r="R370" s="1">
        <v>2929750</v>
      </c>
      <c r="S370" s="1" t="s">
        <v>391</v>
      </c>
    </row>
    <row r="371" spans="18:19">
      <c r="R371" s="1">
        <v>2929800</v>
      </c>
      <c r="S371" s="1" t="s">
        <v>56</v>
      </c>
    </row>
    <row r="372" spans="18:19">
      <c r="R372" s="1">
        <v>2929909</v>
      </c>
      <c r="S372" s="1" t="s">
        <v>392</v>
      </c>
    </row>
    <row r="373" spans="18:19">
      <c r="R373" s="1">
        <v>2930006</v>
      </c>
      <c r="S373" s="1" t="s">
        <v>393</v>
      </c>
    </row>
    <row r="374" spans="18:19">
      <c r="R374" s="1">
        <v>2930105</v>
      </c>
      <c r="S374" s="1" t="s">
        <v>394</v>
      </c>
    </row>
    <row r="375" spans="18:19">
      <c r="R375" s="1">
        <v>2930204</v>
      </c>
      <c r="S375" s="1" t="s">
        <v>395</v>
      </c>
    </row>
    <row r="376" spans="18:19">
      <c r="R376" s="1">
        <v>2930154</v>
      </c>
      <c r="S376" s="1" t="s">
        <v>396</v>
      </c>
    </row>
    <row r="377" spans="18:19">
      <c r="R377" s="1">
        <v>2930303</v>
      </c>
      <c r="S377" s="1" t="s">
        <v>397</v>
      </c>
    </row>
    <row r="378" spans="18:19">
      <c r="R378" s="1">
        <v>2930402</v>
      </c>
      <c r="S378" s="1" t="s">
        <v>398</v>
      </c>
    </row>
    <row r="379" spans="18:19">
      <c r="R379" s="1">
        <v>2930501</v>
      </c>
      <c r="S379" s="1" t="s">
        <v>399</v>
      </c>
    </row>
    <row r="380" spans="18:19">
      <c r="R380" s="1">
        <v>2930600</v>
      </c>
      <c r="S380" s="1" t="s">
        <v>400</v>
      </c>
    </row>
    <row r="381" spans="18:19">
      <c r="R381" s="1">
        <v>2930709</v>
      </c>
      <c r="S381" s="1" t="s">
        <v>401</v>
      </c>
    </row>
    <row r="382" spans="18:19">
      <c r="R382" s="1">
        <v>2930758</v>
      </c>
      <c r="S382" s="1" t="s">
        <v>402</v>
      </c>
    </row>
    <row r="383" spans="18:19">
      <c r="R383" s="1">
        <v>2930766</v>
      </c>
      <c r="S383" s="1" t="s">
        <v>403</v>
      </c>
    </row>
    <row r="384" spans="18:19">
      <c r="R384" s="1">
        <v>2930774</v>
      </c>
      <c r="S384" s="1" t="s">
        <v>404</v>
      </c>
    </row>
    <row r="385" spans="18:19">
      <c r="R385" s="1">
        <v>2930808</v>
      </c>
      <c r="S385" s="1" t="s">
        <v>405</v>
      </c>
    </row>
    <row r="386" spans="18:19">
      <c r="R386" s="1">
        <v>2930907</v>
      </c>
      <c r="S386" s="1" t="s">
        <v>406</v>
      </c>
    </row>
    <row r="387" spans="18:19">
      <c r="R387" s="1">
        <v>2931004</v>
      </c>
      <c r="S387" s="1" t="s">
        <v>407</v>
      </c>
    </row>
    <row r="388" spans="18:19">
      <c r="R388" s="1">
        <v>2931053</v>
      </c>
      <c r="S388" s="1" t="s">
        <v>408</v>
      </c>
    </row>
    <row r="389" spans="18:19">
      <c r="R389" s="1">
        <v>2931103</v>
      </c>
      <c r="S389" s="1" t="s">
        <v>409</v>
      </c>
    </row>
    <row r="390" spans="18:19">
      <c r="R390" s="1">
        <v>2931202</v>
      </c>
      <c r="S390" s="1" t="s">
        <v>410</v>
      </c>
    </row>
    <row r="391" spans="18:19">
      <c r="R391" s="1">
        <v>2931301</v>
      </c>
      <c r="S391" s="1" t="s">
        <v>411</v>
      </c>
    </row>
    <row r="392" spans="18:19">
      <c r="R392" s="1">
        <v>2931350</v>
      </c>
      <c r="S392" s="1" t="s">
        <v>412</v>
      </c>
    </row>
    <row r="393" spans="18:19">
      <c r="R393" s="1">
        <v>2931400</v>
      </c>
      <c r="S393" s="1" t="s">
        <v>413</v>
      </c>
    </row>
    <row r="394" spans="18:19">
      <c r="R394" s="1">
        <v>2931509</v>
      </c>
      <c r="S394" s="1" t="s">
        <v>414</v>
      </c>
    </row>
    <row r="395" spans="18:19">
      <c r="R395" s="1">
        <v>2931608</v>
      </c>
      <c r="S395" s="1" t="s">
        <v>415</v>
      </c>
    </row>
    <row r="396" spans="18:19">
      <c r="R396" s="1">
        <v>2931707</v>
      </c>
      <c r="S396" s="1" t="s">
        <v>416</v>
      </c>
    </row>
    <row r="397" spans="18:19">
      <c r="R397" s="1">
        <v>2931806</v>
      </c>
      <c r="S397" s="1" t="s">
        <v>417</v>
      </c>
    </row>
    <row r="398" spans="18:19">
      <c r="R398" s="1">
        <v>2931905</v>
      </c>
      <c r="S398" s="1" t="s">
        <v>418</v>
      </c>
    </row>
    <row r="399" spans="18:19">
      <c r="R399" s="1">
        <v>2932002</v>
      </c>
      <c r="S399" s="1" t="s">
        <v>419</v>
      </c>
    </row>
    <row r="400" spans="18:19">
      <c r="R400" s="1">
        <v>2932101</v>
      </c>
      <c r="S400" s="1" t="s">
        <v>420</v>
      </c>
    </row>
    <row r="401" spans="18:19">
      <c r="R401" s="1">
        <v>2932200</v>
      </c>
      <c r="S401" s="1" t="s">
        <v>421</v>
      </c>
    </row>
    <row r="402" spans="18:19">
      <c r="R402" s="1">
        <v>2932309</v>
      </c>
      <c r="S402" s="1" t="s">
        <v>422</v>
      </c>
    </row>
    <row r="403" spans="18:19">
      <c r="R403" s="1">
        <v>2932408</v>
      </c>
      <c r="S403" s="1" t="s">
        <v>423</v>
      </c>
    </row>
    <row r="404" spans="18:19">
      <c r="R404" s="1">
        <v>2932457</v>
      </c>
      <c r="S404" s="1" t="s">
        <v>424</v>
      </c>
    </row>
    <row r="405" spans="18:19">
      <c r="R405" s="1">
        <v>2932507</v>
      </c>
      <c r="S405" s="1" t="s">
        <v>425</v>
      </c>
    </row>
    <row r="406" spans="18:19">
      <c r="R406" s="1">
        <v>2932606</v>
      </c>
      <c r="S406" s="1" t="s">
        <v>426</v>
      </c>
    </row>
    <row r="407" spans="18:19">
      <c r="R407" s="1">
        <v>2932705</v>
      </c>
      <c r="S407" s="1" t="s">
        <v>427</v>
      </c>
    </row>
    <row r="408" spans="18:19">
      <c r="R408" s="1">
        <v>2932804</v>
      </c>
      <c r="S408" s="1" t="s">
        <v>428</v>
      </c>
    </row>
    <row r="409" spans="18:19">
      <c r="R409" s="1">
        <v>2932903</v>
      </c>
      <c r="S409" s="1" t="s">
        <v>429</v>
      </c>
    </row>
    <row r="410" spans="18:19">
      <c r="R410" s="1">
        <v>2933000</v>
      </c>
      <c r="S410" s="1" t="s">
        <v>430</v>
      </c>
    </row>
    <row r="411" spans="18:19">
      <c r="R411" s="1">
        <v>2933059</v>
      </c>
      <c r="S411" s="1" t="s">
        <v>431</v>
      </c>
    </row>
    <row r="412" spans="18:19">
      <c r="R412" s="1">
        <v>2933109</v>
      </c>
      <c r="S412" s="1" t="s">
        <v>432</v>
      </c>
    </row>
    <row r="413" spans="18:19">
      <c r="R413" s="1">
        <v>2933158</v>
      </c>
      <c r="S413" s="1" t="s">
        <v>433</v>
      </c>
    </row>
    <row r="414" spans="18:19">
      <c r="R414" s="1">
        <v>2933174</v>
      </c>
      <c r="S414" s="1" t="s">
        <v>434</v>
      </c>
    </row>
    <row r="415" spans="18:19">
      <c r="R415" s="1">
        <v>2933208</v>
      </c>
      <c r="S415" s="1" t="s">
        <v>435</v>
      </c>
    </row>
    <row r="416" spans="18:19">
      <c r="R416" s="1">
        <v>2933257</v>
      </c>
      <c r="S416" s="1" t="s">
        <v>436</v>
      </c>
    </row>
    <row r="417" spans="18:19">
      <c r="R417" s="1">
        <v>2933307</v>
      </c>
      <c r="S417" s="1" t="s">
        <v>437</v>
      </c>
    </row>
    <row r="418" spans="18:19">
      <c r="R418" s="1">
        <v>2933406</v>
      </c>
      <c r="S418" s="1" t="s">
        <v>438</v>
      </c>
    </row>
    <row r="419" spans="18:19">
      <c r="R419" s="1">
        <v>2933455</v>
      </c>
      <c r="S419" s="1" t="s">
        <v>439</v>
      </c>
    </row>
    <row r="420" spans="18:19">
      <c r="R420" s="1">
        <v>2933505</v>
      </c>
      <c r="S420" s="1" t="s">
        <v>440</v>
      </c>
    </row>
    <row r="421" spans="18:19">
      <c r="R421" s="1">
        <v>2933604</v>
      </c>
      <c r="S421" s="1" t="s">
        <v>441</v>
      </c>
    </row>
  </sheetData>
  <sheetProtection formatCells="0" formatColumns="0" insertRows="0"/>
  <sortState ref="L3:L20">
    <sortCondition ref="L3"/>
  </sortState>
  <customSheetViews>
    <customSheetView guid="{A10EBD83-7D03-4E3F-9980-D4843478A706}" scale="70" topLeftCell="Z4">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
    </customSheetView>
    <customSheetView guid="{270E95A7-3B6C-4D9D-97B0-E7320BA4DFF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
    </customSheetView>
    <customSheetView guid="{C0A33525-2FAA-4399-909F-1A52282E6E9A}"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3"/>
    </customSheetView>
    <customSheetView guid="{650C7FD6-1755-4668-8EF1-3B7C3B405ED0}" scale="70" topLeftCell="AB4">
      <selection activeCell="AG35" sqref="AG35"/>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4"/>
    </customSheetView>
    <customSheetView guid="{ED1B5C85-9B80-490E-8588-6B2C7D651C3C}" scale="55" topLeftCell="Z2">
      <selection activeCell="AI12" sqref="AI12"/>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5"/>
    </customSheetView>
    <customSheetView guid="{1F5D5C3B-584A-4E1D-921E-CC88F424DC5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6"/>
    </customSheetView>
    <customSheetView guid="{83779279-67B1-4521-A1E4-214B232BDCAE}" scale="70" topLeftCell="A11">
      <selection activeCell="J21" sqref="J21"/>
      <pageMargins left="0.51181102362204722" right="0.51181102362204722" top="0.78740157480314965" bottom="0.78740157480314965" header="0.31496062992125984" footer="0.31496062992125984"/>
      <pageSetup paperSize="9" scale="120" orientation="landscape" r:id="rId7"/>
    </customSheetView>
    <customSheetView guid="{B397FDFC-D692-4CD4-9BCD-5E04E4A47A8A}" fitToPage="1" topLeftCell="C1">
      <selection activeCell="N25" sqref="N25"/>
      <pageMargins left="0.51181102362204722" right="0.51181102362204722" top="0.78740157480314965" bottom="0.78740157480314965" header="0.31496062992125984" footer="0.31496062992125984"/>
      <pageSetup paperSize="8" scale="81" orientation="landscape" r:id="rId8"/>
    </customSheetView>
    <customSheetView guid="{8AF3F23F-962F-4238-A668-E07C224D58CD}" showPageBreaks="1" fitToPage="1" printArea="1" topLeftCell="I1">
      <selection activeCell="P30" sqref="P30"/>
      <pageMargins left="0.51181102362204722" right="0.51181102362204722" top="0.78740157480314965" bottom="0.78740157480314965" header="0.31496062992125984" footer="0.31496062992125984"/>
      <pageSetup paperSize="8" scale="82" orientation="landscape" r:id="rId9"/>
    </customSheetView>
    <customSheetView guid="{6CBADB44-6CEA-447F-B9B3-3F538C995614}" fitToPage="1" topLeftCell="H1">
      <selection activeCell="H3" sqref="H3"/>
      <pageMargins left="0.51181102362204722" right="0.51181102362204722" top="0.78740157480314965" bottom="0.78740157480314965" header="0.31496062992125984" footer="0.31496062992125984"/>
      <pageSetup paperSize="8" scale="88" orientation="landscape" r:id="rId10"/>
    </customSheetView>
    <customSheetView guid="{970D1C79-0BDD-428A-B1F8-9D0298518B53}" showPageBreaks="1" fitToPage="1" printArea="1" topLeftCell="M1">
      <selection activeCell="R15" sqref="R15"/>
      <pageMargins left="0.51181102362204722" right="0.51181102362204722" top="0.78740157480314965" bottom="0.78740157480314965" header="0.31496062992125984" footer="0.31496062992125984"/>
      <pageSetup paperSize="8" scale="75" orientation="landscape" r:id="rId11"/>
    </customSheetView>
    <customSheetView guid="{FCDAC3CE-92D1-45D7-8D28-746A60A770F4}" fitToPage="1" topLeftCell="C4">
      <selection activeCell="N23" sqref="N23"/>
      <pageMargins left="0.51181102362204722" right="0.51181102362204722" top="0.78740157480314965" bottom="0.78740157480314965" header="0.31496062992125984" footer="0.31496062992125984"/>
      <pageSetup paperSize="8" scale="20" orientation="landscape" r:id="rId12"/>
    </customSheetView>
    <customSheetView guid="{BE6EA046-B955-4D4F-A0AD-CD37BD2D43BC}" scale="150" topLeftCell="AL18">
      <selection activeCell="AJ3" sqref="AJ3"/>
      <pageMargins left="0.51181102362204722" right="0.51181102362204722" top="0.78740157480314965" bottom="0.78740157480314965" header="0.31496062992125984" footer="0.31496062992125984"/>
      <pageSetup paperSize="9" scale="120" orientation="landscape" r:id="rId13"/>
    </customSheetView>
    <customSheetView guid="{535F29DD-DAB5-45F1-B721-096B9A19B9FA}" scale="70" topLeftCell="AA1">
      <selection activeCell="AG14" sqref="AG14"/>
      <pageMargins left="0.51181102362204722" right="0.51181102362204722" top="0.78740157480314965" bottom="0.78740157480314965" header="0.31496062992125984" footer="0.31496062992125984"/>
      <pageSetup paperSize="9" scale="120" orientation="landscape" r:id="rId14"/>
    </customSheetView>
    <customSheetView guid="{ACBCA272-4BF0-464F-9826-B88631775C9A}" scale="70" topLeftCell="X7">
      <selection activeCell="AE18" sqref="AE1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5"/>
    </customSheetView>
    <customSheetView guid="{76D6D523-3A20-4FC6-B305-B0C40BA9EF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6"/>
    </customSheetView>
    <customSheetView guid="{9AE7F4FF-DFFA-490F-8AF2-4FB45EA247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7"/>
    </customSheetView>
    <customSheetView guid="{13E94A3C-CB3A-4F58-A512-0396BF6DE7DC}"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8"/>
    </customSheetView>
    <customSheetView guid="{083D9386-A209-4E4D-86CD-025B1176CEB5}" scale="70" showPageBreaks="1" topLeftCell="Z1">
      <selection activeCell="AG11" sqref="AG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9"/>
    </customSheetView>
    <customSheetView guid="{46BB051B-272B-49C8-A4C3-B4237F6E1B7D}"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0"/>
    </customSheetView>
    <customSheetView guid="{B13D886E-BAB8-4D14-822A-F08281218447}" scale="70" topLeftCell="N1">
      <selection activeCell="AD11" sqref="AD11"/>
      <rowBreaks count="1" manualBreakCount="1">
        <brk id="36" max="16383" man="1"/>
      </rowBreaks>
      <pageMargins left="0.51181102362204722" right="0.51181102362204722" top="0.78740157480314965" bottom="0.78740157480314965" header="0.31496062992125984" footer="0.31496062992125984"/>
      <pageSetup paperSize="9" scale="65" orientation="landscape" r:id="rId21"/>
    </customSheetView>
    <customSheetView guid="{129416D2-3637-48C1-A749-90B02AD0693E}" scale="70" topLeftCell="J1">
      <selection activeCell="L17" sqref="L1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2"/>
    </customSheetView>
    <customSheetView guid="{0FB74A6A-4A44-4BA5-9EB0-B86297CD9790}"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3"/>
    </customSheetView>
    <customSheetView guid="{E3BD65C7-28AF-4588-B550-0F7E84154BAA}" scale="55">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4"/>
    </customSheetView>
  </customSheetViews>
  <phoneticPr fontId="1" type="noConversion"/>
  <pageMargins left="0.51181102362204722" right="0.51181102362204722" top="0.78740157480314965" bottom="0.78740157480314965" header="0.31496062992125984" footer="0.31496062992125984"/>
  <pageSetup paperSize="9" scale="65" orientation="landscape" r:id="rId25"/>
  <rowBreaks count="1" manualBreakCount="1">
    <brk id="35"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642911-A85B-4339-8E8E-24C26DEE29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13</vt:i4>
      </vt:variant>
      <vt:variant>
        <vt:lpstr>Intervalos nomeados</vt:lpstr>
      </vt:variant>
      <vt:variant>
        <vt:i4>5</vt:i4>
      </vt:variant>
    </vt:vector>
  </HeadingPairs>
  <TitlesOfParts>
    <vt:vector size="18" baseType="lpstr">
      <vt:lpstr>PAC</vt:lpstr>
      <vt:lpstr>Planilha10</vt:lpstr>
      <vt:lpstr>Planilha9</vt:lpstr>
      <vt:lpstr>Planilha8</vt:lpstr>
      <vt:lpstr>Planilha7</vt:lpstr>
      <vt:lpstr>Planilha6</vt:lpstr>
      <vt:lpstr>Planilha1</vt:lpstr>
      <vt:lpstr>Planilha5</vt:lpstr>
      <vt:lpstr>Planilha4</vt:lpstr>
      <vt:lpstr>Planilha3</vt:lpstr>
      <vt:lpstr>Planilha2</vt:lpstr>
      <vt:lpstr>OUTRAS AÇÕES</vt:lpstr>
      <vt:lpstr>Domínios</vt:lpstr>
      <vt:lpstr>PAC!Area_de_impressao</vt:lpstr>
      <vt:lpstr>PAC_SELEÇÕES</vt:lpstr>
      <vt:lpstr>status_intervencao</vt:lpstr>
      <vt:lpstr>status_pleito</vt:lpstr>
      <vt:lpstr>PAC!Titulos_de_impressao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Figueiredo</dc:creator>
  <cp:lastModifiedBy>Marcelo Pereira dos Santos</cp:lastModifiedBy>
  <cp:lastPrinted>2026-08-17T11:14:45Z</cp:lastPrinted>
  <dcterms:created xsi:type="dcterms:W3CDTF">2024-08-15T00:35:08Z</dcterms:created>
  <dcterms:modified xsi:type="dcterms:W3CDTF">2026-08-26T20:06:19Z</dcterms:modified>
</cp:coreProperties>
</file>